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ool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Tests" sheetId="4" state="visible" r:id="rId4"/>
    <sheet xmlns:r="http://schemas.openxmlformats.org/officeDocument/2006/relationships" name="CashFlows" sheetId="5" state="visible" r:id="rId5"/>
    <sheet xmlns:r="http://schemas.openxmlformats.org/officeDocument/2006/relationships" name="Retention_CF" sheetId="6" state="visible" r:id="rId6"/>
    <sheet xmlns:r="http://schemas.openxmlformats.org/officeDocument/2006/relationships" name="Retention" sheetId="7" state="visible" r:id="rId7"/>
    <sheet xmlns:r="http://schemas.openxmlformats.org/officeDocument/2006/relationships" name="Scenario_Summary" sheetId="8" state="visible" r:id="rId8"/>
  </sheets>
  <definedNames>
    <definedName name="scen_sel">Inputs!$B$4</definedName>
    <definedName name="SCEN_TABLE">Inputs!$A$18:$F$23</definedName>
    <definedName name="WAL_A">Scenario_Summary!$G$7</definedName>
    <definedName name="YIELD_A">Scenario_Summary!$H$7</definedName>
    <definedName name="LOSS_A">Scenario_Summary!$E$7</definedName>
    <definedName name="PRINPAID_A">Scenario_Summary!$D$7</definedName>
    <definedName name="INTPAID_A">Scenario_Summary!$C$7</definedName>
    <definedName name="CF_A">CashFlows!$F$5:$F$101</definedName>
    <definedName name="FV_A">Retention!$C$6</definedName>
    <definedName name="FVLIVE_A">Retention!$D$6</definedName>
    <definedName name="FVLOCK_A">Inputs!$B$81</definedName>
    <definedName name="WAL_B">Scenario_Summary!$G$8</definedName>
    <definedName name="YIELD_B">Scenario_Summary!$H$8</definedName>
    <definedName name="LOSS_B">Scenario_Summary!$E$8</definedName>
    <definedName name="PRINPAID_B">Scenario_Summary!$D$8</definedName>
    <definedName name="INTPAID_B">Scenario_Summary!$C$8</definedName>
    <definedName name="CF_B">CashFlows!$K$5:$K$101</definedName>
    <definedName name="FV_B">Retention!$C$7</definedName>
    <definedName name="FVLIVE_B">Retention!$D$7</definedName>
    <definedName name="FVLOCK_B">Inputs!$B$82</definedName>
    <definedName name="WAL_C">Scenario_Summary!$G$9</definedName>
    <definedName name="YIELD_C">Scenario_Summary!$H$9</definedName>
    <definedName name="LOSS_C">Scenario_Summary!$E$9</definedName>
    <definedName name="PRINPAID_C">Scenario_Summary!$D$9</definedName>
    <definedName name="INTPAID_C">Scenario_Summary!$C$9</definedName>
    <definedName name="CF_C">CashFlows!$P$5:$P$101</definedName>
    <definedName name="FV_C">Retention!$C$8</definedName>
    <definedName name="FVLIVE_C">Retention!$D$8</definedName>
    <definedName name="FVLOCK_C">Inputs!$B$83</definedName>
    <definedName name="WAL_R">Scenario_Summary!$G$10</definedName>
    <definedName name="YIELD_R">Scenario_Summary!$H$10</definedName>
    <definedName name="LOSS_R">Scenario_Summary!$E$10</definedName>
    <definedName name="PRINPAID_R">Scenario_Summary!$D$10</definedName>
    <definedName name="INTPAID_R">Scenario_Summary!$C$10</definedName>
    <definedName name="CF_R">CashFlows!$S$5:$S$101</definedName>
    <definedName name="FV_R">Retention!$C$9</definedName>
    <definedName name="FVLIVE_R">Retention!$D$9</definedName>
    <definedName name="FVLOCK_R">Inputs!$B$84</definedName>
    <definedName name="ENDBAL_A">CashFlows!$E$5:$E$101</definedName>
    <definedName name="ENDBAL_B">CashFlows!$J$5:$J$101</definedName>
    <definedName name="ENDBAL_C">CashFlows!$O$5:$O$101</definedName>
    <definedName name="CHECK_POOL_RECON">Scenario_Summary!$B$15</definedName>
    <definedName name="CHECK_CASH">Scenario_Summary!$B$16</definedName>
    <definedName name="CHECK_NOTES_OVER_CASH">Scenario_Summary!$B$17</definedName>
    <definedName name="BREACH_MONTHS">Scenario_Summary!$B$21</definedName>
    <definedName name="FRAC_TABLE">Retention!$B$15:$E$19</definedName>
    <definedName name="RET_AMOUNTS">Retention!$F$15:$H$19</definedName>
    <definedName name="RET_OUT">Retention!$B$28:$I$32</definedName>
    <definedName name="INPUT_POOL_BAL">Inputs!$B$49</definedName>
    <definedName name="INPUT_BAL_R">Inputs!$B$50</definedName>
    <definedName name="RETCF_RRV">Retention_CF!$H$5:$H$101</definedName>
    <definedName name="RETCF_RRH">Retention_CF!$M$5:$M$101</definedName>
    <definedName name="RETCF_RRL">Retention_CF!$R$5:$R$101</definedName>
    <definedName name="RETCF_EUV">Retention_CF!$W$5:$W$101</definedName>
    <definedName name="RETCF_EUFL">Retention_CF!$AB$5:$AB$101</definedName>
    <definedName name="POOL_END">Pool!$BP$5:$BP$101</definedName>
    <definedName name="POOL_CASH">Pool!$BW$5:$BW$101</definedName>
    <definedName name="ES_BPS">Tests!$O$5:$O$101</definedName>
    <definedName name="IN_SCEN_SEL">Inputs!$B$4</definedName>
    <definedName name="IN_POOL_BAL">Inputs!$B$49</definedName>
    <definedName name="IN_BAL_R">Inputs!$B$50</definedName>
    <definedName name="IN_MODE">Inputs!$B$52</definedName>
    <definedName name="IN_OC_A">Inputs!$B$56</definedName>
    <definedName name="IN_OC_B">Inputs!$B$57</definedName>
    <definedName name="IN_OC_C">Inputs!$B$58</definedName>
    <definedName name="IN_IC_A">Inputs!$B$59</definedName>
    <definedName name="IN_IC_B">Inputs!$B$60</definedName>
    <definedName name="IN_IC_C">Inputs!$B$61</definedName>
    <definedName name="IN_RES_INIT">Inputs!$B$47</definedName>
    <definedName name="IN_RES_TARGET">Inputs!$B$48</definedName>
    <definedName name="IN_MARGIN_A">Inputs!$B$42</definedName>
    <definedName name="IN_MARGIN_B">Inputs!$B$43</definedName>
    <definedName name="IN_FIXED_C">Inputs!$B$44</definedName>
    <definedName name="IN_SVC">Inputs!$B$45</definedName>
    <definedName name="IN_TRUSTEE">Inputs!$B$46</definedName>
    <definedName name="IN_FWD_START">Inputs!$B$36</definedName>
    <definedName name="IN_FWD_END">Inputs!$B$37</definedName>
    <definedName name="IN_FWD_TAU">Inputs!$B$38</definedName>
    <definedName name="IN_BAL_A">Inputs!$B$39</definedName>
    <definedName name="IN_BAL_B">Inputs!$B$40</definedName>
    <definedName name="IN_BAL_C">Inputs!$B$41</definedName>
    <definedName name="IN_RET_PCT">Inputs!$B$68</definedName>
    <definedName name="IN_LSHAPE_V">Inputs!$B$69</definedName>
    <definedName name="IN_FIN_SPREAD">Inputs!$B$78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0.0000%"/>
    <numFmt numFmtId="166" formatCode="0.0000"/>
    <numFmt numFmtId="167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wrapText="1"/>
    </xf>
    <xf numFmtId="1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Inputs (typed values live only on this sheet). Collateral is SYNTHETIC; forward curve is ASSUMED.</t>
        </is>
      </c>
    </row>
    <row r="3">
      <c r="A3" s="1" t="inlineStr">
        <is>
          <t>Active scenario</t>
        </is>
      </c>
    </row>
    <row r="4">
      <c r="A4" t="inlineStr">
        <is>
          <t>Selected scenario number (1-based row of scenario table)</t>
        </is>
      </c>
      <c r="B4" t="n">
        <v>1</v>
      </c>
      <c r="C4" t="inlineStr"/>
    </row>
    <row r="5">
      <c r="A5" s="1" t="inlineStr">
        <is>
          <t>Pool rep lines (name, balance, WAC, remaining term)</t>
        </is>
      </c>
    </row>
    <row r="6">
      <c r="A6" t="inlineStr">
        <is>
          <t>RL01</t>
        </is>
      </c>
      <c r="B6" s="2" t="n">
        <v>60000000</v>
      </c>
      <c r="C6" s="3" t="n">
        <v>0.065</v>
      </c>
      <c r="D6" t="n">
        <v>60</v>
      </c>
    </row>
    <row r="7">
      <c r="A7" t="inlineStr">
        <is>
          <t>RL02</t>
        </is>
      </c>
      <c r="B7" s="2" t="n">
        <v>55000000</v>
      </c>
      <c r="C7" s="3" t="n">
        <v>0.0725</v>
      </c>
      <c r="D7" t="n">
        <v>72</v>
      </c>
    </row>
    <row r="8">
      <c r="A8" t="inlineStr">
        <is>
          <t>RL03</t>
        </is>
      </c>
      <c r="B8" s="2" t="n">
        <v>50000000</v>
      </c>
      <c r="C8" s="3" t="n">
        <v>0.08</v>
      </c>
      <c r="D8" t="n">
        <v>48</v>
      </c>
    </row>
    <row r="9">
      <c r="A9" t="inlineStr">
        <is>
          <t>RL04</t>
        </is>
      </c>
      <c r="B9" s="2" t="n">
        <v>48000000</v>
      </c>
      <c r="C9" s="3" t="n">
        <v>0.08749999999999999</v>
      </c>
      <c r="D9" t="n">
        <v>66</v>
      </c>
    </row>
    <row r="10">
      <c r="A10" t="inlineStr">
        <is>
          <t>RL05</t>
        </is>
      </c>
      <c r="B10" s="2" t="n">
        <v>45000000</v>
      </c>
      <c r="C10" s="3" t="n">
        <v>0.095</v>
      </c>
      <c r="D10" t="n">
        <v>60</v>
      </c>
    </row>
    <row r="11">
      <c r="A11" t="inlineStr">
        <is>
          <t>RL06</t>
        </is>
      </c>
      <c r="B11" s="2" t="n">
        <v>40000000</v>
      </c>
      <c r="C11" s="3" t="n">
        <v>0.1025</v>
      </c>
      <c r="D11" t="n">
        <v>84</v>
      </c>
    </row>
    <row r="12">
      <c r="A12" t="inlineStr">
        <is>
          <t>RL07</t>
        </is>
      </c>
      <c r="B12" s="2" t="n">
        <v>35000000</v>
      </c>
      <c r="C12" s="3" t="n">
        <v>0.11</v>
      </c>
      <c r="D12" t="n">
        <v>54</v>
      </c>
    </row>
    <row r="13">
      <c r="A13" t="inlineStr">
        <is>
          <t>RL08</t>
        </is>
      </c>
      <c r="B13" s="2" t="n">
        <v>30000000</v>
      </c>
      <c r="C13" s="3" t="n">
        <v>0.1175</v>
      </c>
      <c r="D13" t="n">
        <v>72</v>
      </c>
    </row>
    <row r="14">
      <c r="A14" t="inlineStr">
        <is>
          <t>RL09</t>
        </is>
      </c>
      <c r="B14" s="2" t="n">
        <v>22000000</v>
      </c>
      <c r="C14" s="3" t="n">
        <v>0.125</v>
      </c>
      <c r="D14" t="n">
        <v>36</v>
      </c>
    </row>
    <row r="15">
      <c r="A15" t="inlineStr">
        <is>
          <t>RL10</t>
        </is>
      </c>
      <c r="B15" s="2" t="n">
        <v>15000000</v>
      </c>
      <c r="C15" s="3" t="n">
        <v>0.135</v>
      </c>
      <c r="D15" t="n">
        <v>48</v>
      </c>
    </row>
    <row r="17">
      <c r="A17" s="1" t="inlineStr">
        <is>
          <t>Scenario table (name, CPR, CDR, severity, recovery lag months, forward shift bps)</t>
        </is>
      </c>
    </row>
    <row r="18">
      <c r="A18" t="inlineStr">
        <is>
          <t>Base</t>
        </is>
      </c>
      <c r="B18" s="4" t="n">
        <v>0.1</v>
      </c>
      <c r="C18" s="4" t="n">
        <v>0.03</v>
      </c>
      <c r="D18" s="4" t="n">
        <v>0.4</v>
      </c>
      <c r="E18" t="n">
        <v>6</v>
      </c>
      <c r="F18" t="n">
        <v>0</v>
      </c>
    </row>
    <row r="19">
      <c r="A19" t="inlineStr">
        <is>
          <t>Mild stress</t>
        </is>
      </c>
      <c r="B19" s="4" t="n">
        <v>0.1</v>
      </c>
      <c r="C19" s="4" t="n">
        <v>0.06</v>
      </c>
      <c r="D19" s="4" t="n">
        <v>0.5</v>
      </c>
      <c r="E19" t="n">
        <v>6</v>
      </c>
      <c r="F19" t="n">
        <v>0</v>
      </c>
    </row>
    <row r="20">
      <c r="A20" t="inlineStr">
        <is>
          <t>Stress</t>
        </is>
      </c>
      <c r="B20" s="4" t="n">
        <v>0.06</v>
      </c>
      <c r="C20" s="4" t="n">
        <v>0.12</v>
      </c>
      <c r="D20" s="4" t="n">
        <v>0.6</v>
      </c>
      <c r="E20" t="n">
        <v>9</v>
      </c>
      <c r="F20" t="n">
        <v>0</v>
      </c>
    </row>
    <row r="21">
      <c r="A21" t="inlineStr">
        <is>
          <t>Severe stress</t>
        </is>
      </c>
      <c r="B21" s="4" t="n">
        <v>0.04</v>
      </c>
      <c r="C21" s="4" t="n">
        <v>0.2</v>
      </c>
      <c r="D21" s="4" t="n">
        <v>0.7</v>
      </c>
      <c r="E21" t="n">
        <v>12</v>
      </c>
      <c r="F21" t="n">
        <v>0</v>
      </c>
    </row>
    <row r="22">
      <c r="A22" t="inlineStr">
        <is>
          <t>Fast prepay</t>
        </is>
      </c>
      <c r="B22" s="4" t="n">
        <v>0.3</v>
      </c>
      <c r="C22" s="4" t="n">
        <v>0.03</v>
      </c>
      <c r="D22" s="4" t="n">
        <v>0.4</v>
      </c>
      <c r="E22" t="n">
        <v>6</v>
      </c>
      <c r="F22" t="n">
        <v>0</v>
      </c>
    </row>
    <row r="23">
      <c r="A23" t="inlineStr">
        <is>
          <t>Rate shock +300bp</t>
        </is>
      </c>
      <c r="B23" s="4" t="n">
        <v>0.1</v>
      </c>
      <c r="C23" s="4" t="n">
        <v>0.06</v>
      </c>
      <c r="D23" s="4" t="n">
        <v>0.5</v>
      </c>
      <c r="E23" t="n">
        <v>6</v>
      </c>
      <c r="F23" t="n">
        <v>300</v>
      </c>
    </row>
    <row r="25">
      <c r="A25" s="1" t="inlineStr">
        <is>
          <t>Active scenario values (formulas)</t>
        </is>
      </c>
    </row>
    <row r="26">
      <c r="A26" t="inlineStr">
        <is>
          <t>Scenario name</t>
        </is>
      </c>
      <c r="B26">
        <f>INDEX($A$18:$A$23,Inputs!$B$4)</f>
        <v/>
      </c>
      <c r="C26" t="inlineStr"/>
    </row>
    <row r="27">
      <c r="A27" t="inlineStr">
        <is>
          <t>CPR</t>
        </is>
      </c>
      <c r="B27" s="4">
        <f>INDEX($B$18:$B$23,Inputs!$B$4)</f>
        <v/>
      </c>
      <c r="C27" t="inlineStr">
        <is>
          <t>annual</t>
        </is>
      </c>
    </row>
    <row r="28">
      <c r="A28" t="inlineStr">
        <is>
          <t>CDR</t>
        </is>
      </c>
      <c r="B28" s="4">
        <f>INDEX($C$18:$C$23,Inputs!$B$4)</f>
        <v/>
      </c>
      <c r="C28" t="inlineStr">
        <is>
          <t>annual</t>
        </is>
      </c>
    </row>
    <row r="29">
      <c r="A29" t="inlineStr">
        <is>
          <t>Loss severity</t>
        </is>
      </c>
      <c r="B29" s="4">
        <f>INDEX($D$18:$D$23,Inputs!$B$4)</f>
        <v/>
      </c>
      <c r="C29" t="inlineStr">
        <is>
          <t>of defaulted balance</t>
        </is>
      </c>
    </row>
    <row r="30">
      <c r="A30" t="inlineStr">
        <is>
          <t>Recovery lag (months)</t>
        </is>
      </c>
      <c r="B30">
        <f>INDEX($E$18:$E$23,Inputs!$B$4)</f>
        <v/>
      </c>
      <c r="C30" t="inlineStr"/>
    </row>
    <row r="31">
      <c r="A31" t="inlineStr">
        <is>
          <t>Forward curve shift (bps)</t>
        </is>
      </c>
      <c r="B31">
        <f>INDEX($F$18:$F$23,Inputs!$B$4)</f>
        <v/>
      </c>
      <c r="C31" t="inlineStr"/>
    </row>
    <row r="32">
      <c r="A32" t="inlineStr">
        <is>
          <t>SMM</t>
        </is>
      </c>
      <c r="B32" s="3">
        <f>1-(1-Inputs!$B$27)^(1/12)</f>
        <v/>
      </c>
      <c r="C32" t="inlineStr">
        <is>
          <t>monthly</t>
        </is>
      </c>
    </row>
    <row r="33">
      <c r="A33" t="inlineStr">
        <is>
          <t>MDR</t>
        </is>
      </c>
      <c r="B33" s="3">
        <f>1-(1-Inputs!$B$28)^(1/12)</f>
        <v/>
      </c>
      <c r="C33" t="inlineStr">
        <is>
          <t>monthly</t>
        </is>
      </c>
    </row>
    <row r="35">
      <c r="A35" s="1" t="inlineStr">
        <is>
          <t>Curve, notes, fees, reserve</t>
        </is>
      </c>
    </row>
    <row r="36">
      <c r="A36" t="inlineStr">
        <is>
          <t>Forward index at t=0</t>
        </is>
      </c>
      <c r="B36" s="3" t="n">
        <v>0.043</v>
      </c>
      <c r="C36" t="inlineStr"/>
    </row>
    <row r="37">
      <c r="A37" t="inlineStr">
        <is>
          <t>Forward index long-run</t>
        </is>
      </c>
      <c r="B37" s="3" t="n">
        <v>0.0325</v>
      </c>
      <c r="C37" t="inlineStr"/>
    </row>
    <row r="38">
      <c r="A38" t="inlineStr">
        <is>
          <t>Curve time constant (months)</t>
        </is>
      </c>
      <c r="B38" t="n">
        <v>24</v>
      </c>
      <c r="C38" t="inlineStr"/>
    </row>
    <row r="39">
      <c r="A39" t="inlineStr">
        <is>
          <t>Class A balance</t>
        </is>
      </c>
      <c r="B39" s="2" t="n">
        <v>300000000</v>
      </c>
      <c r="C39" t="inlineStr"/>
    </row>
    <row r="40">
      <c r="A40" t="inlineStr">
        <is>
          <t>Class B balance</t>
        </is>
      </c>
      <c r="B40" s="2" t="n">
        <v>40000000</v>
      </c>
      <c r="C40" t="inlineStr"/>
    </row>
    <row r="41">
      <c r="A41" t="inlineStr">
        <is>
          <t>Class C balance</t>
        </is>
      </c>
      <c r="B41" s="2" t="n">
        <v>30000000</v>
      </c>
      <c r="C41" t="inlineStr"/>
    </row>
    <row r="42">
      <c r="A42" t="inlineStr">
        <is>
          <t>Class A margin over index</t>
        </is>
      </c>
      <c r="B42" s="3" t="n">
        <v>0.011</v>
      </c>
      <c r="C42" t="inlineStr"/>
    </row>
    <row r="43">
      <c r="A43" t="inlineStr">
        <is>
          <t>Class B margin over index</t>
        </is>
      </c>
      <c r="B43" s="3" t="n">
        <v>0.0225</v>
      </c>
      <c r="C43" t="inlineStr"/>
    </row>
    <row r="44">
      <c r="A44" t="inlineStr">
        <is>
          <t>Class C fixed coupon</t>
        </is>
      </c>
      <c r="B44" s="3" t="n">
        <v>0.075</v>
      </c>
      <c r="C44" t="inlineStr"/>
    </row>
    <row r="45">
      <c r="A45" t="inlineStr">
        <is>
          <t>Servicing fee (annual)</t>
        </is>
      </c>
      <c r="B45" s="3" t="n">
        <v>0.006</v>
      </c>
      <c r="C45" t="inlineStr"/>
    </row>
    <row r="46">
      <c r="A46" t="inlineStr">
        <is>
          <t>Trustee fee (annual)</t>
        </is>
      </c>
      <c r="B46" s="3" t="n">
        <v>0.0003</v>
      </c>
      <c r="C46" t="inlineStr"/>
    </row>
    <row r="47">
      <c r="A47" t="inlineStr">
        <is>
          <t>Reserve account initial funding</t>
        </is>
      </c>
      <c r="B47" s="2" t="n">
        <v>3000000</v>
      </c>
      <c r="C47" t="inlineStr"/>
    </row>
    <row r="48">
      <c r="A48" t="inlineStr">
        <is>
          <t>Reserve account target</t>
        </is>
      </c>
      <c r="B48" s="2" t="n">
        <v>3000000</v>
      </c>
      <c r="C48" t="inlineStr"/>
    </row>
    <row r="49">
      <c r="A49" t="inlineStr">
        <is>
          <t>Pool balance</t>
        </is>
      </c>
      <c r="B49" s="2">
        <f>SUM($B$6:$B$15)</f>
        <v/>
      </c>
      <c r="C49" t="inlineStr"/>
    </row>
    <row r="50">
      <c r="A50" t="inlineStr">
        <is>
          <t>Residual balance (pool + reserve - A - B - C)</t>
        </is>
      </c>
      <c r="B50" s="2">
        <f>Inputs!$B$49+Inputs!$B$47-Inputs!$B$39-Inputs!$B$40-Inputs!$B$41</f>
        <v/>
      </c>
      <c r="C50" t="inlineStr"/>
    </row>
    <row r="51">
      <c r="A51" t="inlineStr">
        <is>
          <t>Senior fee rate (annual)</t>
        </is>
      </c>
      <c r="B51" s="3">
        <f>Inputs!$B$45+Inputs!$B$46</f>
        <v/>
      </c>
      <c r="C51" t="inlineStr"/>
    </row>
    <row r="52">
      <c r="A52" t="inlineStr">
        <is>
          <t>Principal mode (sequential or pro_rata)</t>
        </is>
      </c>
      <c r="B52" t="inlineStr">
        <is>
          <t>sequential</t>
        </is>
      </c>
      <c r="C52" t="inlineStr"/>
    </row>
    <row r="53">
      <c r="A53" t="inlineStr">
        <is>
          <t>Sequential flag</t>
        </is>
      </c>
      <c r="B53">
        <f>IF(Inputs!$B$52="sequential",1,0)</f>
        <v/>
      </c>
      <c r="C53" t="inlineStr"/>
    </row>
    <row r="55">
      <c r="A55" s="1" t="inlineStr">
        <is>
          <t>Credit enhancement triggers</t>
        </is>
      </c>
    </row>
    <row r="56">
      <c r="A56" t="inlineStr">
        <is>
          <t>OC test Class A minimum</t>
        </is>
      </c>
      <c r="B56" s="5" t="n">
        <v>1.25</v>
      </c>
      <c r="C56" t="inlineStr"/>
    </row>
    <row r="57">
      <c r="A57" t="inlineStr">
        <is>
          <t>OC test Class B minimum</t>
        </is>
      </c>
      <c r="B57" s="5" t="n">
        <v>1.12</v>
      </c>
      <c r="C57" t="inlineStr"/>
    </row>
    <row r="58">
      <c r="A58" t="inlineStr">
        <is>
          <t>OC test Class C minimum</t>
        </is>
      </c>
      <c r="B58" s="5" t="n">
        <v>1.045</v>
      </c>
      <c r="C58" t="inlineStr"/>
    </row>
    <row r="59">
      <c r="A59" t="inlineStr">
        <is>
          <t>IC test Class A minimum</t>
        </is>
      </c>
      <c r="B59" s="5" t="n">
        <v>1.5</v>
      </c>
      <c r="C59" t="inlineStr"/>
    </row>
    <row r="60">
      <c r="A60" t="inlineStr">
        <is>
          <t>IC test Class B minimum</t>
        </is>
      </c>
      <c r="B60" s="5" t="n">
        <v>1.3</v>
      </c>
      <c r="C60" t="inlineStr"/>
    </row>
    <row r="61">
      <c r="A61" t="inlineStr">
        <is>
          <t>IC test Class C minimum</t>
        </is>
      </c>
      <c r="B61" s="5" t="n">
        <v>1.15</v>
      </c>
      <c r="C61" t="inlineStr"/>
    </row>
    <row r="63">
      <c r="A63" s="1" t="inlineStr">
        <is>
          <t>Retention, fair value margins, financing</t>
        </is>
      </c>
    </row>
    <row r="64">
      <c r="A64" t="inlineStr">
        <is>
          <t>FV margin A over forward</t>
        </is>
      </c>
      <c r="B64" s="3" t="n">
        <v>0.011</v>
      </c>
      <c r="C64" t="inlineStr"/>
    </row>
    <row r="65">
      <c r="A65" t="inlineStr">
        <is>
          <t>FV margin B</t>
        </is>
      </c>
      <c r="B65" s="3" t="n">
        <v>0.0275</v>
      </c>
      <c r="C65" t="inlineStr"/>
    </row>
    <row r="66">
      <c r="A66" t="inlineStr">
        <is>
          <t>FV margin C</t>
        </is>
      </c>
      <c r="B66" s="3" t="n">
        <v>0.045</v>
      </c>
      <c r="C66" t="inlineStr"/>
    </row>
    <row r="67">
      <c r="A67" t="inlineStr">
        <is>
          <t>FV margin residual</t>
        </is>
      </c>
      <c r="B67" s="3" t="n">
        <v>0.12</v>
      </c>
      <c r="C67" t="inlineStr"/>
    </row>
    <row r="68">
      <c r="A68" t="inlineStr">
        <is>
          <t>Required retention</t>
        </is>
      </c>
      <c r="B68" s="3" t="n">
        <v>0.05</v>
      </c>
      <c r="C68" t="inlineStr"/>
    </row>
    <row r="69">
      <c r="A69" t="inlineStr">
        <is>
          <t>L-shape vertical share</t>
        </is>
      </c>
      <c r="B69" s="3" t="n">
        <v>0.025</v>
      </c>
      <c r="C69" t="inlineStr"/>
    </row>
    <row r="70">
      <c r="A70" t="inlineStr">
        <is>
          <t>EU vertical: A sold (1/0)</t>
        </is>
      </c>
      <c r="B70" t="n">
        <v>1</v>
      </c>
      <c r="C70" t="inlineStr"/>
    </row>
    <row r="71">
      <c r="A71" t="inlineStr">
        <is>
          <t>EU vertical: B sold (1/0)</t>
        </is>
      </c>
      <c r="B71" t="n">
        <v>1</v>
      </c>
      <c r="C71" t="inlineStr"/>
    </row>
    <row r="72">
      <c r="A72" t="inlineStr">
        <is>
          <t>EU vertical: C sold (1/0)</t>
        </is>
      </c>
      <c r="B72" t="n">
        <v>1</v>
      </c>
      <c r="C72" t="inlineStr"/>
    </row>
    <row r="73">
      <c r="A73" t="inlineStr">
        <is>
          <t>EU vertical: R sold (1/0)</t>
        </is>
      </c>
      <c r="B73" t="n">
        <v>1</v>
      </c>
      <c r="C73" t="inlineStr"/>
    </row>
    <row r="74">
      <c r="A74" t="inlineStr">
        <is>
          <t>Advance rate A</t>
        </is>
      </c>
      <c r="B74" s="3" t="n">
        <v>0.85</v>
      </c>
      <c r="C74" t="inlineStr"/>
    </row>
    <row r="75">
      <c r="A75" t="inlineStr">
        <is>
          <t>Advance rate B</t>
        </is>
      </c>
      <c r="B75" s="3" t="n">
        <v>0.7</v>
      </c>
      <c r="C75" t="inlineStr"/>
    </row>
    <row r="76">
      <c r="A76" t="inlineStr">
        <is>
          <t>Advance rate C</t>
        </is>
      </c>
      <c r="B76" s="3" t="n">
        <v>0.55</v>
      </c>
      <c r="C76" t="inlineStr"/>
    </row>
    <row r="77">
      <c r="A77" t="inlineStr">
        <is>
          <t>Advance rate residual</t>
        </is>
      </c>
      <c r="B77" s="3" t="n">
        <v>0.3</v>
      </c>
      <c r="C77" t="inlineStr"/>
    </row>
    <row r="78">
      <c r="A78" t="inlineStr">
        <is>
          <t>Financing spread over forward</t>
        </is>
      </c>
      <c r="B78" s="3" t="n">
        <v>0.0275</v>
      </c>
      <c r="C78" t="inlineStr"/>
    </row>
    <row r="80">
      <c r="A80" s="1" t="inlineStr">
        <is>
          <t>Optional FV sizing override: leave blank to size retention on the selected scenario, or paste base-case fair values to fix sizing at closing</t>
        </is>
      </c>
    </row>
    <row r="81">
      <c r="A81" t="inlineStr">
        <is>
          <t>Locked fair value A</t>
        </is>
      </c>
      <c r="B81" s="2" t="n"/>
      <c r="C81" t="inlineStr"/>
    </row>
    <row r="82">
      <c r="A82" t="inlineStr">
        <is>
          <t>Locked fair value B</t>
        </is>
      </c>
      <c r="B82" s="2" t="n"/>
      <c r="C82" t="inlineStr"/>
    </row>
    <row r="83">
      <c r="A83" t="inlineStr">
        <is>
          <t>Locked fair value C</t>
        </is>
      </c>
      <c r="B83" s="2" t="n"/>
      <c r="C83" t="inlineStr"/>
    </row>
    <row r="84">
      <c r="A84" t="inlineStr">
        <is>
          <t>Locked fair value R</t>
        </is>
      </c>
      <c r="B84" s="2" t="n"/>
      <c r="C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</cols>
  <sheetData>
    <row r="1">
      <c r="A1" s="1" t="inlineStr">
        <is>
          <t>Pool</t>
        </is>
      </c>
    </row>
    <row r="2">
      <c r="A2" t="inlineStr">
        <is>
          <t>Rep-line amortization. Order: defaults, interest, scheduled principal, prepayment. Period 0 is closing.</t>
        </is>
      </c>
    </row>
    <row r="4">
      <c r="A4" s="6" t="inlineStr">
        <is>
          <t>Period</t>
        </is>
      </c>
      <c r="B4" s="6" t="inlineStr">
        <is>
          <t>Forward index</t>
        </is>
      </c>
      <c r="C4" s="6" t="inlineStr">
        <is>
          <t>RL01 beg</t>
        </is>
      </c>
      <c r="D4" s="6" t="inlineStr">
        <is>
          <t>RL01 defaults</t>
        </is>
      </c>
      <c r="E4" s="6" t="inlineStr">
        <is>
          <t>RL01 interest</t>
        </is>
      </c>
      <c r="F4" s="6" t="inlineStr">
        <is>
          <t>RL01 sched prin</t>
        </is>
      </c>
      <c r="G4" s="6" t="inlineStr">
        <is>
          <t>RL01 prepay</t>
        </is>
      </c>
      <c r="H4" s="6" t="inlineStr">
        <is>
          <t>RL01 end</t>
        </is>
      </c>
      <c r="I4" s="6" t="inlineStr">
        <is>
          <t>RL02 beg</t>
        </is>
      </c>
      <c r="J4" s="6" t="inlineStr">
        <is>
          <t>RL02 defaults</t>
        </is>
      </c>
      <c r="K4" s="6" t="inlineStr">
        <is>
          <t>RL02 interest</t>
        </is>
      </c>
      <c r="L4" s="6" t="inlineStr">
        <is>
          <t>RL02 sched prin</t>
        </is>
      </c>
      <c r="M4" s="6" t="inlineStr">
        <is>
          <t>RL02 prepay</t>
        </is>
      </c>
      <c r="N4" s="6" t="inlineStr">
        <is>
          <t>RL02 end</t>
        </is>
      </c>
      <c r="O4" s="6" t="inlineStr">
        <is>
          <t>RL03 beg</t>
        </is>
      </c>
      <c r="P4" s="6" t="inlineStr">
        <is>
          <t>RL03 defaults</t>
        </is>
      </c>
      <c r="Q4" s="6" t="inlineStr">
        <is>
          <t>RL03 interest</t>
        </is>
      </c>
      <c r="R4" s="6" t="inlineStr">
        <is>
          <t>RL03 sched prin</t>
        </is>
      </c>
      <c r="S4" s="6" t="inlineStr">
        <is>
          <t>RL03 prepay</t>
        </is>
      </c>
      <c r="T4" s="6" t="inlineStr">
        <is>
          <t>RL03 end</t>
        </is>
      </c>
      <c r="U4" s="6" t="inlineStr">
        <is>
          <t>RL04 beg</t>
        </is>
      </c>
      <c r="V4" s="6" t="inlineStr">
        <is>
          <t>RL04 defaults</t>
        </is>
      </c>
      <c r="W4" s="6" t="inlineStr">
        <is>
          <t>RL04 interest</t>
        </is>
      </c>
      <c r="X4" s="6" t="inlineStr">
        <is>
          <t>RL04 sched prin</t>
        </is>
      </c>
      <c r="Y4" s="6" t="inlineStr">
        <is>
          <t>RL04 prepay</t>
        </is>
      </c>
      <c r="Z4" s="6" t="inlineStr">
        <is>
          <t>RL04 end</t>
        </is>
      </c>
      <c r="AA4" s="6" t="inlineStr">
        <is>
          <t>RL05 beg</t>
        </is>
      </c>
      <c r="AB4" s="6" t="inlineStr">
        <is>
          <t>RL05 defaults</t>
        </is>
      </c>
      <c r="AC4" s="6" t="inlineStr">
        <is>
          <t>RL05 interest</t>
        </is>
      </c>
      <c r="AD4" s="6" t="inlineStr">
        <is>
          <t>RL05 sched prin</t>
        </is>
      </c>
      <c r="AE4" s="6" t="inlineStr">
        <is>
          <t>RL05 prepay</t>
        </is>
      </c>
      <c r="AF4" s="6" t="inlineStr">
        <is>
          <t>RL05 end</t>
        </is>
      </c>
      <c r="AG4" s="6" t="inlineStr">
        <is>
          <t>RL06 beg</t>
        </is>
      </c>
      <c r="AH4" s="6" t="inlineStr">
        <is>
          <t>RL06 defaults</t>
        </is>
      </c>
      <c r="AI4" s="6" t="inlineStr">
        <is>
          <t>RL06 interest</t>
        </is>
      </c>
      <c r="AJ4" s="6" t="inlineStr">
        <is>
          <t>RL06 sched prin</t>
        </is>
      </c>
      <c r="AK4" s="6" t="inlineStr">
        <is>
          <t>RL06 prepay</t>
        </is>
      </c>
      <c r="AL4" s="6" t="inlineStr">
        <is>
          <t>RL06 end</t>
        </is>
      </c>
      <c r="AM4" s="6" t="inlineStr">
        <is>
          <t>RL07 beg</t>
        </is>
      </c>
      <c r="AN4" s="6" t="inlineStr">
        <is>
          <t>RL07 defaults</t>
        </is>
      </c>
      <c r="AO4" s="6" t="inlineStr">
        <is>
          <t>RL07 interest</t>
        </is>
      </c>
      <c r="AP4" s="6" t="inlineStr">
        <is>
          <t>RL07 sched prin</t>
        </is>
      </c>
      <c r="AQ4" s="6" t="inlineStr">
        <is>
          <t>RL07 prepay</t>
        </is>
      </c>
      <c r="AR4" s="6" t="inlineStr">
        <is>
          <t>RL07 end</t>
        </is>
      </c>
      <c r="AS4" s="6" t="inlineStr">
        <is>
          <t>RL08 beg</t>
        </is>
      </c>
      <c r="AT4" s="6" t="inlineStr">
        <is>
          <t>RL08 defaults</t>
        </is>
      </c>
      <c r="AU4" s="6" t="inlineStr">
        <is>
          <t>RL08 interest</t>
        </is>
      </c>
      <c r="AV4" s="6" t="inlineStr">
        <is>
          <t>RL08 sched prin</t>
        </is>
      </c>
      <c r="AW4" s="6" t="inlineStr">
        <is>
          <t>RL08 prepay</t>
        </is>
      </c>
      <c r="AX4" s="6" t="inlineStr">
        <is>
          <t>RL08 end</t>
        </is>
      </c>
      <c r="AY4" s="6" t="inlineStr">
        <is>
          <t>RL09 beg</t>
        </is>
      </c>
      <c r="AZ4" s="6" t="inlineStr">
        <is>
          <t>RL09 defaults</t>
        </is>
      </c>
      <c r="BA4" s="6" t="inlineStr">
        <is>
          <t>RL09 interest</t>
        </is>
      </c>
      <c r="BB4" s="6" t="inlineStr">
        <is>
          <t>RL09 sched prin</t>
        </is>
      </c>
      <c r="BC4" s="6" t="inlineStr">
        <is>
          <t>RL09 prepay</t>
        </is>
      </c>
      <c r="BD4" s="6" t="inlineStr">
        <is>
          <t>RL09 end</t>
        </is>
      </c>
      <c r="BE4" s="6" t="inlineStr">
        <is>
          <t>RL10 beg</t>
        </is>
      </c>
      <c r="BF4" s="6" t="inlineStr">
        <is>
          <t>RL10 defaults</t>
        </is>
      </c>
      <c r="BG4" s="6" t="inlineStr">
        <is>
          <t>RL10 interest</t>
        </is>
      </c>
      <c r="BH4" s="6" t="inlineStr">
        <is>
          <t>RL10 sched prin</t>
        </is>
      </c>
      <c r="BI4" s="6" t="inlineStr">
        <is>
          <t>RL10 prepay</t>
        </is>
      </c>
      <c r="BJ4" s="6" t="inlineStr">
        <is>
          <t>RL10 end</t>
        </is>
      </c>
      <c r="BK4" s="6" t="inlineStr">
        <is>
          <t>Pool beg balance</t>
        </is>
      </c>
      <c r="BL4" s="6" t="inlineStr">
        <is>
          <t>Pool defaults</t>
        </is>
      </c>
      <c r="BM4" s="6" t="inlineStr">
        <is>
          <t>Pool interest</t>
        </is>
      </c>
      <c r="BN4" s="6" t="inlineStr">
        <is>
          <t>Pool sched principal</t>
        </is>
      </c>
      <c r="BO4" s="6" t="inlineStr">
        <is>
          <t>Pool prepayments</t>
        </is>
      </c>
      <c r="BP4" s="6" t="inlineStr">
        <is>
          <t>Pool end balance</t>
        </is>
      </c>
      <c r="BQ4" s="6" t="inlineStr">
        <is>
          <t>Recoveries</t>
        </is>
      </c>
      <c r="BR4" s="6" t="inlineStr">
        <is>
          <t>Cum defaults</t>
        </is>
      </c>
      <c r="BS4" s="6" t="inlineStr">
        <is>
          <t>Cum recoveries</t>
        </is>
      </c>
      <c r="BT4" s="6" t="inlineStr">
        <is>
          <t>Cum net loss (default x severity)</t>
        </is>
      </c>
      <c r="BU4" s="6" t="inlineStr">
        <is>
          <t>Pending recoveries</t>
        </is>
      </c>
      <c r="BV4" s="6" t="inlineStr">
        <is>
          <t>Collateral value (end + pending)</t>
        </is>
      </c>
      <c r="BW4" s="6" t="inlineStr">
        <is>
          <t>Collateral cash in</t>
        </is>
      </c>
      <c r="BX4" s="6" t="inlineStr">
        <is>
          <t>Balance recon (beg-def-sch-pre-end)</t>
        </is>
      </c>
    </row>
    <row r="5">
      <c r="A5" s="7" t="n">
        <v>0</v>
      </c>
      <c r="B5" s="3">
        <f>Inputs!$B$36+(Inputs!$B$37-Inputs!$B$36)*(1-EXP(-A5/Inputs!$B$38))+Inputs!$B$31/10000</f>
        <v/>
      </c>
      <c r="H5" s="2">
        <f>Inputs!$B$6</f>
        <v/>
      </c>
      <c r="N5" s="2">
        <f>Inputs!$B$7</f>
        <v/>
      </c>
      <c r="T5" s="2">
        <f>Inputs!$B$8</f>
        <v/>
      </c>
      <c r="Z5" s="2">
        <f>Inputs!$B$9</f>
        <v/>
      </c>
      <c r="AF5" s="2">
        <f>Inputs!$B$10</f>
        <v/>
      </c>
      <c r="AL5" s="2">
        <f>Inputs!$B$11</f>
        <v/>
      </c>
      <c r="AR5" s="2">
        <f>Inputs!$B$12</f>
        <v/>
      </c>
      <c r="AX5" s="2">
        <f>Inputs!$B$13</f>
        <v/>
      </c>
      <c r="BD5" s="2">
        <f>Inputs!$B$14</f>
        <v/>
      </c>
      <c r="BJ5" s="2">
        <f>Inputs!$B$15</f>
        <v/>
      </c>
      <c r="BP5" s="2">
        <f>H5+N5+T5+Z5+AF5+AL5+AR5+AX5+BD5+BJ5</f>
        <v/>
      </c>
      <c r="BR5" s="2" t="n">
        <v>0</v>
      </c>
      <c r="BS5" s="2" t="n">
        <v>0</v>
      </c>
      <c r="BT5" s="2" t="n">
        <v>0</v>
      </c>
      <c r="BU5" s="2" t="n">
        <v>0</v>
      </c>
      <c r="BV5" s="2">
        <f>BP5+BU5</f>
        <v/>
      </c>
    </row>
    <row r="6">
      <c r="A6" s="7" t="n">
        <v>1</v>
      </c>
      <c r="B6" s="3">
        <f>Inputs!$B$36+(Inputs!$B$37-Inputs!$B$36)*(1-EXP(-A6/Inputs!$B$38))+Inputs!$B$31/10000</f>
        <v/>
      </c>
      <c r="C6" s="2">
        <f>H5</f>
        <v/>
      </c>
      <c r="D6" s="2">
        <f>C6*Inputs!$B$33</f>
        <v/>
      </c>
      <c r="E6" s="2">
        <f>(C6-D6)*Inputs!$C$6/12</f>
        <v/>
      </c>
      <c r="F6" s="2">
        <f>IF(MAX(Inputs!$D$6-(A6-1),0)&lt;=0,0,(C6-D6)*((Inputs!$C$6/12)/(1-(1+Inputs!$C$6/12)^(-MAX(Inputs!$D$6-(A6-1),0)))-Inputs!$C$6/12))</f>
        <v/>
      </c>
      <c r="G6" s="2">
        <f>(C6-D6-F6)*Inputs!$B$32</f>
        <v/>
      </c>
      <c r="H6" s="2">
        <f>C6-D6-F6-G6</f>
        <v/>
      </c>
      <c r="I6" s="2">
        <f>N5</f>
        <v/>
      </c>
      <c r="J6" s="2">
        <f>I6*Inputs!$B$33</f>
        <v/>
      </c>
      <c r="K6" s="2">
        <f>(I6-J6)*Inputs!$C$7/12</f>
        <v/>
      </c>
      <c r="L6" s="2">
        <f>IF(MAX(Inputs!$D$7-(A6-1),0)&lt;=0,0,(I6-J6)*((Inputs!$C$7/12)/(1-(1+Inputs!$C$7/12)^(-MAX(Inputs!$D$7-(A6-1),0)))-Inputs!$C$7/12))</f>
        <v/>
      </c>
      <c r="M6" s="2">
        <f>(I6-J6-L6)*Inputs!$B$32</f>
        <v/>
      </c>
      <c r="N6" s="2">
        <f>I6-J6-L6-M6</f>
        <v/>
      </c>
      <c r="O6" s="2">
        <f>T5</f>
        <v/>
      </c>
      <c r="P6" s="2">
        <f>O6*Inputs!$B$33</f>
        <v/>
      </c>
      <c r="Q6" s="2">
        <f>(O6-P6)*Inputs!$C$8/12</f>
        <v/>
      </c>
      <c r="R6" s="2">
        <f>IF(MAX(Inputs!$D$8-(A6-1),0)&lt;=0,0,(O6-P6)*((Inputs!$C$8/12)/(1-(1+Inputs!$C$8/12)^(-MAX(Inputs!$D$8-(A6-1),0)))-Inputs!$C$8/12))</f>
        <v/>
      </c>
      <c r="S6" s="2">
        <f>(O6-P6-R6)*Inputs!$B$32</f>
        <v/>
      </c>
      <c r="T6" s="2">
        <f>O6-P6-R6-S6</f>
        <v/>
      </c>
      <c r="U6" s="2">
        <f>Z5</f>
        <v/>
      </c>
      <c r="V6" s="2">
        <f>U6*Inputs!$B$33</f>
        <v/>
      </c>
      <c r="W6" s="2">
        <f>(U6-V6)*Inputs!$C$9/12</f>
        <v/>
      </c>
      <c r="X6" s="2">
        <f>IF(MAX(Inputs!$D$9-(A6-1),0)&lt;=0,0,(U6-V6)*((Inputs!$C$9/12)/(1-(1+Inputs!$C$9/12)^(-MAX(Inputs!$D$9-(A6-1),0)))-Inputs!$C$9/12))</f>
        <v/>
      </c>
      <c r="Y6" s="2">
        <f>(U6-V6-X6)*Inputs!$B$32</f>
        <v/>
      </c>
      <c r="Z6" s="2">
        <f>U6-V6-X6-Y6</f>
        <v/>
      </c>
      <c r="AA6" s="2">
        <f>AF5</f>
        <v/>
      </c>
      <c r="AB6" s="2">
        <f>AA6*Inputs!$B$33</f>
        <v/>
      </c>
      <c r="AC6" s="2">
        <f>(AA6-AB6)*Inputs!$C$10/12</f>
        <v/>
      </c>
      <c r="AD6" s="2">
        <f>IF(MAX(Inputs!$D$10-(A6-1),0)&lt;=0,0,(AA6-AB6)*((Inputs!$C$10/12)/(1-(1+Inputs!$C$10/12)^(-MAX(Inputs!$D$10-(A6-1),0)))-Inputs!$C$10/12))</f>
        <v/>
      </c>
      <c r="AE6" s="2">
        <f>(AA6-AB6-AD6)*Inputs!$B$32</f>
        <v/>
      </c>
      <c r="AF6" s="2">
        <f>AA6-AB6-AD6-AE6</f>
        <v/>
      </c>
      <c r="AG6" s="2">
        <f>AL5</f>
        <v/>
      </c>
      <c r="AH6" s="2">
        <f>AG6*Inputs!$B$33</f>
        <v/>
      </c>
      <c r="AI6" s="2">
        <f>(AG6-AH6)*Inputs!$C$11/12</f>
        <v/>
      </c>
      <c r="AJ6" s="2">
        <f>IF(MAX(Inputs!$D$11-(A6-1),0)&lt;=0,0,(AG6-AH6)*((Inputs!$C$11/12)/(1-(1+Inputs!$C$11/12)^(-MAX(Inputs!$D$11-(A6-1),0)))-Inputs!$C$11/12))</f>
        <v/>
      </c>
      <c r="AK6" s="2">
        <f>(AG6-AH6-AJ6)*Inputs!$B$32</f>
        <v/>
      </c>
      <c r="AL6" s="2">
        <f>AG6-AH6-AJ6-AK6</f>
        <v/>
      </c>
      <c r="AM6" s="2">
        <f>AR5</f>
        <v/>
      </c>
      <c r="AN6" s="2">
        <f>AM6*Inputs!$B$33</f>
        <v/>
      </c>
      <c r="AO6" s="2">
        <f>(AM6-AN6)*Inputs!$C$12/12</f>
        <v/>
      </c>
      <c r="AP6" s="2">
        <f>IF(MAX(Inputs!$D$12-(A6-1),0)&lt;=0,0,(AM6-AN6)*((Inputs!$C$12/12)/(1-(1+Inputs!$C$12/12)^(-MAX(Inputs!$D$12-(A6-1),0)))-Inputs!$C$12/12))</f>
        <v/>
      </c>
      <c r="AQ6" s="2">
        <f>(AM6-AN6-AP6)*Inputs!$B$32</f>
        <v/>
      </c>
      <c r="AR6" s="2">
        <f>AM6-AN6-AP6-AQ6</f>
        <v/>
      </c>
      <c r="AS6" s="2">
        <f>AX5</f>
        <v/>
      </c>
      <c r="AT6" s="2">
        <f>AS6*Inputs!$B$33</f>
        <v/>
      </c>
      <c r="AU6" s="2">
        <f>(AS6-AT6)*Inputs!$C$13/12</f>
        <v/>
      </c>
      <c r="AV6" s="2">
        <f>IF(MAX(Inputs!$D$13-(A6-1),0)&lt;=0,0,(AS6-AT6)*((Inputs!$C$13/12)/(1-(1+Inputs!$C$13/12)^(-MAX(Inputs!$D$13-(A6-1),0)))-Inputs!$C$13/12))</f>
        <v/>
      </c>
      <c r="AW6" s="2">
        <f>(AS6-AT6-AV6)*Inputs!$B$32</f>
        <v/>
      </c>
      <c r="AX6" s="2">
        <f>AS6-AT6-AV6-AW6</f>
        <v/>
      </c>
      <c r="AY6" s="2">
        <f>BD5</f>
        <v/>
      </c>
      <c r="AZ6" s="2">
        <f>AY6*Inputs!$B$33</f>
        <v/>
      </c>
      <c r="BA6" s="2">
        <f>(AY6-AZ6)*Inputs!$C$14/12</f>
        <v/>
      </c>
      <c r="BB6" s="2">
        <f>IF(MAX(Inputs!$D$14-(A6-1),0)&lt;=0,0,(AY6-AZ6)*((Inputs!$C$14/12)/(1-(1+Inputs!$C$14/12)^(-MAX(Inputs!$D$14-(A6-1),0)))-Inputs!$C$14/12))</f>
        <v/>
      </c>
      <c r="BC6" s="2">
        <f>(AY6-AZ6-BB6)*Inputs!$B$32</f>
        <v/>
      </c>
      <c r="BD6" s="2">
        <f>AY6-AZ6-BB6-BC6</f>
        <v/>
      </c>
      <c r="BE6" s="2">
        <f>BJ5</f>
        <v/>
      </c>
      <c r="BF6" s="2">
        <f>BE6*Inputs!$B$33</f>
        <v/>
      </c>
      <c r="BG6" s="2">
        <f>(BE6-BF6)*Inputs!$C$15/12</f>
        <v/>
      </c>
      <c r="BH6" s="2">
        <f>IF(MAX(Inputs!$D$15-(A6-1),0)&lt;=0,0,(BE6-BF6)*((Inputs!$C$15/12)/(1-(1+Inputs!$C$15/12)^(-MAX(Inputs!$D$15-(A6-1),0)))-Inputs!$C$15/12))</f>
        <v/>
      </c>
      <c r="BI6" s="2">
        <f>(BE6-BF6-BH6)*Inputs!$B$32</f>
        <v/>
      </c>
      <c r="BJ6" s="2">
        <f>BE6-BF6-BH6-BI6</f>
        <v/>
      </c>
      <c r="BK6" s="2">
        <f>C6+I6+O6+U6+AA6+AG6+AM6+AS6+AY6+BE6</f>
        <v/>
      </c>
      <c r="BL6" s="2">
        <f>D6+J6+P6+V6+AB6+AH6+AN6+AT6+AZ6+BF6</f>
        <v/>
      </c>
      <c r="BM6" s="2">
        <f>E6+K6+Q6+W6+AC6+AI6+AO6+AU6+BA6+BG6</f>
        <v/>
      </c>
      <c r="BN6" s="2">
        <f>F6+L6+R6+X6+AD6+AJ6+AP6+AV6+BB6+BH6</f>
        <v/>
      </c>
      <c r="BO6" s="2">
        <f>G6+M6+S6+Y6+AE6+AK6+AQ6+AW6+BC6+BI6</f>
        <v/>
      </c>
      <c r="BP6" s="2">
        <f>H6+N6+T6+Z6+AF6+AL6+AR6+AX6+BD6+BJ6</f>
        <v/>
      </c>
      <c r="BQ6" s="2">
        <f>IF(A6-Inputs!$B$30&gt;=1,INDEX($BL$5:$BL$101,A6-Inputs!$B$30+1)*(1-Inputs!$B$29),0)</f>
        <v/>
      </c>
      <c r="BR6" s="2">
        <f>BR5+BL6</f>
        <v/>
      </c>
      <c r="BS6" s="2">
        <f>BS5+BQ6</f>
        <v/>
      </c>
      <c r="BT6" s="2">
        <f>BR6*Inputs!$B$29</f>
        <v/>
      </c>
      <c r="BU6" s="2">
        <f>BR6*(1-Inputs!$B$29)-BS6</f>
        <v/>
      </c>
      <c r="BV6" s="2">
        <f>BP6+BU6</f>
        <v/>
      </c>
      <c r="BW6" s="2">
        <f>BM6+BN6+BO6+BQ6</f>
        <v/>
      </c>
      <c r="BX6" s="8">
        <f>BK6-BL6-BN6-BO6-BP6</f>
        <v/>
      </c>
    </row>
    <row r="7">
      <c r="A7" s="7" t="n">
        <v>2</v>
      </c>
      <c r="B7" s="3">
        <f>Inputs!$B$36+(Inputs!$B$37-Inputs!$B$36)*(1-EXP(-A7/Inputs!$B$38))+Inputs!$B$31/10000</f>
        <v/>
      </c>
      <c r="C7" s="2">
        <f>H6</f>
        <v/>
      </c>
      <c r="D7" s="2">
        <f>C7*Inputs!$B$33</f>
        <v/>
      </c>
      <c r="E7" s="2">
        <f>(C7-D7)*Inputs!$C$6/12</f>
        <v/>
      </c>
      <c r="F7" s="2">
        <f>IF(MAX(Inputs!$D$6-(A7-1),0)&lt;=0,0,(C7-D7)*((Inputs!$C$6/12)/(1-(1+Inputs!$C$6/12)^(-MAX(Inputs!$D$6-(A7-1),0)))-Inputs!$C$6/12))</f>
        <v/>
      </c>
      <c r="G7" s="2">
        <f>(C7-D7-F7)*Inputs!$B$32</f>
        <v/>
      </c>
      <c r="H7" s="2">
        <f>C7-D7-F7-G7</f>
        <v/>
      </c>
      <c r="I7" s="2">
        <f>N6</f>
        <v/>
      </c>
      <c r="J7" s="2">
        <f>I7*Inputs!$B$33</f>
        <v/>
      </c>
      <c r="K7" s="2">
        <f>(I7-J7)*Inputs!$C$7/12</f>
        <v/>
      </c>
      <c r="L7" s="2">
        <f>IF(MAX(Inputs!$D$7-(A7-1),0)&lt;=0,0,(I7-J7)*((Inputs!$C$7/12)/(1-(1+Inputs!$C$7/12)^(-MAX(Inputs!$D$7-(A7-1),0)))-Inputs!$C$7/12))</f>
        <v/>
      </c>
      <c r="M7" s="2">
        <f>(I7-J7-L7)*Inputs!$B$32</f>
        <v/>
      </c>
      <c r="N7" s="2">
        <f>I7-J7-L7-M7</f>
        <v/>
      </c>
      <c r="O7" s="2">
        <f>T6</f>
        <v/>
      </c>
      <c r="P7" s="2">
        <f>O7*Inputs!$B$33</f>
        <v/>
      </c>
      <c r="Q7" s="2">
        <f>(O7-P7)*Inputs!$C$8/12</f>
        <v/>
      </c>
      <c r="R7" s="2">
        <f>IF(MAX(Inputs!$D$8-(A7-1),0)&lt;=0,0,(O7-P7)*((Inputs!$C$8/12)/(1-(1+Inputs!$C$8/12)^(-MAX(Inputs!$D$8-(A7-1),0)))-Inputs!$C$8/12))</f>
        <v/>
      </c>
      <c r="S7" s="2">
        <f>(O7-P7-R7)*Inputs!$B$32</f>
        <v/>
      </c>
      <c r="T7" s="2">
        <f>O7-P7-R7-S7</f>
        <v/>
      </c>
      <c r="U7" s="2">
        <f>Z6</f>
        <v/>
      </c>
      <c r="V7" s="2">
        <f>U7*Inputs!$B$33</f>
        <v/>
      </c>
      <c r="W7" s="2">
        <f>(U7-V7)*Inputs!$C$9/12</f>
        <v/>
      </c>
      <c r="X7" s="2">
        <f>IF(MAX(Inputs!$D$9-(A7-1),0)&lt;=0,0,(U7-V7)*((Inputs!$C$9/12)/(1-(1+Inputs!$C$9/12)^(-MAX(Inputs!$D$9-(A7-1),0)))-Inputs!$C$9/12))</f>
        <v/>
      </c>
      <c r="Y7" s="2">
        <f>(U7-V7-X7)*Inputs!$B$32</f>
        <v/>
      </c>
      <c r="Z7" s="2">
        <f>U7-V7-X7-Y7</f>
        <v/>
      </c>
      <c r="AA7" s="2">
        <f>AF6</f>
        <v/>
      </c>
      <c r="AB7" s="2">
        <f>AA7*Inputs!$B$33</f>
        <v/>
      </c>
      <c r="AC7" s="2">
        <f>(AA7-AB7)*Inputs!$C$10/12</f>
        <v/>
      </c>
      <c r="AD7" s="2">
        <f>IF(MAX(Inputs!$D$10-(A7-1),0)&lt;=0,0,(AA7-AB7)*((Inputs!$C$10/12)/(1-(1+Inputs!$C$10/12)^(-MAX(Inputs!$D$10-(A7-1),0)))-Inputs!$C$10/12))</f>
        <v/>
      </c>
      <c r="AE7" s="2">
        <f>(AA7-AB7-AD7)*Inputs!$B$32</f>
        <v/>
      </c>
      <c r="AF7" s="2">
        <f>AA7-AB7-AD7-AE7</f>
        <v/>
      </c>
      <c r="AG7" s="2">
        <f>AL6</f>
        <v/>
      </c>
      <c r="AH7" s="2">
        <f>AG7*Inputs!$B$33</f>
        <v/>
      </c>
      <c r="AI7" s="2">
        <f>(AG7-AH7)*Inputs!$C$11/12</f>
        <v/>
      </c>
      <c r="AJ7" s="2">
        <f>IF(MAX(Inputs!$D$11-(A7-1),0)&lt;=0,0,(AG7-AH7)*((Inputs!$C$11/12)/(1-(1+Inputs!$C$11/12)^(-MAX(Inputs!$D$11-(A7-1),0)))-Inputs!$C$11/12))</f>
        <v/>
      </c>
      <c r="AK7" s="2">
        <f>(AG7-AH7-AJ7)*Inputs!$B$32</f>
        <v/>
      </c>
      <c r="AL7" s="2">
        <f>AG7-AH7-AJ7-AK7</f>
        <v/>
      </c>
      <c r="AM7" s="2">
        <f>AR6</f>
        <v/>
      </c>
      <c r="AN7" s="2">
        <f>AM7*Inputs!$B$33</f>
        <v/>
      </c>
      <c r="AO7" s="2">
        <f>(AM7-AN7)*Inputs!$C$12/12</f>
        <v/>
      </c>
      <c r="AP7" s="2">
        <f>IF(MAX(Inputs!$D$12-(A7-1),0)&lt;=0,0,(AM7-AN7)*((Inputs!$C$12/12)/(1-(1+Inputs!$C$12/12)^(-MAX(Inputs!$D$12-(A7-1),0)))-Inputs!$C$12/12))</f>
        <v/>
      </c>
      <c r="AQ7" s="2">
        <f>(AM7-AN7-AP7)*Inputs!$B$32</f>
        <v/>
      </c>
      <c r="AR7" s="2">
        <f>AM7-AN7-AP7-AQ7</f>
        <v/>
      </c>
      <c r="AS7" s="2">
        <f>AX6</f>
        <v/>
      </c>
      <c r="AT7" s="2">
        <f>AS7*Inputs!$B$33</f>
        <v/>
      </c>
      <c r="AU7" s="2">
        <f>(AS7-AT7)*Inputs!$C$13/12</f>
        <v/>
      </c>
      <c r="AV7" s="2">
        <f>IF(MAX(Inputs!$D$13-(A7-1),0)&lt;=0,0,(AS7-AT7)*((Inputs!$C$13/12)/(1-(1+Inputs!$C$13/12)^(-MAX(Inputs!$D$13-(A7-1),0)))-Inputs!$C$13/12))</f>
        <v/>
      </c>
      <c r="AW7" s="2">
        <f>(AS7-AT7-AV7)*Inputs!$B$32</f>
        <v/>
      </c>
      <c r="AX7" s="2">
        <f>AS7-AT7-AV7-AW7</f>
        <v/>
      </c>
      <c r="AY7" s="2">
        <f>BD6</f>
        <v/>
      </c>
      <c r="AZ7" s="2">
        <f>AY7*Inputs!$B$33</f>
        <v/>
      </c>
      <c r="BA7" s="2">
        <f>(AY7-AZ7)*Inputs!$C$14/12</f>
        <v/>
      </c>
      <c r="BB7" s="2">
        <f>IF(MAX(Inputs!$D$14-(A7-1),0)&lt;=0,0,(AY7-AZ7)*((Inputs!$C$14/12)/(1-(1+Inputs!$C$14/12)^(-MAX(Inputs!$D$14-(A7-1),0)))-Inputs!$C$14/12))</f>
        <v/>
      </c>
      <c r="BC7" s="2">
        <f>(AY7-AZ7-BB7)*Inputs!$B$32</f>
        <v/>
      </c>
      <c r="BD7" s="2">
        <f>AY7-AZ7-BB7-BC7</f>
        <v/>
      </c>
      <c r="BE7" s="2">
        <f>BJ6</f>
        <v/>
      </c>
      <c r="BF7" s="2">
        <f>BE7*Inputs!$B$33</f>
        <v/>
      </c>
      <c r="BG7" s="2">
        <f>(BE7-BF7)*Inputs!$C$15/12</f>
        <v/>
      </c>
      <c r="BH7" s="2">
        <f>IF(MAX(Inputs!$D$15-(A7-1),0)&lt;=0,0,(BE7-BF7)*((Inputs!$C$15/12)/(1-(1+Inputs!$C$15/12)^(-MAX(Inputs!$D$15-(A7-1),0)))-Inputs!$C$15/12))</f>
        <v/>
      </c>
      <c r="BI7" s="2">
        <f>(BE7-BF7-BH7)*Inputs!$B$32</f>
        <v/>
      </c>
      <c r="BJ7" s="2">
        <f>BE7-BF7-BH7-BI7</f>
        <v/>
      </c>
      <c r="BK7" s="2">
        <f>C7+I7+O7+U7+AA7+AG7+AM7+AS7+AY7+BE7</f>
        <v/>
      </c>
      <c r="BL7" s="2">
        <f>D7+J7+P7+V7+AB7+AH7+AN7+AT7+AZ7+BF7</f>
        <v/>
      </c>
      <c r="BM7" s="2">
        <f>E7+K7+Q7+W7+AC7+AI7+AO7+AU7+BA7+BG7</f>
        <v/>
      </c>
      <c r="BN7" s="2">
        <f>F7+L7+R7+X7+AD7+AJ7+AP7+AV7+BB7+BH7</f>
        <v/>
      </c>
      <c r="BO7" s="2">
        <f>G7+M7+S7+Y7+AE7+AK7+AQ7+AW7+BC7+BI7</f>
        <v/>
      </c>
      <c r="BP7" s="2">
        <f>H7+N7+T7+Z7+AF7+AL7+AR7+AX7+BD7+BJ7</f>
        <v/>
      </c>
      <c r="BQ7" s="2">
        <f>IF(A7-Inputs!$B$30&gt;=1,INDEX($BL$5:$BL$101,A7-Inputs!$B$30+1)*(1-Inputs!$B$29),0)</f>
        <v/>
      </c>
      <c r="BR7" s="2">
        <f>BR6+BL7</f>
        <v/>
      </c>
      <c r="BS7" s="2">
        <f>BS6+BQ7</f>
        <v/>
      </c>
      <c r="BT7" s="2">
        <f>BR7*Inputs!$B$29</f>
        <v/>
      </c>
      <c r="BU7" s="2">
        <f>BR7*(1-Inputs!$B$29)-BS7</f>
        <v/>
      </c>
      <c r="BV7" s="2">
        <f>BP7+BU7</f>
        <v/>
      </c>
      <c r="BW7" s="2">
        <f>BM7+BN7+BO7+BQ7</f>
        <v/>
      </c>
      <c r="BX7" s="8">
        <f>BK7-BL7-BN7-BO7-BP7</f>
        <v/>
      </c>
    </row>
    <row r="8">
      <c r="A8" s="7" t="n">
        <v>3</v>
      </c>
      <c r="B8" s="3">
        <f>Inputs!$B$36+(Inputs!$B$37-Inputs!$B$36)*(1-EXP(-A8/Inputs!$B$38))+Inputs!$B$31/10000</f>
        <v/>
      </c>
      <c r="C8" s="2">
        <f>H7</f>
        <v/>
      </c>
      <c r="D8" s="2">
        <f>C8*Inputs!$B$33</f>
        <v/>
      </c>
      <c r="E8" s="2">
        <f>(C8-D8)*Inputs!$C$6/12</f>
        <v/>
      </c>
      <c r="F8" s="2">
        <f>IF(MAX(Inputs!$D$6-(A8-1),0)&lt;=0,0,(C8-D8)*((Inputs!$C$6/12)/(1-(1+Inputs!$C$6/12)^(-MAX(Inputs!$D$6-(A8-1),0)))-Inputs!$C$6/12))</f>
        <v/>
      </c>
      <c r="G8" s="2">
        <f>(C8-D8-F8)*Inputs!$B$32</f>
        <v/>
      </c>
      <c r="H8" s="2">
        <f>C8-D8-F8-G8</f>
        <v/>
      </c>
      <c r="I8" s="2">
        <f>N7</f>
        <v/>
      </c>
      <c r="J8" s="2">
        <f>I8*Inputs!$B$33</f>
        <v/>
      </c>
      <c r="K8" s="2">
        <f>(I8-J8)*Inputs!$C$7/12</f>
        <v/>
      </c>
      <c r="L8" s="2">
        <f>IF(MAX(Inputs!$D$7-(A8-1),0)&lt;=0,0,(I8-J8)*((Inputs!$C$7/12)/(1-(1+Inputs!$C$7/12)^(-MAX(Inputs!$D$7-(A8-1),0)))-Inputs!$C$7/12))</f>
        <v/>
      </c>
      <c r="M8" s="2">
        <f>(I8-J8-L8)*Inputs!$B$32</f>
        <v/>
      </c>
      <c r="N8" s="2">
        <f>I8-J8-L8-M8</f>
        <v/>
      </c>
      <c r="O8" s="2">
        <f>T7</f>
        <v/>
      </c>
      <c r="P8" s="2">
        <f>O8*Inputs!$B$33</f>
        <v/>
      </c>
      <c r="Q8" s="2">
        <f>(O8-P8)*Inputs!$C$8/12</f>
        <v/>
      </c>
      <c r="R8" s="2">
        <f>IF(MAX(Inputs!$D$8-(A8-1),0)&lt;=0,0,(O8-P8)*((Inputs!$C$8/12)/(1-(1+Inputs!$C$8/12)^(-MAX(Inputs!$D$8-(A8-1),0)))-Inputs!$C$8/12))</f>
        <v/>
      </c>
      <c r="S8" s="2">
        <f>(O8-P8-R8)*Inputs!$B$32</f>
        <v/>
      </c>
      <c r="T8" s="2">
        <f>O8-P8-R8-S8</f>
        <v/>
      </c>
      <c r="U8" s="2">
        <f>Z7</f>
        <v/>
      </c>
      <c r="V8" s="2">
        <f>U8*Inputs!$B$33</f>
        <v/>
      </c>
      <c r="W8" s="2">
        <f>(U8-V8)*Inputs!$C$9/12</f>
        <v/>
      </c>
      <c r="X8" s="2">
        <f>IF(MAX(Inputs!$D$9-(A8-1),0)&lt;=0,0,(U8-V8)*((Inputs!$C$9/12)/(1-(1+Inputs!$C$9/12)^(-MAX(Inputs!$D$9-(A8-1),0)))-Inputs!$C$9/12))</f>
        <v/>
      </c>
      <c r="Y8" s="2">
        <f>(U8-V8-X8)*Inputs!$B$32</f>
        <v/>
      </c>
      <c r="Z8" s="2">
        <f>U8-V8-X8-Y8</f>
        <v/>
      </c>
      <c r="AA8" s="2">
        <f>AF7</f>
        <v/>
      </c>
      <c r="AB8" s="2">
        <f>AA8*Inputs!$B$33</f>
        <v/>
      </c>
      <c r="AC8" s="2">
        <f>(AA8-AB8)*Inputs!$C$10/12</f>
        <v/>
      </c>
      <c r="AD8" s="2">
        <f>IF(MAX(Inputs!$D$10-(A8-1),0)&lt;=0,0,(AA8-AB8)*((Inputs!$C$10/12)/(1-(1+Inputs!$C$10/12)^(-MAX(Inputs!$D$10-(A8-1),0)))-Inputs!$C$10/12))</f>
        <v/>
      </c>
      <c r="AE8" s="2">
        <f>(AA8-AB8-AD8)*Inputs!$B$32</f>
        <v/>
      </c>
      <c r="AF8" s="2">
        <f>AA8-AB8-AD8-AE8</f>
        <v/>
      </c>
      <c r="AG8" s="2">
        <f>AL7</f>
        <v/>
      </c>
      <c r="AH8" s="2">
        <f>AG8*Inputs!$B$33</f>
        <v/>
      </c>
      <c r="AI8" s="2">
        <f>(AG8-AH8)*Inputs!$C$11/12</f>
        <v/>
      </c>
      <c r="AJ8" s="2">
        <f>IF(MAX(Inputs!$D$11-(A8-1),0)&lt;=0,0,(AG8-AH8)*((Inputs!$C$11/12)/(1-(1+Inputs!$C$11/12)^(-MAX(Inputs!$D$11-(A8-1),0)))-Inputs!$C$11/12))</f>
        <v/>
      </c>
      <c r="AK8" s="2">
        <f>(AG8-AH8-AJ8)*Inputs!$B$32</f>
        <v/>
      </c>
      <c r="AL8" s="2">
        <f>AG8-AH8-AJ8-AK8</f>
        <v/>
      </c>
      <c r="AM8" s="2">
        <f>AR7</f>
        <v/>
      </c>
      <c r="AN8" s="2">
        <f>AM8*Inputs!$B$33</f>
        <v/>
      </c>
      <c r="AO8" s="2">
        <f>(AM8-AN8)*Inputs!$C$12/12</f>
        <v/>
      </c>
      <c r="AP8" s="2">
        <f>IF(MAX(Inputs!$D$12-(A8-1),0)&lt;=0,0,(AM8-AN8)*((Inputs!$C$12/12)/(1-(1+Inputs!$C$12/12)^(-MAX(Inputs!$D$12-(A8-1),0)))-Inputs!$C$12/12))</f>
        <v/>
      </c>
      <c r="AQ8" s="2">
        <f>(AM8-AN8-AP8)*Inputs!$B$32</f>
        <v/>
      </c>
      <c r="AR8" s="2">
        <f>AM8-AN8-AP8-AQ8</f>
        <v/>
      </c>
      <c r="AS8" s="2">
        <f>AX7</f>
        <v/>
      </c>
      <c r="AT8" s="2">
        <f>AS8*Inputs!$B$33</f>
        <v/>
      </c>
      <c r="AU8" s="2">
        <f>(AS8-AT8)*Inputs!$C$13/12</f>
        <v/>
      </c>
      <c r="AV8" s="2">
        <f>IF(MAX(Inputs!$D$13-(A8-1),0)&lt;=0,0,(AS8-AT8)*((Inputs!$C$13/12)/(1-(1+Inputs!$C$13/12)^(-MAX(Inputs!$D$13-(A8-1),0)))-Inputs!$C$13/12))</f>
        <v/>
      </c>
      <c r="AW8" s="2">
        <f>(AS8-AT8-AV8)*Inputs!$B$32</f>
        <v/>
      </c>
      <c r="AX8" s="2">
        <f>AS8-AT8-AV8-AW8</f>
        <v/>
      </c>
      <c r="AY8" s="2">
        <f>BD7</f>
        <v/>
      </c>
      <c r="AZ8" s="2">
        <f>AY8*Inputs!$B$33</f>
        <v/>
      </c>
      <c r="BA8" s="2">
        <f>(AY8-AZ8)*Inputs!$C$14/12</f>
        <v/>
      </c>
      <c r="BB8" s="2">
        <f>IF(MAX(Inputs!$D$14-(A8-1),0)&lt;=0,0,(AY8-AZ8)*((Inputs!$C$14/12)/(1-(1+Inputs!$C$14/12)^(-MAX(Inputs!$D$14-(A8-1),0)))-Inputs!$C$14/12))</f>
        <v/>
      </c>
      <c r="BC8" s="2">
        <f>(AY8-AZ8-BB8)*Inputs!$B$32</f>
        <v/>
      </c>
      <c r="BD8" s="2">
        <f>AY8-AZ8-BB8-BC8</f>
        <v/>
      </c>
      <c r="BE8" s="2">
        <f>BJ7</f>
        <v/>
      </c>
      <c r="BF8" s="2">
        <f>BE8*Inputs!$B$33</f>
        <v/>
      </c>
      <c r="BG8" s="2">
        <f>(BE8-BF8)*Inputs!$C$15/12</f>
        <v/>
      </c>
      <c r="BH8" s="2">
        <f>IF(MAX(Inputs!$D$15-(A8-1),0)&lt;=0,0,(BE8-BF8)*((Inputs!$C$15/12)/(1-(1+Inputs!$C$15/12)^(-MAX(Inputs!$D$15-(A8-1),0)))-Inputs!$C$15/12))</f>
        <v/>
      </c>
      <c r="BI8" s="2">
        <f>(BE8-BF8-BH8)*Inputs!$B$32</f>
        <v/>
      </c>
      <c r="BJ8" s="2">
        <f>BE8-BF8-BH8-BI8</f>
        <v/>
      </c>
      <c r="BK8" s="2">
        <f>C8+I8+O8+U8+AA8+AG8+AM8+AS8+AY8+BE8</f>
        <v/>
      </c>
      <c r="BL8" s="2">
        <f>D8+J8+P8+V8+AB8+AH8+AN8+AT8+AZ8+BF8</f>
        <v/>
      </c>
      <c r="BM8" s="2">
        <f>E8+K8+Q8+W8+AC8+AI8+AO8+AU8+BA8+BG8</f>
        <v/>
      </c>
      <c r="BN8" s="2">
        <f>F8+L8+R8+X8+AD8+AJ8+AP8+AV8+BB8+BH8</f>
        <v/>
      </c>
      <c r="BO8" s="2">
        <f>G8+M8+S8+Y8+AE8+AK8+AQ8+AW8+BC8+BI8</f>
        <v/>
      </c>
      <c r="BP8" s="2">
        <f>H8+N8+T8+Z8+AF8+AL8+AR8+AX8+BD8+BJ8</f>
        <v/>
      </c>
      <c r="BQ8" s="2">
        <f>IF(A8-Inputs!$B$30&gt;=1,INDEX($BL$5:$BL$101,A8-Inputs!$B$30+1)*(1-Inputs!$B$29),0)</f>
        <v/>
      </c>
      <c r="BR8" s="2">
        <f>BR7+BL8</f>
        <v/>
      </c>
      <c r="BS8" s="2">
        <f>BS7+BQ8</f>
        <v/>
      </c>
      <c r="BT8" s="2">
        <f>BR8*Inputs!$B$29</f>
        <v/>
      </c>
      <c r="BU8" s="2">
        <f>BR8*(1-Inputs!$B$29)-BS8</f>
        <v/>
      </c>
      <c r="BV8" s="2">
        <f>BP8+BU8</f>
        <v/>
      </c>
      <c r="BW8" s="2">
        <f>BM8+BN8+BO8+BQ8</f>
        <v/>
      </c>
      <c r="BX8" s="8">
        <f>BK8-BL8-BN8-BO8-BP8</f>
        <v/>
      </c>
    </row>
    <row r="9">
      <c r="A9" s="7" t="n">
        <v>4</v>
      </c>
      <c r="B9" s="3">
        <f>Inputs!$B$36+(Inputs!$B$37-Inputs!$B$36)*(1-EXP(-A9/Inputs!$B$38))+Inputs!$B$31/10000</f>
        <v/>
      </c>
      <c r="C9" s="2">
        <f>H8</f>
        <v/>
      </c>
      <c r="D9" s="2">
        <f>C9*Inputs!$B$33</f>
        <v/>
      </c>
      <c r="E9" s="2">
        <f>(C9-D9)*Inputs!$C$6/12</f>
        <v/>
      </c>
      <c r="F9" s="2">
        <f>IF(MAX(Inputs!$D$6-(A9-1),0)&lt;=0,0,(C9-D9)*((Inputs!$C$6/12)/(1-(1+Inputs!$C$6/12)^(-MAX(Inputs!$D$6-(A9-1),0)))-Inputs!$C$6/12))</f>
        <v/>
      </c>
      <c r="G9" s="2">
        <f>(C9-D9-F9)*Inputs!$B$32</f>
        <v/>
      </c>
      <c r="H9" s="2">
        <f>C9-D9-F9-G9</f>
        <v/>
      </c>
      <c r="I9" s="2">
        <f>N8</f>
        <v/>
      </c>
      <c r="J9" s="2">
        <f>I9*Inputs!$B$33</f>
        <v/>
      </c>
      <c r="K9" s="2">
        <f>(I9-J9)*Inputs!$C$7/12</f>
        <v/>
      </c>
      <c r="L9" s="2">
        <f>IF(MAX(Inputs!$D$7-(A9-1),0)&lt;=0,0,(I9-J9)*((Inputs!$C$7/12)/(1-(1+Inputs!$C$7/12)^(-MAX(Inputs!$D$7-(A9-1),0)))-Inputs!$C$7/12))</f>
        <v/>
      </c>
      <c r="M9" s="2">
        <f>(I9-J9-L9)*Inputs!$B$32</f>
        <v/>
      </c>
      <c r="N9" s="2">
        <f>I9-J9-L9-M9</f>
        <v/>
      </c>
      <c r="O9" s="2">
        <f>T8</f>
        <v/>
      </c>
      <c r="P9" s="2">
        <f>O9*Inputs!$B$33</f>
        <v/>
      </c>
      <c r="Q9" s="2">
        <f>(O9-P9)*Inputs!$C$8/12</f>
        <v/>
      </c>
      <c r="R9" s="2">
        <f>IF(MAX(Inputs!$D$8-(A9-1),0)&lt;=0,0,(O9-P9)*((Inputs!$C$8/12)/(1-(1+Inputs!$C$8/12)^(-MAX(Inputs!$D$8-(A9-1),0)))-Inputs!$C$8/12))</f>
        <v/>
      </c>
      <c r="S9" s="2">
        <f>(O9-P9-R9)*Inputs!$B$32</f>
        <v/>
      </c>
      <c r="T9" s="2">
        <f>O9-P9-R9-S9</f>
        <v/>
      </c>
      <c r="U9" s="2">
        <f>Z8</f>
        <v/>
      </c>
      <c r="V9" s="2">
        <f>U9*Inputs!$B$33</f>
        <v/>
      </c>
      <c r="W9" s="2">
        <f>(U9-V9)*Inputs!$C$9/12</f>
        <v/>
      </c>
      <c r="X9" s="2">
        <f>IF(MAX(Inputs!$D$9-(A9-1),0)&lt;=0,0,(U9-V9)*((Inputs!$C$9/12)/(1-(1+Inputs!$C$9/12)^(-MAX(Inputs!$D$9-(A9-1),0)))-Inputs!$C$9/12))</f>
        <v/>
      </c>
      <c r="Y9" s="2">
        <f>(U9-V9-X9)*Inputs!$B$32</f>
        <v/>
      </c>
      <c r="Z9" s="2">
        <f>U9-V9-X9-Y9</f>
        <v/>
      </c>
      <c r="AA9" s="2">
        <f>AF8</f>
        <v/>
      </c>
      <c r="AB9" s="2">
        <f>AA9*Inputs!$B$33</f>
        <v/>
      </c>
      <c r="AC9" s="2">
        <f>(AA9-AB9)*Inputs!$C$10/12</f>
        <v/>
      </c>
      <c r="AD9" s="2">
        <f>IF(MAX(Inputs!$D$10-(A9-1),0)&lt;=0,0,(AA9-AB9)*((Inputs!$C$10/12)/(1-(1+Inputs!$C$10/12)^(-MAX(Inputs!$D$10-(A9-1),0)))-Inputs!$C$10/12))</f>
        <v/>
      </c>
      <c r="AE9" s="2">
        <f>(AA9-AB9-AD9)*Inputs!$B$32</f>
        <v/>
      </c>
      <c r="AF9" s="2">
        <f>AA9-AB9-AD9-AE9</f>
        <v/>
      </c>
      <c r="AG9" s="2">
        <f>AL8</f>
        <v/>
      </c>
      <c r="AH9" s="2">
        <f>AG9*Inputs!$B$33</f>
        <v/>
      </c>
      <c r="AI9" s="2">
        <f>(AG9-AH9)*Inputs!$C$11/12</f>
        <v/>
      </c>
      <c r="AJ9" s="2">
        <f>IF(MAX(Inputs!$D$11-(A9-1),0)&lt;=0,0,(AG9-AH9)*((Inputs!$C$11/12)/(1-(1+Inputs!$C$11/12)^(-MAX(Inputs!$D$11-(A9-1),0)))-Inputs!$C$11/12))</f>
        <v/>
      </c>
      <c r="AK9" s="2">
        <f>(AG9-AH9-AJ9)*Inputs!$B$32</f>
        <v/>
      </c>
      <c r="AL9" s="2">
        <f>AG9-AH9-AJ9-AK9</f>
        <v/>
      </c>
      <c r="AM9" s="2">
        <f>AR8</f>
        <v/>
      </c>
      <c r="AN9" s="2">
        <f>AM9*Inputs!$B$33</f>
        <v/>
      </c>
      <c r="AO9" s="2">
        <f>(AM9-AN9)*Inputs!$C$12/12</f>
        <v/>
      </c>
      <c r="AP9" s="2">
        <f>IF(MAX(Inputs!$D$12-(A9-1),0)&lt;=0,0,(AM9-AN9)*((Inputs!$C$12/12)/(1-(1+Inputs!$C$12/12)^(-MAX(Inputs!$D$12-(A9-1),0)))-Inputs!$C$12/12))</f>
        <v/>
      </c>
      <c r="AQ9" s="2">
        <f>(AM9-AN9-AP9)*Inputs!$B$32</f>
        <v/>
      </c>
      <c r="AR9" s="2">
        <f>AM9-AN9-AP9-AQ9</f>
        <v/>
      </c>
      <c r="AS9" s="2">
        <f>AX8</f>
        <v/>
      </c>
      <c r="AT9" s="2">
        <f>AS9*Inputs!$B$33</f>
        <v/>
      </c>
      <c r="AU9" s="2">
        <f>(AS9-AT9)*Inputs!$C$13/12</f>
        <v/>
      </c>
      <c r="AV9" s="2">
        <f>IF(MAX(Inputs!$D$13-(A9-1),0)&lt;=0,0,(AS9-AT9)*((Inputs!$C$13/12)/(1-(1+Inputs!$C$13/12)^(-MAX(Inputs!$D$13-(A9-1),0)))-Inputs!$C$13/12))</f>
        <v/>
      </c>
      <c r="AW9" s="2">
        <f>(AS9-AT9-AV9)*Inputs!$B$32</f>
        <v/>
      </c>
      <c r="AX9" s="2">
        <f>AS9-AT9-AV9-AW9</f>
        <v/>
      </c>
      <c r="AY9" s="2">
        <f>BD8</f>
        <v/>
      </c>
      <c r="AZ9" s="2">
        <f>AY9*Inputs!$B$33</f>
        <v/>
      </c>
      <c r="BA9" s="2">
        <f>(AY9-AZ9)*Inputs!$C$14/12</f>
        <v/>
      </c>
      <c r="BB9" s="2">
        <f>IF(MAX(Inputs!$D$14-(A9-1),0)&lt;=0,0,(AY9-AZ9)*((Inputs!$C$14/12)/(1-(1+Inputs!$C$14/12)^(-MAX(Inputs!$D$14-(A9-1),0)))-Inputs!$C$14/12))</f>
        <v/>
      </c>
      <c r="BC9" s="2">
        <f>(AY9-AZ9-BB9)*Inputs!$B$32</f>
        <v/>
      </c>
      <c r="BD9" s="2">
        <f>AY9-AZ9-BB9-BC9</f>
        <v/>
      </c>
      <c r="BE9" s="2">
        <f>BJ8</f>
        <v/>
      </c>
      <c r="BF9" s="2">
        <f>BE9*Inputs!$B$33</f>
        <v/>
      </c>
      <c r="BG9" s="2">
        <f>(BE9-BF9)*Inputs!$C$15/12</f>
        <v/>
      </c>
      <c r="BH9" s="2">
        <f>IF(MAX(Inputs!$D$15-(A9-1),0)&lt;=0,0,(BE9-BF9)*((Inputs!$C$15/12)/(1-(1+Inputs!$C$15/12)^(-MAX(Inputs!$D$15-(A9-1),0)))-Inputs!$C$15/12))</f>
        <v/>
      </c>
      <c r="BI9" s="2">
        <f>(BE9-BF9-BH9)*Inputs!$B$32</f>
        <v/>
      </c>
      <c r="BJ9" s="2">
        <f>BE9-BF9-BH9-BI9</f>
        <v/>
      </c>
      <c r="BK9" s="2">
        <f>C9+I9+O9+U9+AA9+AG9+AM9+AS9+AY9+BE9</f>
        <v/>
      </c>
      <c r="BL9" s="2">
        <f>D9+J9+P9+V9+AB9+AH9+AN9+AT9+AZ9+BF9</f>
        <v/>
      </c>
      <c r="BM9" s="2">
        <f>E9+K9+Q9+W9+AC9+AI9+AO9+AU9+BA9+BG9</f>
        <v/>
      </c>
      <c r="BN9" s="2">
        <f>F9+L9+R9+X9+AD9+AJ9+AP9+AV9+BB9+BH9</f>
        <v/>
      </c>
      <c r="BO9" s="2">
        <f>G9+M9+S9+Y9+AE9+AK9+AQ9+AW9+BC9+BI9</f>
        <v/>
      </c>
      <c r="BP9" s="2">
        <f>H9+N9+T9+Z9+AF9+AL9+AR9+AX9+BD9+BJ9</f>
        <v/>
      </c>
      <c r="BQ9" s="2">
        <f>IF(A9-Inputs!$B$30&gt;=1,INDEX($BL$5:$BL$101,A9-Inputs!$B$30+1)*(1-Inputs!$B$29),0)</f>
        <v/>
      </c>
      <c r="BR9" s="2">
        <f>BR8+BL9</f>
        <v/>
      </c>
      <c r="BS9" s="2">
        <f>BS8+BQ9</f>
        <v/>
      </c>
      <c r="BT9" s="2">
        <f>BR9*Inputs!$B$29</f>
        <v/>
      </c>
      <c r="BU9" s="2">
        <f>BR9*(1-Inputs!$B$29)-BS9</f>
        <v/>
      </c>
      <c r="BV9" s="2">
        <f>BP9+BU9</f>
        <v/>
      </c>
      <c r="BW9" s="2">
        <f>BM9+BN9+BO9+BQ9</f>
        <v/>
      </c>
      <c r="BX9" s="8">
        <f>BK9-BL9-BN9-BO9-BP9</f>
        <v/>
      </c>
    </row>
    <row r="10">
      <c r="A10" s="7" t="n">
        <v>5</v>
      </c>
      <c r="B10" s="3">
        <f>Inputs!$B$36+(Inputs!$B$37-Inputs!$B$36)*(1-EXP(-A10/Inputs!$B$38))+Inputs!$B$31/10000</f>
        <v/>
      </c>
      <c r="C10" s="2">
        <f>H9</f>
        <v/>
      </c>
      <c r="D10" s="2">
        <f>C10*Inputs!$B$33</f>
        <v/>
      </c>
      <c r="E10" s="2">
        <f>(C10-D10)*Inputs!$C$6/12</f>
        <v/>
      </c>
      <c r="F10" s="2">
        <f>IF(MAX(Inputs!$D$6-(A10-1),0)&lt;=0,0,(C10-D10)*((Inputs!$C$6/12)/(1-(1+Inputs!$C$6/12)^(-MAX(Inputs!$D$6-(A10-1),0)))-Inputs!$C$6/12))</f>
        <v/>
      </c>
      <c r="G10" s="2">
        <f>(C10-D10-F10)*Inputs!$B$32</f>
        <v/>
      </c>
      <c r="H10" s="2">
        <f>C10-D10-F10-G10</f>
        <v/>
      </c>
      <c r="I10" s="2">
        <f>N9</f>
        <v/>
      </c>
      <c r="J10" s="2">
        <f>I10*Inputs!$B$33</f>
        <v/>
      </c>
      <c r="K10" s="2">
        <f>(I10-J10)*Inputs!$C$7/12</f>
        <v/>
      </c>
      <c r="L10" s="2">
        <f>IF(MAX(Inputs!$D$7-(A10-1),0)&lt;=0,0,(I10-J10)*((Inputs!$C$7/12)/(1-(1+Inputs!$C$7/12)^(-MAX(Inputs!$D$7-(A10-1),0)))-Inputs!$C$7/12))</f>
        <v/>
      </c>
      <c r="M10" s="2">
        <f>(I10-J10-L10)*Inputs!$B$32</f>
        <v/>
      </c>
      <c r="N10" s="2">
        <f>I10-J10-L10-M10</f>
        <v/>
      </c>
      <c r="O10" s="2">
        <f>T9</f>
        <v/>
      </c>
      <c r="P10" s="2">
        <f>O10*Inputs!$B$33</f>
        <v/>
      </c>
      <c r="Q10" s="2">
        <f>(O10-P10)*Inputs!$C$8/12</f>
        <v/>
      </c>
      <c r="R10" s="2">
        <f>IF(MAX(Inputs!$D$8-(A10-1),0)&lt;=0,0,(O10-P10)*((Inputs!$C$8/12)/(1-(1+Inputs!$C$8/12)^(-MAX(Inputs!$D$8-(A10-1),0)))-Inputs!$C$8/12))</f>
        <v/>
      </c>
      <c r="S10" s="2">
        <f>(O10-P10-R10)*Inputs!$B$32</f>
        <v/>
      </c>
      <c r="T10" s="2">
        <f>O10-P10-R10-S10</f>
        <v/>
      </c>
      <c r="U10" s="2">
        <f>Z9</f>
        <v/>
      </c>
      <c r="V10" s="2">
        <f>U10*Inputs!$B$33</f>
        <v/>
      </c>
      <c r="W10" s="2">
        <f>(U10-V10)*Inputs!$C$9/12</f>
        <v/>
      </c>
      <c r="X10" s="2">
        <f>IF(MAX(Inputs!$D$9-(A10-1),0)&lt;=0,0,(U10-V10)*((Inputs!$C$9/12)/(1-(1+Inputs!$C$9/12)^(-MAX(Inputs!$D$9-(A10-1),0)))-Inputs!$C$9/12))</f>
        <v/>
      </c>
      <c r="Y10" s="2">
        <f>(U10-V10-X10)*Inputs!$B$32</f>
        <v/>
      </c>
      <c r="Z10" s="2">
        <f>U10-V10-X10-Y10</f>
        <v/>
      </c>
      <c r="AA10" s="2">
        <f>AF9</f>
        <v/>
      </c>
      <c r="AB10" s="2">
        <f>AA10*Inputs!$B$33</f>
        <v/>
      </c>
      <c r="AC10" s="2">
        <f>(AA10-AB10)*Inputs!$C$10/12</f>
        <v/>
      </c>
      <c r="AD10" s="2">
        <f>IF(MAX(Inputs!$D$10-(A10-1),0)&lt;=0,0,(AA10-AB10)*((Inputs!$C$10/12)/(1-(1+Inputs!$C$10/12)^(-MAX(Inputs!$D$10-(A10-1),0)))-Inputs!$C$10/12))</f>
        <v/>
      </c>
      <c r="AE10" s="2">
        <f>(AA10-AB10-AD10)*Inputs!$B$32</f>
        <v/>
      </c>
      <c r="AF10" s="2">
        <f>AA10-AB10-AD10-AE10</f>
        <v/>
      </c>
      <c r="AG10" s="2">
        <f>AL9</f>
        <v/>
      </c>
      <c r="AH10" s="2">
        <f>AG10*Inputs!$B$33</f>
        <v/>
      </c>
      <c r="AI10" s="2">
        <f>(AG10-AH10)*Inputs!$C$11/12</f>
        <v/>
      </c>
      <c r="AJ10" s="2">
        <f>IF(MAX(Inputs!$D$11-(A10-1),0)&lt;=0,0,(AG10-AH10)*((Inputs!$C$11/12)/(1-(1+Inputs!$C$11/12)^(-MAX(Inputs!$D$11-(A10-1),0)))-Inputs!$C$11/12))</f>
        <v/>
      </c>
      <c r="AK10" s="2">
        <f>(AG10-AH10-AJ10)*Inputs!$B$32</f>
        <v/>
      </c>
      <c r="AL10" s="2">
        <f>AG10-AH10-AJ10-AK10</f>
        <v/>
      </c>
      <c r="AM10" s="2">
        <f>AR9</f>
        <v/>
      </c>
      <c r="AN10" s="2">
        <f>AM10*Inputs!$B$33</f>
        <v/>
      </c>
      <c r="AO10" s="2">
        <f>(AM10-AN10)*Inputs!$C$12/12</f>
        <v/>
      </c>
      <c r="AP10" s="2">
        <f>IF(MAX(Inputs!$D$12-(A10-1),0)&lt;=0,0,(AM10-AN10)*((Inputs!$C$12/12)/(1-(1+Inputs!$C$12/12)^(-MAX(Inputs!$D$12-(A10-1),0)))-Inputs!$C$12/12))</f>
        <v/>
      </c>
      <c r="AQ10" s="2">
        <f>(AM10-AN10-AP10)*Inputs!$B$32</f>
        <v/>
      </c>
      <c r="AR10" s="2">
        <f>AM10-AN10-AP10-AQ10</f>
        <v/>
      </c>
      <c r="AS10" s="2">
        <f>AX9</f>
        <v/>
      </c>
      <c r="AT10" s="2">
        <f>AS10*Inputs!$B$33</f>
        <v/>
      </c>
      <c r="AU10" s="2">
        <f>(AS10-AT10)*Inputs!$C$13/12</f>
        <v/>
      </c>
      <c r="AV10" s="2">
        <f>IF(MAX(Inputs!$D$13-(A10-1),0)&lt;=0,0,(AS10-AT10)*((Inputs!$C$13/12)/(1-(1+Inputs!$C$13/12)^(-MAX(Inputs!$D$13-(A10-1),0)))-Inputs!$C$13/12))</f>
        <v/>
      </c>
      <c r="AW10" s="2">
        <f>(AS10-AT10-AV10)*Inputs!$B$32</f>
        <v/>
      </c>
      <c r="AX10" s="2">
        <f>AS10-AT10-AV10-AW10</f>
        <v/>
      </c>
      <c r="AY10" s="2">
        <f>BD9</f>
        <v/>
      </c>
      <c r="AZ10" s="2">
        <f>AY10*Inputs!$B$33</f>
        <v/>
      </c>
      <c r="BA10" s="2">
        <f>(AY10-AZ10)*Inputs!$C$14/12</f>
        <v/>
      </c>
      <c r="BB10" s="2">
        <f>IF(MAX(Inputs!$D$14-(A10-1),0)&lt;=0,0,(AY10-AZ10)*((Inputs!$C$14/12)/(1-(1+Inputs!$C$14/12)^(-MAX(Inputs!$D$14-(A10-1),0)))-Inputs!$C$14/12))</f>
        <v/>
      </c>
      <c r="BC10" s="2">
        <f>(AY10-AZ10-BB10)*Inputs!$B$32</f>
        <v/>
      </c>
      <c r="BD10" s="2">
        <f>AY10-AZ10-BB10-BC10</f>
        <v/>
      </c>
      <c r="BE10" s="2">
        <f>BJ9</f>
        <v/>
      </c>
      <c r="BF10" s="2">
        <f>BE10*Inputs!$B$33</f>
        <v/>
      </c>
      <c r="BG10" s="2">
        <f>(BE10-BF10)*Inputs!$C$15/12</f>
        <v/>
      </c>
      <c r="BH10" s="2">
        <f>IF(MAX(Inputs!$D$15-(A10-1),0)&lt;=0,0,(BE10-BF10)*((Inputs!$C$15/12)/(1-(1+Inputs!$C$15/12)^(-MAX(Inputs!$D$15-(A10-1),0)))-Inputs!$C$15/12))</f>
        <v/>
      </c>
      <c r="BI10" s="2">
        <f>(BE10-BF10-BH10)*Inputs!$B$32</f>
        <v/>
      </c>
      <c r="BJ10" s="2">
        <f>BE10-BF10-BH10-BI10</f>
        <v/>
      </c>
      <c r="BK10" s="2">
        <f>C10+I10+O10+U10+AA10+AG10+AM10+AS10+AY10+BE10</f>
        <v/>
      </c>
      <c r="BL10" s="2">
        <f>D10+J10+P10+V10+AB10+AH10+AN10+AT10+AZ10+BF10</f>
        <v/>
      </c>
      <c r="BM10" s="2">
        <f>E10+K10+Q10+W10+AC10+AI10+AO10+AU10+BA10+BG10</f>
        <v/>
      </c>
      <c r="BN10" s="2">
        <f>F10+L10+R10+X10+AD10+AJ10+AP10+AV10+BB10+BH10</f>
        <v/>
      </c>
      <c r="BO10" s="2">
        <f>G10+M10+S10+Y10+AE10+AK10+AQ10+AW10+BC10+BI10</f>
        <v/>
      </c>
      <c r="BP10" s="2">
        <f>H10+N10+T10+Z10+AF10+AL10+AR10+AX10+BD10+BJ10</f>
        <v/>
      </c>
      <c r="BQ10" s="2">
        <f>IF(A10-Inputs!$B$30&gt;=1,INDEX($BL$5:$BL$101,A10-Inputs!$B$30+1)*(1-Inputs!$B$29),0)</f>
        <v/>
      </c>
      <c r="BR10" s="2">
        <f>BR9+BL10</f>
        <v/>
      </c>
      <c r="BS10" s="2">
        <f>BS9+BQ10</f>
        <v/>
      </c>
      <c r="BT10" s="2">
        <f>BR10*Inputs!$B$29</f>
        <v/>
      </c>
      <c r="BU10" s="2">
        <f>BR10*(1-Inputs!$B$29)-BS10</f>
        <v/>
      </c>
      <c r="BV10" s="2">
        <f>BP10+BU10</f>
        <v/>
      </c>
      <c r="BW10" s="2">
        <f>BM10+BN10+BO10+BQ10</f>
        <v/>
      </c>
      <c r="BX10" s="8">
        <f>BK10-BL10-BN10-BO10-BP10</f>
        <v/>
      </c>
    </row>
    <row r="11">
      <c r="A11" s="7" t="n">
        <v>6</v>
      </c>
      <c r="B11" s="3">
        <f>Inputs!$B$36+(Inputs!$B$37-Inputs!$B$36)*(1-EXP(-A11/Inputs!$B$38))+Inputs!$B$31/10000</f>
        <v/>
      </c>
      <c r="C11" s="2">
        <f>H10</f>
        <v/>
      </c>
      <c r="D11" s="2">
        <f>C11*Inputs!$B$33</f>
        <v/>
      </c>
      <c r="E11" s="2">
        <f>(C11-D11)*Inputs!$C$6/12</f>
        <v/>
      </c>
      <c r="F11" s="2">
        <f>IF(MAX(Inputs!$D$6-(A11-1),0)&lt;=0,0,(C11-D11)*((Inputs!$C$6/12)/(1-(1+Inputs!$C$6/12)^(-MAX(Inputs!$D$6-(A11-1),0)))-Inputs!$C$6/12))</f>
        <v/>
      </c>
      <c r="G11" s="2">
        <f>(C11-D11-F11)*Inputs!$B$32</f>
        <v/>
      </c>
      <c r="H11" s="2">
        <f>C11-D11-F11-G11</f>
        <v/>
      </c>
      <c r="I11" s="2">
        <f>N10</f>
        <v/>
      </c>
      <c r="J11" s="2">
        <f>I11*Inputs!$B$33</f>
        <v/>
      </c>
      <c r="K11" s="2">
        <f>(I11-J11)*Inputs!$C$7/12</f>
        <v/>
      </c>
      <c r="L11" s="2">
        <f>IF(MAX(Inputs!$D$7-(A11-1),0)&lt;=0,0,(I11-J11)*((Inputs!$C$7/12)/(1-(1+Inputs!$C$7/12)^(-MAX(Inputs!$D$7-(A11-1),0)))-Inputs!$C$7/12))</f>
        <v/>
      </c>
      <c r="M11" s="2">
        <f>(I11-J11-L11)*Inputs!$B$32</f>
        <v/>
      </c>
      <c r="N11" s="2">
        <f>I11-J11-L11-M11</f>
        <v/>
      </c>
      <c r="O11" s="2">
        <f>T10</f>
        <v/>
      </c>
      <c r="P11" s="2">
        <f>O11*Inputs!$B$33</f>
        <v/>
      </c>
      <c r="Q11" s="2">
        <f>(O11-P11)*Inputs!$C$8/12</f>
        <v/>
      </c>
      <c r="R11" s="2">
        <f>IF(MAX(Inputs!$D$8-(A11-1),0)&lt;=0,0,(O11-P11)*((Inputs!$C$8/12)/(1-(1+Inputs!$C$8/12)^(-MAX(Inputs!$D$8-(A11-1),0)))-Inputs!$C$8/12))</f>
        <v/>
      </c>
      <c r="S11" s="2">
        <f>(O11-P11-R11)*Inputs!$B$32</f>
        <v/>
      </c>
      <c r="T11" s="2">
        <f>O11-P11-R11-S11</f>
        <v/>
      </c>
      <c r="U11" s="2">
        <f>Z10</f>
        <v/>
      </c>
      <c r="V11" s="2">
        <f>U11*Inputs!$B$33</f>
        <v/>
      </c>
      <c r="W11" s="2">
        <f>(U11-V11)*Inputs!$C$9/12</f>
        <v/>
      </c>
      <c r="X11" s="2">
        <f>IF(MAX(Inputs!$D$9-(A11-1),0)&lt;=0,0,(U11-V11)*((Inputs!$C$9/12)/(1-(1+Inputs!$C$9/12)^(-MAX(Inputs!$D$9-(A11-1),0)))-Inputs!$C$9/12))</f>
        <v/>
      </c>
      <c r="Y11" s="2">
        <f>(U11-V11-X11)*Inputs!$B$32</f>
        <v/>
      </c>
      <c r="Z11" s="2">
        <f>U11-V11-X11-Y11</f>
        <v/>
      </c>
      <c r="AA11" s="2">
        <f>AF10</f>
        <v/>
      </c>
      <c r="AB11" s="2">
        <f>AA11*Inputs!$B$33</f>
        <v/>
      </c>
      <c r="AC11" s="2">
        <f>(AA11-AB11)*Inputs!$C$10/12</f>
        <v/>
      </c>
      <c r="AD11" s="2">
        <f>IF(MAX(Inputs!$D$10-(A11-1),0)&lt;=0,0,(AA11-AB11)*((Inputs!$C$10/12)/(1-(1+Inputs!$C$10/12)^(-MAX(Inputs!$D$10-(A11-1),0)))-Inputs!$C$10/12))</f>
        <v/>
      </c>
      <c r="AE11" s="2">
        <f>(AA11-AB11-AD11)*Inputs!$B$32</f>
        <v/>
      </c>
      <c r="AF11" s="2">
        <f>AA11-AB11-AD11-AE11</f>
        <v/>
      </c>
      <c r="AG11" s="2">
        <f>AL10</f>
        <v/>
      </c>
      <c r="AH11" s="2">
        <f>AG11*Inputs!$B$33</f>
        <v/>
      </c>
      <c r="AI11" s="2">
        <f>(AG11-AH11)*Inputs!$C$11/12</f>
        <v/>
      </c>
      <c r="AJ11" s="2">
        <f>IF(MAX(Inputs!$D$11-(A11-1),0)&lt;=0,0,(AG11-AH11)*((Inputs!$C$11/12)/(1-(1+Inputs!$C$11/12)^(-MAX(Inputs!$D$11-(A11-1),0)))-Inputs!$C$11/12))</f>
        <v/>
      </c>
      <c r="AK11" s="2">
        <f>(AG11-AH11-AJ11)*Inputs!$B$32</f>
        <v/>
      </c>
      <c r="AL11" s="2">
        <f>AG11-AH11-AJ11-AK11</f>
        <v/>
      </c>
      <c r="AM11" s="2">
        <f>AR10</f>
        <v/>
      </c>
      <c r="AN11" s="2">
        <f>AM11*Inputs!$B$33</f>
        <v/>
      </c>
      <c r="AO11" s="2">
        <f>(AM11-AN11)*Inputs!$C$12/12</f>
        <v/>
      </c>
      <c r="AP11" s="2">
        <f>IF(MAX(Inputs!$D$12-(A11-1),0)&lt;=0,0,(AM11-AN11)*((Inputs!$C$12/12)/(1-(1+Inputs!$C$12/12)^(-MAX(Inputs!$D$12-(A11-1),0)))-Inputs!$C$12/12))</f>
        <v/>
      </c>
      <c r="AQ11" s="2">
        <f>(AM11-AN11-AP11)*Inputs!$B$32</f>
        <v/>
      </c>
      <c r="AR11" s="2">
        <f>AM11-AN11-AP11-AQ11</f>
        <v/>
      </c>
      <c r="AS11" s="2">
        <f>AX10</f>
        <v/>
      </c>
      <c r="AT11" s="2">
        <f>AS11*Inputs!$B$33</f>
        <v/>
      </c>
      <c r="AU11" s="2">
        <f>(AS11-AT11)*Inputs!$C$13/12</f>
        <v/>
      </c>
      <c r="AV11" s="2">
        <f>IF(MAX(Inputs!$D$13-(A11-1),0)&lt;=0,0,(AS11-AT11)*((Inputs!$C$13/12)/(1-(1+Inputs!$C$13/12)^(-MAX(Inputs!$D$13-(A11-1),0)))-Inputs!$C$13/12))</f>
        <v/>
      </c>
      <c r="AW11" s="2">
        <f>(AS11-AT11-AV11)*Inputs!$B$32</f>
        <v/>
      </c>
      <c r="AX11" s="2">
        <f>AS11-AT11-AV11-AW11</f>
        <v/>
      </c>
      <c r="AY11" s="2">
        <f>BD10</f>
        <v/>
      </c>
      <c r="AZ11" s="2">
        <f>AY11*Inputs!$B$33</f>
        <v/>
      </c>
      <c r="BA11" s="2">
        <f>(AY11-AZ11)*Inputs!$C$14/12</f>
        <v/>
      </c>
      <c r="BB11" s="2">
        <f>IF(MAX(Inputs!$D$14-(A11-1),0)&lt;=0,0,(AY11-AZ11)*((Inputs!$C$14/12)/(1-(1+Inputs!$C$14/12)^(-MAX(Inputs!$D$14-(A11-1),0)))-Inputs!$C$14/12))</f>
        <v/>
      </c>
      <c r="BC11" s="2">
        <f>(AY11-AZ11-BB11)*Inputs!$B$32</f>
        <v/>
      </c>
      <c r="BD11" s="2">
        <f>AY11-AZ11-BB11-BC11</f>
        <v/>
      </c>
      <c r="BE11" s="2">
        <f>BJ10</f>
        <v/>
      </c>
      <c r="BF11" s="2">
        <f>BE11*Inputs!$B$33</f>
        <v/>
      </c>
      <c r="BG11" s="2">
        <f>(BE11-BF11)*Inputs!$C$15/12</f>
        <v/>
      </c>
      <c r="BH11" s="2">
        <f>IF(MAX(Inputs!$D$15-(A11-1),0)&lt;=0,0,(BE11-BF11)*((Inputs!$C$15/12)/(1-(1+Inputs!$C$15/12)^(-MAX(Inputs!$D$15-(A11-1),0)))-Inputs!$C$15/12))</f>
        <v/>
      </c>
      <c r="BI11" s="2">
        <f>(BE11-BF11-BH11)*Inputs!$B$32</f>
        <v/>
      </c>
      <c r="BJ11" s="2">
        <f>BE11-BF11-BH11-BI11</f>
        <v/>
      </c>
      <c r="BK11" s="2">
        <f>C11+I11+O11+U11+AA11+AG11+AM11+AS11+AY11+BE11</f>
        <v/>
      </c>
      <c r="BL11" s="2">
        <f>D11+J11+P11+V11+AB11+AH11+AN11+AT11+AZ11+BF11</f>
        <v/>
      </c>
      <c r="BM11" s="2">
        <f>E11+K11+Q11+W11+AC11+AI11+AO11+AU11+BA11+BG11</f>
        <v/>
      </c>
      <c r="BN11" s="2">
        <f>F11+L11+R11+X11+AD11+AJ11+AP11+AV11+BB11+BH11</f>
        <v/>
      </c>
      <c r="BO11" s="2">
        <f>G11+M11+S11+Y11+AE11+AK11+AQ11+AW11+BC11+BI11</f>
        <v/>
      </c>
      <c r="BP11" s="2">
        <f>H11+N11+T11+Z11+AF11+AL11+AR11+AX11+BD11+BJ11</f>
        <v/>
      </c>
      <c r="BQ11" s="2">
        <f>IF(A11-Inputs!$B$30&gt;=1,INDEX($BL$5:$BL$101,A11-Inputs!$B$30+1)*(1-Inputs!$B$29),0)</f>
        <v/>
      </c>
      <c r="BR11" s="2">
        <f>BR10+BL11</f>
        <v/>
      </c>
      <c r="BS11" s="2">
        <f>BS10+BQ11</f>
        <v/>
      </c>
      <c r="BT11" s="2">
        <f>BR11*Inputs!$B$29</f>
        <v/>
      </c>
      <c r="BU11" s="2">
        <f>BR11*(1-Inputs!$B$29)-BS11</f>
        <v/>
      </c>
      <c r="BV11" s="2">
        <f>BP11+BU11</f>
        <v/>
      </c>
      <c r="BW11" s="2">
        <f>BM11+BN11+BO11+BQ11</f>
        <v/>
      </c>
      <c r="BX11" s="8">
        <f>BK11-BL11-BN11-BO11-BP11</f>
        <v/>
      </c>
    </row>
    <row r="12">
      <c r="A12" s="7" t="n">
        <v>7</v>
      </c>
      <c r="B12" s="3">
        <f>Inputs!$B$36+(Inputs!$B$37-Inputs!$B$36)*(1-EXP(-A12/Inputs!$B$38))+Inputs!$B$31/10000</f>
        <v/>
      </c>
      <c r="C12" s="2">
        <f>H11</f>
        <v/>
      </c>
      <c r="D12" s="2">
        <f>C12*Inputs!$B$33</f>
        <v/>
      </c>
      <c r="E12" s="2">
        <f>(C12-D12)*Inputs!$C$6/12</f>
        <v/>
      </c>
      <c r="F12" s="2">
        <f>IF(MAX(Inputs!$D$6-(A12-1),0)&lt;=0,0,(C12-D12)*((Inputs!$C$6/12)/(1-(1+Inputs!$C$6/12)^(-MAX(Inputs!$D$6-(A12-1),0)))-Inputs!$C$6/12))</f>
        <v/>
      </c>
      <c r="G12" s="2">
        <f>(C12-D12-F12)*Inputs!$B$32</f>
        <v/>
      </c>
      <c r="H12" s="2">
        <f>C12-D12-F12-G12</f>
        <v/>
      </c>
      <c r="I12" s="2">
        <f>N11</f>
        <v/>
      </c>
      <c r="J12" s="2">
        <f>I12*Inputs!$B$33</f>
        <v/>
      </c>
      <c r="K12" s="2">
        <f>(I12-J12)*Inputs!$C$7/12</f>
        <v/>
      </c>
      <c r="L12" s="2">
        <f>IF(MAX(Inputs!$D$7-(A12-1),0)&lt;=0,0,(I12-J12)*((Inputs!$C$7/12)/(1-(1+Inputs!$C$7/12)^(-MAX(Inputs!$D$7-(A12-1),0)))-Inputs!$C$7/12))</f>
        <v/>
      </c>
      <c r="M12" s="2">
        <f>(I12-J12-L12)*Inputs!$B$32</f>
        <v/>
      </c>
      <c r="N12" s="2">
        <f>I12-J12-L12-M12</f>
        <v/>
      </c>
      <c r="O12" s="2">
        <f>T11</f>
        <v/>
      </c>
      <c r="P12" s="2">
        <f>O12*Inputs!$B$33</f>
        <v/>
      </c>
      <c r="Q12" s="2">
        <f>(O12-P12)*Inputs!$C$8/12</f>
        <v/>
      </c>
      <c r="R12" s="2">
        <f>IF(MAX(Inputs!$D$8-(A12-1),0)&lt;=0,0,(O12-P12)*((Inputs!$C$8/12)/(1-(1+Inputs!$C$8/12)^(-MAX(Inputs!$D$8-(A12-1),0)))-Inputs!$C$8/12))</f>
        <v/>
      </c>
      <c r="S12" s="2">
        <f>(O12-P12-R12)*Inputs!$B$32</f>
        <v/>
      </c>
      <c r="T12" s="2">
        <f>O12-P12-R12-S12</f>
        <v/>
      </c>
      <c r="U12" s="2">
        <f>Z11</f>
        <v/>
      </c>
      <c r="V12" s="2">
        <f>U12*Inputs!$B$33</f>
        <v/>
      </c>
      <c r="W12" s="2">
        <f>(U12-V12)*Inputs!$C$9/12</f>
        <v/>
      </c>
      <c r="X12" s="2">
        <f>IF(MAX(Inputs!$D$9-(A12-1),0)&lt;=0,0,(U12-V12)*((Inputs!$C$9/12)/(1-(1+Inputs!$C$9/12)^(-MAX(Inputs!$D$9-(A12-1),0)))-Inputs!$C$9/12))</f>
        <v/>
      </c>
      <c r="Y12" s="2">
        <f>(U12-V12-X12)*Inputs!$B$32</f>
        <v/>
      </c>
      <c r="Z12" s="2">
        <f>U12-V12-X12-Y12</f>
        <v/>
      </c>
      <c r="AA12" s="2">
        <f>AF11</f>
        <v/>
      </c>
      <c r="AB12" s="2">
        <f>AA12*Inputs!$B$33</f>
        <v/>
      </c>
      <c r="AC12" s="2">
        <f>(AA12-AB12)*Inputs!$C$10/12</f>
        <v/>
      </c>
      <c r="AD12" s="2">
        <f>IF(MAX(Inputs!$D$10-(A12-1),0)&lt;=0,0,(AA12-AB12)*((Inputs!$C$10/12)/(1-(1+Inputs!$C$10/12)^(-MAX(Inputs!$D$10-(A12-1),0)))-Inputs!$C$10/12))</f>
        <v/>
      </c>
      <c r="AE12" s="2">
        <f>(AA12-AB12-AD12)*Inputs!$B$32</f>
        <v/>
      </c>
      <c r="AF12" s="2">
        <f>AA12-AB12-AD12-AE12</f>
        <v/>
      </c>
      <c r="AG12" s="2">
        <f>AL11</f>
        <v/>
      </c>
      <c r="AH12" s="2">
        <f>AG12*Inputs!$B$33</f>
        <v/>
      </c>
      <c r="AI12" s="2">
        <f>(AG12-AH12)*Inputs!$C$11/12</f>
        <v/>
      </c>
      <c r="AJ12" s="2">
        <f>IF(MAX(Inputs!$D$11-(A12-1),0)&lt;=0,0,(AG12-AH12)*((Inputs!$C$11/12)/(1-(1+Inputs!$C$11/12)^(-MAX(Inputs!$D$11-(A12-1),0)))-Inputs!$C$11/12))</f>
        <v/>
      </c>
      <c r="AK12" s="2">
        <f>(AG12-AH12-AJ12)*Inputs!$B$32</f>
        <v/>
      </c>
      <c r="AL12" s="2">
        <f>AG12-AH12-AJ12-AK12</f>
        <v/>
      </c>
      <c r="AM12" s="2">
        <f>AR11</f>
        <v/>
      </c>
      <c r="AN12" s="2">
        <f>AM12*Inputs!$B$33</f>
        <v/>
      </c>
      <c r="AO12" s="2">
        <f>(AM12-AN12)*Inputs!$C$12/12</f>
        <v/>
      </c>
      <c r="AP12" s="2">
        <f>IF(MAX(Inputs!$D$12-(A12-1),0)&lt;=0,0,(AM12-AN12)*((Inputs!$C$12/12)/(1-(1+Inputs!$C$12/12)^(-MAX(Inputs!$D$12-(A12-1),0)))-Inputs!$C$12/12))</f>
        <v/>
      </c>
      <c r="AQ12" s="2">
        <f>(AM12-AN12-AP12)*Inputs!$B$32</f>
        <v/>
      </c>
      <c r="AR12" s="2">
        <f>AM12-AN12-AP12-AQ12</f>
        <v/>
      </c>
      <c r="AS12" s="2">
        <f>AX11</f>
        <v/>
      </c>
      <c r="AT12" s="2">
        <f>AS12*Inputs!$B$33</f>
        <v/>
      </c>
      <c r="AU12" s="2">
        <f>(AS12-AT12)*Inputs!$C$13/12</f>
        <v/>
      </c>
      <c r="AV12" s="2">
        <f>IF(MAX(Inputs!$D$13-(A12-1),0)&lt;=0,0,(AS12-AT12)*((Inputs!$C$13/12)/(1-(1+Inputs!$C$13/12)^(-MAX(Inputs!$D$13-(A12-1),0)))-Inputs!$C$13/12))</f>
        <v/>
      </c>
      <c r="AW12" s="2">
        <f>(AS12-AT12-AV12)*Inputs!$B$32</f>
        <v/>
      </c>
      <c r="AX12" s="2">
        <f>AS12-AT12-AV12-AW12</f>
        <v/>
      </c>
      <c r="AY12" s="2">
        <f>BD11</f>
        <v/>
      </c>
      <c r="AZ12" s="2">
        <f>AY12*Inputs!$B$33</f>
        <v/>
      </c>
      <c r="BA12" s="2">
        <f>(AY12-AZ12)*Inputs!$C$14/12</f>
        <v/>
      </c>
      <c r="BB12" s="2">
        <f>IF(MAX(Inputs!$D$14-(A12-1),0)&lt;=0,0,(AY12-AZ12)*((Inputs!$C$14/12)/(1-(1+Inputs!$C$14/12)^(-MAX(Inputs!$D$14-(A12-1),0)))-Inputs!$C$14/12))</f>
        <v/>
      </c>
      <c r="BC12" s="2">
        <f>(AY12-AZ12-BB12)*Inputs!$B$32</f>
        <v/>
      </c>
      <c r="BD12" s="2">
        <f>AY12-AZ12-BB12-BC12</f>
        <v/>
      </c>
      <c r="BE12" s="2">
        <f>BJ11</f>
        <v/>
      </c>
      <c r="BF12" s="2">
        <f>BE12*Inputs!$B$33</f>
        <v/>
      </c>
      <c r="BG12" s="2">
        <f>(BE12-BF12)*Inputs!$C$15/12</f>
        <v/>
      </c>
      <c r="BH12" s="2">
        <f>IF(MAX(Inputs!$D$15-(A12-1),0)&lt;=0,0,(BE12-BF12)*((Inputs!$C$15/12)/(1-(1+Inputs!$C$15/12)^(-MAX(Inputs!$D$15-(A12-1),0)))-Inputs!$C$15/12))</f>
        <v/>
      </c>
      <c r="BI12" s="2">
        <f>(BE12-BF12-BH12)*Inputs!$B$32</f>
        <v/>
      </c>
      <c r="BJ12" s="2">
        <f>BE12-BF12-BH12-BI12</f>
        <v/>
      </c>
      <c r="BK12" s="2">
        <f>C12+I12+O12+U12+AA12+AG12+AM12+AS12+AY12+BE12</f>
        <v/>
      </c>
      <c r="BL12" s="2">
        <f>D12+J12+P12+V12+AB12+AH12+AN12+AT12+AZ12+BF12</f>
        <v/>
      </c>
      <c r="BM12" s="2">
        <f>E12+K12+Q12+W12+AC12+AI12+AO12+AU12+BA12+BG12</f>
        <v/>
      </c>
      <c r="BN12" s="2">
        <f>F12+L12+R12+X12+AD12+AJ12+AP12+AV12+BB12+BH12</f>
        <v/>
      </c>
      <c r="BO12" s="2">
        <f>G12+M12+S12+Y12+AE12+AK12+AQ12+AW12+BC12+BI12</f>
        <v/>
      </c>
      <c r="BP12" s="2">
        <f>H12+N12+T12+Z12+AF12+AL12+AR12+AX12+BD12+BJ12</f>
        <v/>
      </c>
      <c r="BQ12" s="2">
        <f>IF(A12-Inputs!$B$30&gt;=1,INDEX($BL$5:$BL$101,A12-Inputs!$B$30+1)*(1-Inputs!$B$29),0)</f>
        <v/>
      </c>
      <c r="BR12" s="2">
        <f>BR11+BL12</f>
        <v/>
      </c>
      <c r="BS12" s="2">
        <f>BS11+BQ12</f>
        <v/>
      </c>
      <c r="BT12" s="2">
        <f>BR12*Inputs!$B$29</f>
        <v/>
      </c>
      <c r="BU12" s="2">
        <f>BR12*(1-Inputs!$B$29)-BS12</f>
        <v/>
      </c>
      <c r="BV12" s="2">
        <f>BP12+BU12</f>
        <v/>
      </c>
      <c r="BW12" s="2">
        <f>BM12+BN12+BO12+BQ12</f>
        <v/>
      </c>
      <c r="BX12" s="8">
        <f>BK12-BL12-BN12-BO12-BP12</f>
        <v/>
      </c>
    </row>
    <row r="13">
      <c r="A13" s="7" t="n">
        <v>8</v>
      </c>
      <c r="B13" s="3">
        <f>Inputs!$B$36+(Inputs!$B$37-Inputs!$B$36)*(1-EXP(-A13/Inputs!$B$38))+Inputs!$B$31/10000</f>
        <v/>
      </c>
      <c r="C13" s="2">
        <f>H12</f>
        <v/>
      </c>
      <c r="D13" s="2">
        <f>C13*Inputs!$B$33</f>
        <v/>
      </c>
      <c r="E13" s="2">
        <f>(C13-D13)*Inputs!$C$6/12</f>
        <v/>
      </c>
      <c r="F13" s="2">
        <f>IF(MAX(Inputs!$D$6-(A13-1),0)&lt;=0,0,(C13-D13)*((Inputs!$C$6/12)/(1-(1+Inputs!$C$6/12)^(-MAX(Inputs!$D$6-(A13-1),0)))-Inputs!$C$6/12))</f>
        <v/>
      </c>
      <c r="G13" s="2">
        <f>(C13-D13-F13)*Inputs!$B$32</f>
        <v/>
      </c>
      <c r="H13" s="2">
        <f>C13-D13-F13-G13</f>
        <v/>
      </c>
      <c r="I13" s="2">
        <f>N12</f>
        <v/>
      </c>
      <c r="J13" s="2">
        <f>I13*Inputs!$B$33</f>
        <v/>
      </c>
      <c r="K13" s="2">
        <f>(I13-J13)*Inputs!$C$7/12</f>
        <v/>
      </c>
      <c r="L13" s="2">
        <f>IF(MAX(Inputs!$D$7-(A13-1),0)&lt;=0,0,(I13-J13)*((Inputs!$C$7/12)/(1-(1+Inputs!$C$7/12)^(-MAX(Inputs!$D$7-(A13-1),0)))-Inputs!$C$7/12))</f>
        <v/>
      </c>
      <c r="M13" s="2">
        <f>(I13-J13-L13)*Inputs!$B$32</f>
        <v/>
      </c>
      <c r="N13" s="2">
        <f>I13-J13-L13-M13</f>
        <v/>
      </c>
      <c r="O13" s="2">
        <f>T12</f>
        <v/>
      </c>
      <c r="P13" s="2">
        <f>O13*Inputs!$B$33</f>
        <v/>
      </c>
      <c r="Q13" s="2">
        <f>(O13-P13)*Inputs!$C$8/12</f>
        <v/>
      </c>
      <c r="R13" s="2">
        <f>IF(MAX(Inputs!$D$8-(A13-1),0)&lt;=0,0,(O13-P13)*((Inputs!$C$8/12)/(1-(1+Inputs!$C$8/12)^(-MAX(Inputs!$D$8-(A13-1),0)))-Inputs!$C$8/12))</f>
        <v/>
      </c>
      <c r="S13" s="2">
        <f>(O13-P13-R13)*Inputs!$B$32</f>
        <v/>
      </c>
      <c r="T13" s="2">
        <f>O13-P13-R13-S13</f>
        <v/>
      </c>
      <c r="U13" s="2">
        <f>Z12</f>
        <v/>
      </c>
      <c r="V13" s="2">
        <f>U13*Inputs!$B$33</f>
        <v/>
      </c>
      <c r="W13" s="2">
        <f>(U13-V13)*Inputs!$C$9/12</f>
        <v/>
      </c>
      <c r="X13" s="2">
        <f>IF(MAX(Inputs!$D$9-(A13-1),0)&lt;=0,0,(U13-V13)*((Inputs!$C$9/12)/(1-(1+Inputs!$C$9/12)^(-MAX(Inputs!$D$9-(A13-1),0)))-Inputs!$C$9/12))</f>
        <v/>
      </c>
      <c r="Y13" s="2">
        <f>(U13-V13-X13)*Inputs!$B$32</f>
        <v/>
      </c>
      <c r="Z13" s="2">
        <f>U13-V13-X13-Y13</f>
        <v/>
      </c>
      <c r="AA13" s="2">
        <f>AF12</f>
        <v/>
      </c>
      <c r="AB13" s="2">
        <f>AA13*Inputs!$B$33</f>
        <v/>
      </c>
      <c r="AC13" s="2">
        <f>(AA13-AB13)*Inputs!$C$10/12</f>
        <v/>
      </c>
      <c r="AD13" s="2">
        <f>IF(MAX(Inputs!$D$10-(A13-1),0)&lt;=0,0,(AA13-AB13)*((Inputs!$C$10/12)/(1-(1+Inputs!$C$10/12)^(-MAX(Inputs!$D$10-(A13-1),0)))-Inputs!$C$10/12))</f>
        <v/>
      </c>
      <c r="AE13" s="2">
        <f>(AA13-AB13-AD13)*Inputs!$B$32</f>
        <v/>
      </c>
      <c r="AF13" s="2">
        <f>AA13-AB13-AD13-AE13</f>
        <v/>
      </c>
      <c r="AG13" s="2">
        <f>AL12</f>
        <v/>
      </c>
      <c r="AH13" s="2">
        <f>AG13*Inputs!$B$33</f>
        <v/>
      </c>
      <c r="AI13" s="2">
        <f>(AG13-AH13)*Inputs!$C$11/12</f>
        <v/>
      </c>
      <c r="AJ13" s="2">
        <f>IF(MAX(Inputs!$D$11-(A13-1),0)&lt;=0,0,(AG13-AH13)*((Inputs!$C$11/12)/(1-(1+Inputs!$C$11/12)^(-MAX(Inputs!$D$11-(A13-1),0)))-Inputs!$C$11/12))</f>
        <v/>
      </c>
      <c r="AK13" s="2">
        <f>(AG13-AH13-AJ13)*Inputs!$B$32</f>
        <v/>
      </c>
      <c r="AL13" s="2">
        <f>AG13-AH13-AJ13-AK13</f>
        <v/>
      </c>
      <c r="AM13" s="2">
        <f>AR12</f>
        <v/>
      </c>
      <c r="AN13" s="2">
        <f>AM13*Inputs!$B$33</f>
        <v/>
      </c>
      <c r="AO13" s="2">
        <f>(AM13-AN13)*Inputs!$C$12/12</f>
        <v/>
      </c>
      <c r="AP13" s="2">
        <f>IF(MAX(Inputs!$D$12-(A13-1),0)&lt;=0,0,(AM13-AN13)*((Inputs!$C$12/12)/(1-(1+Inputs!$C$12/12)^(-MAX(Inputs!$D$12-(A13-1),0)))-Inputs!$C$12/12))</f>
        <v/>
      </c>
      <c r="AQ13" s="2">
        <f>(AM13-AN13-AP13)*Inputs!$B$32</f>
        <v/>
      </c>
      <c r="AR13" s="2">
        <f>AM13-AN13-AP13-AQ13</f>
        <v/>
      </c>
      <c r="AS13" s="2">
        <f>AX12</f>
        <v/>
      </c>
      <c r="AT13" s="2">
        <f>AS13*Inputs!$B$33</f>
        <v/>
      </c>
      <c r="AU13" s="2">
        <f>(AS13-AT13)*Inputs!$C$13/12</f>
        <v/>
      </c>
      <c r="AV13" s="2">
        <f>IF(MAX(Inputs!$D$13-(A13-1),0)&lt;=0,0,(AS13-AT13)*((Inputs!$C$13/12)/(1-(1+Inputs!$C$13/12)^(-MAX(Inputs!$D$13-(A13-1),0)))-Inputs!$C$13/12))</f>
        <v/>
      </c>
      <c r="AW13" s="2">
        <f>(AS13-AT13-AV13)*Inputs!$B$32</f>
        <v/>
      </c>
      <c r="AX13" s="2">
        <f>AS13-AT13-AV13-AW13</f>
        <v/>
      </c>
      <c r="AY13" s="2">
        <f>BD12</f>
        <v/>
      </c>
      <c r="AZ13" s="2">
        <f>AY13*Inputs!$B$33</f>
        <v/>
      </c>
      <c r="BA13" s="2">
        <f>(AY13-AZ13)*Inputs!$C$14/12</f>
        <v/>
      </c>
      <c r="BB13" s="2">
        <f>IF(MAX(Inputs!$D$14-(A13-1),0)&lt;=0,0,(AY13-AZ13)*((Inputs!$C$14/12)/(1-(1+Inputs!$C$14/12)^(-MAX(Inputs!$D$14-(A13-1),0)))-Inputs!$C$14/12))</f>
        <v/>
      </c>
      <c r="BC13" s="2">
        <f>(AY13-AZ13-BB13)*Inputs!$B$32</f>
        <v/>
      </c>
      <c r="BD13" s="2">
        <f>AY13-AZ13-BB13-BC13</f>
        <v/>
      </c>
      <c r="BE13" s="2">
        <f>BJ12</f>
        <v/>
      </c>
      <c r="BF13" s="2">
        <f>BE13*Inputs!$B$33</f>
        <v/>
      </c>
      <c r="BG13" s="2">
        <f>(BE13-BF13)*Inputs!$C$15/12</f>
        <v/>
      </c>
      <c r="BH13" s="2">
        <f>IF(MAX(Inputs!$D$15-(A13-1),0)&lt;=0,0,(BE13-BF13)*((Inputs!$C$15/12)/(1-(1+Inputs!$C$15/12)^(-MAX(Inputs!$D$15-(A13-1),0)))-Inputs!$C$15/12))</f>
        <v/>
      </c>
      <c r="BI13" s="2">
        <f>(BE13-BF13-BH13)*Inputs!$B$32</f>
        <v/>
      </c>
      <c r="BJ13" s="2">
        <f>BE13-BF13-BH13-BI13</f>
        <v/>
      </c>
      <c r="BK13" s="2">
        <f>C13+I13+O13+U13+AA13+AG13+AM13+AS13+AY13+BE13</f>
        <v/>
      </c>
      <c r="BL13" s="2">
        <f>D13+J13+P13+V13+AB13+AH13+AN13+AT13+AZ13+BF13</f>
        <v/>
      </c>
      <c r="BM13" s="2">
        <f>E13+K13+Q13+W13+AC13+AI13+AO13+AU13+BA13+BG13</f>
        <v/>
      </c>
      <c r="BN13" s="2">
        <f>F13+L13+R13+X13+AD13+AJ13+AP13+AV13+BB13+BH13</f>
        <v/>
      </c>
      <c r="BO13" s="2">
        <f>G13+M13+S13+Y13+AE13+AK13+AQ13+AW13+BC13+BI13</f>
        <v/>
      </c>
      <c r="BP13" s="2">
        <f>H13+N13+T13+Z13+AF13+AL13+AR13+AX13+BD13+BJ13</f>
        <v/>
      </c>
      <c r="BQ13" s="2">
        <f>IF(A13-Inputs!$B$30&gt;=1,INDEX($BL$5:$BL$101,A13-Inputs!$B$30+1)*(1-Inputs!$B$29),0)</f>
        <v/>
      </c>
      <c r="BR13" s="2">
        <f>BR12+BL13</f>
        <v/>
      </c>
      <c r="BS13" s="2">
        <f>BS12+BQ13</f>
        <v/>
      </c>
      <c r="BT13" s="2">
        <f>BR13*Inputs!$B$29</f>
        <v/>
      </c>
      <c r="BU13" s="2">
        <f>BR13*(1-Inputs!$B$29)-BS13</f>
        <v/>
      </c>
      <c r="BV13" s="2">
        <f>BP13+BU13</f>
        <v/>
      </c>
      <c r="BW13" s="2">
        <f>BM13+BN13+BO13+BQ13</f>
        <v/>
      </c>
      <c r="BX13" s="8">
        <f>BK13-BL13-BN13-BO13-BP13</f>
        <v/>
      </c>
    </row>
    <row r="14">
      <c r="A14" s="7" t="n">
        <v>9</v>
      </c>
      <c r="B14" s="3">
        <f>Inputs!$B$36+(Inputs!$B$37-Inputs!$B$36)*(1-EXP(-A14/Inputs!$B$38))+Inputs!$B$31/10000</f>
        <v/>
      </c>
      <c r="C14" s="2">
        <f>H13</f>
        <v/>
      </c>
      <c r="D14" s="2">
        <f>C14*Inputs!$B$33</f>
        <v/>
      </c>
      <c r="E14" s="2">
        <f>(C14-D14)*Inputs!$C$6/12</f>
        <v/>
      </c>
      <c r="F14" s="2">
        <f>IF(MAX(Inputs!$D$6-(A14-1),0)&lt;=0,0,(C14-D14)*((Inputs!$C$6/12)/(1-(1+Inputs!$C$6/12)^(-MAX(Inputs!$D$6-(A14-1),0)))-Inputs!$C$6/12))</f>
        <v/>
      </c>
      <c r="G14" s="2">
        <f>(C14-D14-F14)*Inputs!$B$32</f>
        <v/>
      </c>
      <c r="H14" s="2">
        <f>C14-D14-F14-G14</f>
        <v/>
      </c>
      <c r="I14" s="2">
        <f>N13</f>
        <v/>
      </c>
      <c r="J14" s="2">
        <f>I14*Inputs!$B$33</f>
        <v/>
      </c>
      <c r="K14" s="2">
        <f>(I14-J14)*Inputs!$C$7/12</f>
        <v/>
      </c>
      <c r="L14" s="2">
        <f>IF(MAX(Inputs!$D$7-(A14-1),0)&lt;=0,0,(I14-J14)*((Inputs!$C$7/12)/(1-(1+Inputs!$C$7/12)^(-MAX(Inputs!$D$7-(A14-1),0)))-Inputs!$C$7/12))</f>
        <v/>
      </c>
      <c r="M14" s="2">
        <f>(I14-J14-L14)*Inputs!$B$32</f>
        <v/>
      </c>
      <c r="N14" s="2">
        <f>I14-J14-L14-M14</f>
        <v/>
      </c>
      <c r="O14" s="2">
        <f>T13</f>
        <v/>
      </c>
      <c r="P14" s="2">
        <f>O14*Inputs!$B$33</f>
        <v/>
      </c>
      <c r="Q14" s="2">
        <f>(O14-P14)*Inputs!$C$8/12</f>
        <v/>
      </c>
      <c r="R14" s="2">
        <f>IF(MAX(Inputs!$D$8-(A14-1),0)&lt;=0,0,(O14-P14)*((Inputs!$C$8/12)/(1-(1+Inputs!$C$8/12)^(-MAX(Inputs!$D$8-(A14-1),0)))-Inputs!$C$8/12))</f>
        <v/>
      </c>
      <c r="S14" s="2">
        <f>(O14-P14-R14)*Inputs!$B$32</f>
        <v/>
      </c>
      <c r="T14" s="2">
        <f>O14-P14-R14-S14</f>
        <v/>
      </c>
      <c r="U14" s="2">
        <f>Z13</f>
        <v/>
      </c>
      <c r="V14" s="2">
        <f>U14*Inputs!$B$33</f>
        <v/>
      </c>
      <c r="W14" s="2">
        <f>(U14-V14)*Inputs!$C$9/12</f>
        <v/>
      </c>
      <c r="X14" s="2">
        <f>IF(MAX(Inputs!$D$9-(A14-1),0)&lt;=0,0,(U14-V14)*((Inputs!$C$9/12)/(1-(1+Inputs!$C$9/12)^(-MAX(Inputs!$D$9-(A14-1),0)))-Inputs!$C$9/12))</f>
        <v/>
      </c>
      <c r="Y14" s="2">
        <f>(U14-V14-X14)*Inputs!$B$32</f>
        <v/>
      </c>
      <c r="Z14" s="2">
        <f>U14-V14-X14-Y14</f>
        <v/>
      </c>
      <c r="AA14" s="2">
        <f>AF13</f>
        <v/>
      </c>
      <c r="AB14" s="2">
        <f>AA14*Inputs!$B$33</f>
        <v/>
      </c>
      <c r="AC14" s="2">
        <f>(AA14-AB14)*Inputs!$C$10/12</f>
        <v/>
      </c>
      <c r="AD14" s="2">
        <f>IF(MAX(Inputs!$D$10-(A14-1),0)&lt;=0,0,(AA14-AB14)*((Inputs!$C$10/12)/(1-(1+Inputs!$C$10/12)^(-MAX(Inputs!$D$10-(A14-1),0)))-Inputs!$C$10/12))</f>
        <v/>
      </c>
      <c r="AE14" s="2">
        <f>(AA14-AB14-AD14)*Inputs!$B$32</f>
        <v/>
      </c>
      <c r="AF14" s="2">
        <f>AA14-AB14-AD14-AE14</f>
        <v/>
      </c>
      <c r="AG14" s="2">
        <f>AL13</f>
        <v/>
      </c>
      <c r="AH14" s="2">
        <f>AG14*Inputs!$B$33</f>
        <v/>
      </c>
      <c r="AI14" s="2">
        <f>(AG14-AH14)*Inputs!$C$11/12</f>
        <v/>
      </c>
      <c r="AJ14" s="2">
        <f>IF(MAX(Inputs!$D$11-(A14-1),0)&lt;=0,0,(AG14-AH14)*((Inputs!$C$11/12)/(1-(1+Inputs!$C$11/12)^(-MAX(Inputs!$D$11-(A14-1),0)))-Inputs!$C$11/12))</f>
        <v/>
      </c>
      <c r="AK14" s="2">
        <f>(AG14-AH14-AJ14)*Inputs!$B$32</f>
        <v/>
      </c>
      <c r="AL14" s="2">
        <f>AG14-AH14-AJ14-AK14</f>
        <v/>
      </c>
      <c r="AM14" s="2">
        <f>AR13</f>
        <v/>
      </c>
      <c r="AN14" s="2">
        <f>AM14*Inputs!$B$33</f>
        <v/>
      </c>
      <c r="AO14" s="2">
        <f>(AM14-AN14)*Inputs!$C$12/12</f>
        <v/>
      </c>
      <c r="AP14" s="2">
        <f>IF(MAX(Inputs!$D$12-(A14-1),0)&lt;=0,0,(AM14-AN14)*((Inputs!$C$12/12)/(1-(1+Inputs!$C$12/12)^(-MAX(Inputs!$D$12-(A14-1),0)))-Inputs!$C$12/12))</f>
        <v/>
      </c>
      <c r="AQ14" s="2">
        <f>(AM14-AN14-AP14)*Inputs!$B$32</f>
        <v/>
      </c>
      <c r="AR14" s="2">
        <f>AM14-AN14-AP14-AQ14</f>
        <v/>
      </c>
      <c r="AS14" s="2">
        <f>AX13</f>
        <v/>
      </c>
      <c r="AT14" s="2">
        <f>AS14*Inputs!$B$33</f>
        <v/>
      </c>
      <c r="AU14" s="2">
        <f>(AS14-AT14)*Inputs!$C$13/12</f>
        <v/>
      </c>
      <c r="AV14" s="2">
        <f>IF(MAX(Inputs!$D$13-(A14-1),0)&lt;=0,0,(AS14-AT14)*((Inputs!$C$13/12)/(1-(1+Inputs!$C$13/12)^(-MAX(Inputs!$D$13-(A14-1),0)))-Inputs!$C$13/12))</f>
        <v/>
      </c>
      <c r="AW14" s="2">
        <f>(AS14-AT14-AV14)*Inputs!$B$32</f>
        <v/>
      </c>
      <c r="AX14" s="2">
        <f>AS14-AT14-AV14-AW14</f>
        <v/>
      </c>
      <c r="AY14" s="2">
        <f>BD13</f>
        <v/>
      </c>
      <c r="AZ14" s="2">
        <f>AY14*Inputs!$B$33</f>
        <v/>
      </c>
      <c r="BA14" s="2">
        <f>(AY14-AZ14)*Inputs!$C$14/12</f>
        <v/>
      </c>
      <c r="BB14" s="2">
        <f>IF(MAX(Inputs!$D$14-(A14-1),0)&lt;=0,0,(AY14-AZ14)*((Inputs!$C$14/12)/(1-(1+Inputs!$C$14/12)^(-MAX(Inputs!$D$14-(A14-1),0)))-Inputs!$C$14/12))</f>
        <v/>
      </c>
      <c r="BC14" s="2">
        <f>(AY14-AZ14-BB14)*Inputs!$B$32</f>
        <v/>
      </c>
      <c r="BD14" s="2">
        <f>AY14-AZ14-BB14-BC14</f>
        <v/>
      </c>
      <c r="BE14" s="2">
        <f>BJ13</f>
        <v/>
      </c>
      <c r="BF14" s="2">
        <f>BE14*Inputs!$B$33</f>
        <v/>
      </c>
      <c r="BG14" s="2">
        <f>(BE14-BF14)*Inputs!$C$15/12</f>
        <v/>
      </c>
      <c r="BH14" s="2">
        <f>IF(MAX(Inputs!$D$15-(A14-1),0)&lt;=0,0,(BE14-BF14)*((Inputs!$C$15/12)/(1-(1+Inputs!$C$15/12)^(-MAX(Inputs!$D$15-(A14-1),0)))-Inputs!$C$15/12))</f>
        <v/>
      </c>
      <c r="BI14" s="2">
        <f>(BE14-BF14-BH14)*Inputs!$B$32</f>
        <v/>
      </c>
      <c r="BJ14" s="2">
        <f>BE14-BF14-BH14-BI14</f>
        <v/>
      </c>
      <c r="BK14" s="2">
        <f>C14+I14+O14+U14+AA14+AG14+AM14+AS14+AY14+BE14</f>
        <v/>
      </c>
      <c r="BL14" s="2">
        <f>D14+J14+P14+V14+AB14+AH14+AN14+AT14+AZ14+BF14</f>
        <v/>
      </c>
      <c r="BM14" s="2">
        <f>E14+K14+Q14+W14+AC14+AI14+AO14+AU14+BA14+BG14</f>
        <v/>
      </c>
      <c r="BN14" s="2">
        <f>F14+L14+R14+X14+AD14+AJ14+AP14+AV14+BB14+BH14</f>
        <v/>
      </c>
      <c r="BO14" s="2">
        <f>G14+M14+S14+Y14+AE14+AK14+AQ14+AW14+BC14+BI14</f>
        <v/>
      </c>
      <c r="BP14" s="2">
        <f>H14+N14+T14+Z14+AF14+AL14+AR14+AX14+BD14+BJ14</f>
        <v/>
      </c>
      <c r="BQ14" s="2">
        <f>IF(A14-Inputs!$B$30&gt;=1,INDEX($BL$5:$BL$101,A14-Inputs!$B$30+1)*(1-Inputs!$B$29),0)</f>
        <v/>
      </c>
      <c r="BR14" s="2">
        <f>BR13+BL14</f>
        <v/>
      </c>
      <c r="BS14" s="2">
        <f>BS13+BQ14</f>
        <v/>
      </c>
      <c r="BT14" s="2">
        <f>BR14*Inputs!$B$29</f>
        <v/>
      </c>
      <c r="BU14" s="2">
        <f>BR14*(1-Inputs!$B$29)-BS14</f>
        <v/>
      </c>
      <c r="BV14" s="2">
        <f>BP14+BU14</f>
        <v/>
      </c>
      <c r="BW14" s="2">
        <f>BM14+BN14+BO14+BQ14</f>
        <v/>
      </c>
      <c r="BX14" s="8">
        <f>BK14-BL14-BN14-BO14-BP14</f>
        <v/>
      </c>
    </row>
    <row r="15">
      <c r="A15" s="7" t="n">
        <v>10</v>
      </c>
      <c r="B15" s="3">
        <f>Inputs!$B$36+(Inputs!$B$37-Inputs!$B$36)*(1-EXP(-A15/Inputs!$B$38))+Inputs!$B$31/10000</f>
        <v/>
      </c>
      <c r="C15" s="2">
        <f>H14</f>
        <v/>
      </c>
      <c r="D15" s="2">
        <f>C15*Inputs!$B$33</f>
        <v/>
      </c>
      <c r="E15" s="2">
        <f>(C15-D15)*Inputs!$C$6/12</f>
        <v/>
      </c>
      <c r="F15" s="2">
        <f>IF(MAX(Inputs!$D$6-(A15-1),0)&lt;=0,0,(C15-D15)*((Inputs!$C$6/12)/(1-(1+Inputs!$C$6/12)^(-MAX(Inputs!$D$6-(A15-1),0)))-Inputs!$C$6/12))</f>
        <v/>
      </c>
      <c r="G15" s="2">
        <f>(C15-D15-F15)*Inputs!$B$32</f>
        <v/>
      </c>
      <c r="H15" s="2">
        <f>C15-D15-F15-G15</f>
        <v/>
      </c>
      <c r="I15" s="2">
        <f>N14</f>
        <v/>
      </c>
      <c r="J15" s="2">
        <f>I15*Inputs!$B$33</f>
        <v/>
      </c>
      <c r="K15" s="2">
        <f>(I15-J15)*Inputs!$C$7/12</f>
        <v/>
      </c>
      <c r="L15" s="2">
        <f>IF(MAX(Inputs!$D$7-(A15-1),0)&lt;=0,0,(I15-J15)*((Inputs!$C$7/12)/(1-(1+Inputs!$C$7/12)^(-MAX(Inputs!$D$7-(A15-1),0)))-Inputs!$C$7/12))</f>
        <v/>
      </c>
      <c r="M15" s="2">
        <f>(I15-J15-L15)*Inputs!$B$32</f>
        <v/>
      </c>
      <c r="N15" s="2">
        <f>I15-J15-L15-M15</f>
        <v/>
      </c>
      <c r="O15" s="2">
        <f>T14</f>
        <v/>
      </c>
      <c r="P15" s="2">
        <f>O15*Inputs!$B$33</f>
        <v/>
      </c>
      <c r="Q15" s="2">
        <f>(O15-P15)*Inputs!$C$8/12</f>
        <v/>
      </c>
      <c r="R15" s="2">
        <f>IF(MAX(Inputs!$D$8-(A15-1),0)&lt;=0,0,(O15-P15)*((Inputs!$C$8/12)/(1-(1+Inputs!$C$8/12)^(-MAX(Inputs!$D$8-(A15-1),0)))-Inputs!$C$8/12))</f>
        <v/>
      </c>
      <c r="S15" s="2">
        <f>(O15-P15-R15)*Inputs!$B$32</f>
        <v/>
      </c>
      <c r="T15" s="2">
        <f>O15-P15-R15-S15</f>
        <v/>
      </c>
      <c r="U15" s="2">
        <f>Z14</f>
        <v/>
      </c>
      <c r="V15" s="2">
        <f>U15*Inputs!$B$33</f>
        <v/>
      </c>
      <c r="W15" s="2">
        <f>(U15-V15)*Inputs!$C$9/12</f>
        <v/>
      </c>
      <c r="X15" s="2">
        <f>IF(MAX(Inputs!$D$9-(A15-1),0)&lt;=0,0,(U15-V15)*((Inputs!$C$9/12)/(1-(1+Inputs!$C$9/12)^(-MAX(Inputs!$D$9-(A15-1),0)))-Inputs!$C$9/12))</f>
        <v/>
      </c>
      <c r="Y15" s="2">
        <f>(U15-V15-X15)*Inputs!$B$32</f>
        <v/>
      </c>
      <c r="Z15" s="2">
        <f>U15-V15-X15-Y15</f>
        <v/>
      </c>
      <c r="AA15" s="2">
        <f>AF14</f>
        <v/>
      </c>
      <c r="AB15" s="2">
        <f>AA15*Inputs!$B$33</f>
        <v/>
      </c>
      <c r="AC15" s="2">
        <f>(AA15-AB15)*Inputs!$C$10/12</f>
        <v/>
      </c>
      <c r="AD15" s="2">
        <f>IF(MAX(Inputs!$D$10-(A15-1),0)&lt;=0,0,(AA15-AB15)*((Inputs!$C$10/12)/(1-(1+Inputs!$C$10/12)^(-MAX(Inputs!$D$10-(A15-1),0)))-Inputs!$C$10/12))</f>
        <v/>
      </c>
      <c r="AE15" s="2">
        <f>(AA15-AB15-AD15)*Inputs!$B$32</f>
        <v/>
      </c>
      <c r="AF15" s="2">
        <f>AA15-AB15-AD15-AE15</f>
        <v/>
      </c>
      <c r="AG15" s="2">
        <f>AL14</f>
        <v/>
      </c>
      <c r="AH15" s="2">
        <f>AG15*Inputs!$B$33</f>
        <v/>
      </c>
      <c r="AI15" s="2">
        <f>(AG15-AH15)*Inputs!$C$11/12</f>
        <v/>
      </c>
      <c r="AJ15" s="2">
        <f>IF(MAX(Inputs!$D$11-(A15-1),0)&lt;=0,0,(AG15-AH15)*((Inputs!$C$11/12)/(1-(1+Inputs!$C$11/12)^(-MAX(Inputs!$D$11-(A15-1),0)))-Inputs!$C$11/12))</f>
        <v/>
      </c>
      <c r="AK15" s="2">
        <f>(AG15-AH15-AJ15)*Inputs!$B$32</f>
        <v/>
      </c>
      <c r="AL15" s="2">
        <f>AG15-AH15-AJ15-AK15</f>
        <v/>
      </c>
      <c r="AM15" s="2">
        <f>AR14</f>
        <v/>
      </c>
      <c r="AN15" s="2">
        <f>AM15*Inputs!$B$33</f>
        <v/>
      </c>
      <c r="AO15" s="2">
        <f>(AM15-AN15)*Inputs!$C$12/12</f>
        <v/>
      </c>
      <c r="AP15" s="2">
        <f>IF(MAX(Inputs!$D$12-(A15-1),0)&lt;=0,0,(AM15-AN15)*((Inputs!$C$12/12)/(1-(1+Inputs!$C$12/12)^(-MAX(Inputs!$D$12-(A15-1),0)))-Inputs!$C$12/12))</f>
        <v/>
      </c>
      <c r="AQ15" s="2">
        <f>(AM15-AN15-AP15)*Inputs!$B$32</f>
        <v/>
      </c>
      <c r="AR15" s="2">
        <f>AM15-AN15-AP15-AQ15</f>
        <v/>
      </c>
      <c r="AS15" s="2">
        <f>AX14</f>
        <v/>
      </c>
      <c r="AT15" s="2">
        <f>AS15*Inputs!$B$33</f>
        <v/>
      </c>
      <c r="AU15" s="2">
        <f>(AS15-AT15)*Inputs!$C$13/12</f>
        <v/>
      </c>
      <c r="AV15" s="2">
        <f>IF(MAX(Inputs!$D$13-(A15-1),0)&lt;=0,0,(AS15-AT15)*((Inputs!$C$13/12)/(1-(1+Inputs!$C$13/12)^(-MAX(Inputs!$D$13-(A15-1),0)))-Inputs!$C$13/12))</f>
        <v/>
      </c>
      <c r="AW15" s="2">
        <f>(AS15-AT15-AV15)*Inputs!$B$32</f>
        <v/>
      </c>
      <c r="AX15" s="2">
        <f>AS15-AT15-AV15-AW15</f>
        <v/>
      </c>
      <c r="AY15" s="2">
        <f>BD14</f>
        <v/>
      </c>
      <c r="AZ15" s="2">
        <f>AY15*Inputs!$B$33</f>
        <v/>
      </c>
      <c r="BA15" s="2">
        <f>(AY15-AZ15)*Inputs!$C$14/12</f>
        <v/>
      </c>
      <c r="BB15" s="2">
        <f>IF(MAX(Inputs!$D$14-(A15-1),0)&lt;=0,0,(AY15-AZ15)*((Inputs!$C$14/12)/(1-(1+Inputs!$C$14/12)^(-MAX(Inputs!$D$14-(A15-1),0)))-Inputs!$C$14/12))</f>
        <v/>
      </c>
      <c r="BC15" s="2">
        <f>(AY15-AZ15-BB15)*Inputs!$B$32</f>
        <v/>
      </c>
      <c r="BD15" s="2">
        <f>AY15-AZ15-BB15-BC15</f>
        <v/>
      </c>
      <c r="BE15" s="2">
        <f>BJ14</f>
        <v/>
      </c>
      <c r="BF15" s="2">
        <f>BE15*Inputs!$B$33</f>
        <v/>
      </c>
      <c r="BG15" s="2">
        <f>(BE15-BF15)*Inputs!$C$15/12</f>
        <v/>
      </c>
      <c r="BH15" s="2">
        <f>IF(MAX(Inputs!$D$15-(A15-1),0)&lt;=0,0,(BE15-BF15)*((Inputs!$C$15/12)/(1-(1+Inputs!$C$15/12)^(-MAX(Inputs!$D$15-(A15-1),0)))-Inputs!$C$15/12))</f>
        <v/>
      </c>
      <c r="BI15" s="2">
        <f>(BE15-BF15-BH15)*Inputs!$B$32</f>
        <v/>
      </c>
      <c r="BJ15" s="2">
        <f>BE15-BF15-BH15-BI15</f>
        <v/>
      </c>
      <c r="BK15" s="2">
        <f>C15+I15+O15+U15+AA15+AG15+AM15+AS15+AY15+BE15</f>
        <v/>
      </c>
      <c r="BL15" s="2">
        <f>D15+J15+P15+V15+AB15+AH15+AN15+AT15+AZ15+BF15</f>
        <v/>
      </c>
      <c r="BM15" s="2">
        <f>E15+K15+Q15+W15+AC15+AI15+AO15+AU15+BA15+BG15</f>
        <v/>
      </c>
      <c r="BN15" s="2">
        <f>F15+L15+R15+X15+AD15+AJ15+AP15+AV15+BB15+BH15</f>
        <v/>
      </c>
      <c r="BO15" s="2">
        <f>G15+M15+S15+Y15+AE15+AK15+AQ15+AW15+BC15+BI15</f>
        <v/>
      </c>
      <c r="BP15" s="2">
        <f>H15+N15+T15+Z15+AF15+AL15+AR15+AX15+BD15+BJ15</f>
        <v/>
      </c>
      <c r="BQ15" s="2">
        <f>IF(A15-Inputs!$B$30&gt;=1,INDEX($BL$5:$BL$101,A15-Inputs!$B$30+1)*(1-Inputs!$B$29),0)</f>
        <v/>
      </c>
      <c r="BR15" s="2">
        <f>BR14+BL15</f>
        <v/>
      </c>
      <c r="BS15" s="2">
        <f>BS14+BQ15</f>
        <v/>
      </c>
      <c r="BT15" s="2">
        <f>BR15*Inputs!$B$29</f>
        <v/>
      </c>
      <c r="BU15" s="2">
        <f>BR15*(1-Inputs!$B$29)-BS15</f>
        <v/>
      </c>
      <c r="BV15" s="2">
        <f>BP15+BU15</f>
        <v/>
      </c>
      <c r="BW15" s="2">
        <f>BM15+BN15+BO15+BQ15</f>
        <v/>
      </c>
      <c r="BX15" s="8">
        <f>BK15-BL15-BN15-BO15-BP15</f>
        <v/>
      </c>
    </row>
    <row r="16">
      <c r="A16" s="7" t="n">
        <v>11</v>
      </c>
      <c r="B16" s="3">
        <f>Inputs!$B$36+(Inputs!$B$37-Inputs!$B$36)*(1-EXP(-A16/Inputs!$B$38))+Inputs!$B$31/10000</f>
        <v/>
      </c>
      <c r="C16" s="2">
        <f>H15</f>
        <v/>
      </c>
      <c r="D16" s="2">
        <f>C16*Inputs!$B$33</f>
        <v/>
      </c>
      <c r="E16" s="2">
        <f>(C16-D16)*Inputs!$C$6/12</f>
        <v/>
      </c>
      <c r="F16" s="2">
        <f>IF(MAX(Inputs!$D$6-(A16-1),0)&lt;=0,0,(C16-D16)*((Inputs!$C$6/12)/(1-(1+Inputs!$C$6/12)^(-MAX(Inputs!$D$6-(A16-1),0)))-Inputs!$C$6/12))</f>
        <v/>
      </c>
      <c r="G16" s="2">
        <f>(C16-D16-F16)*Inputs!$B$32</f>
        <v/>
      </c>
      <c r="H16" s="2">
        <f>C16-D16-F16-G16</f>
        <v/>
      </c>
      <c r="I16" s="2">
        <f>N15</f>
        <v/>
      </c>
      <c r="J16" s="2">
        <f>I16*Inputs!$B$33</f>
        <v/>
      </c>
      <c r="K16" s="2">
        <f>(I16-J16)*Inputs!$C$7/12</f>
        <v/>
      </c>
      <c r="L16" s="2">
        <f>IF(MAX(Inputs!$D$7-(A16-1),0)&lt;=0,0,(I16-J16)*((Inputs!$C$7/12)/(1-(1+Inputs!$C$7/12)^(-MAX(Inputs!$D$7-(A16-1),0)))-Inputs!$C$7/12))</f>
        <v/>
      </c>
      <c r="M16" s="2">
        <f>(I16-J16-L16)*Inputs!$B$32</f>
        <v/>
      </c>
      <c r="N16" s="2">
        <f>I16-J16-L16-M16</f>
        <v/>
      </c>
      <c r="O16" s="2">
        <f>T15</f>
        <v/>
      </c>
      <c r="P16" s="2">
        <f>O16*Inputs!$B$33</f>
        <v/>
      </c>
      <c r="Q16" s="2">
        <f>(O16-P16)*Inputs!$C$8/12</f>
        <v/>
      </c>
      <c r="R16" s="2">
        <f>IF(MAX(Inputs!$D$8-(A16-1),0)&lt;=0,0,(O16-P16)*((Inputs!$C$8/12)/(1-(1+Inputs!$C$8/12)^(-MAX(Inputs!$D$8-(A16-1),0)))-Inputs!$C$8/12))</f>
        <v/>
      </c>
      <c r="S16" s="2">
        <f>(O16-P16-R16)*Inputs!$B$32</f>
        <v/>
      </c>
      <c r="T16" s="2">
        <f>O16-P16-R16-S16</f>
        <v/>
      </c>
      <c r="U16" s="2">
        <f>Z15</f>
        <v/>
      </c>
      <c r="V16" s="2">
        <f>U16*Inputs!$B$33</f>
        <v/>
      </c>
      <c r="W16" s="2">
        <f>(U16-V16)*Inputs!$C$9/12</f>
        <v/>
      </c>
      <c r="X16" s="2">
        <f>IF(MAX(Inputs!$D$9-(A16-1),0)&lt;=0,0,(U16-V16)*((Inputs!$C$9/12)/(1-(1+Inputs!$C$9/12)^(-MAX(Inputs!$D$9-(A16-1),0)))-Inputs!$C$9/12))</f>
        <v/>
      </c>
      <c r="Y16" s="2">
        <f>(U16-V16-X16)*Inputs!$B$32</f>
        <v/>
      </c>
      <c r="Z16" s="2">
        <f>U16-V16-X16-Y16</f>
        <v/>
      </c>
      <c r="AA16" s="2">
        <f>AF15</f>
        <v/>
      </c>
      <c r="AB16" s="2">
        <f>AA16*Inputs!$B$33</f>
        <v/>
      </c>
      <c r="AC16" s="2">
        <f>(AA16-AB16)*Inputs!$C$10/12</f>
        <v/>
      </c>
      <c r="AD16" s="2">
        <f>IF(MAX(Inputs!$D$10-(A16-1),0)&lt;=0,0,(AA16-AB16)*((Inputs!$C$10/12)/(1-(1+Inputs!$C$10/12)^(-MAX(Inputs!$D$10-(A16-1),0)))-Inputs!$C$10/12))</f>
        <v/>
      </c>
      <c r="AE16" s="2">
        <f>(AA16-AB16-AD16)*Inputs!$B$32</f>
        <v/>
      </c>
      <c r="AF16" s="2">
        <f>AA16-AB16-AD16-AE16</f>
        <v/>
      </c>
      <c r="AG16" s="2">
        <f>AL15</f>
        <v/>
      </c>
      <c r="AH16" s="2">
        <f>AG16*Inputs!$B$33</f>
        <v/>
      </c>
      <c r="AI16" s="2">
        <f>(AG16-AH16)*Inputs!$C$11/12</f>
        <v/>
      </c>
      <c r="AJ16" s="2">
        <f>IF(MAX(Inputs!$D$11-(A16-1),0)&lt;=0,0,(AG16-AH16)*((Inputs!$C$11/12)/(1-(1+Inputs!$C$11/12)^(-MAX(Inputs!$D$11-(A16-1),0)))-Inputs!$C$11/12))</f>
        <v/>
      </c>
      <c r="AK16" s="2">
        <f>(AG16-AH16-AJ16)*Inputs!$B$32</f>
        <v/>
      </c>
      <c r="AL16" s="2">
        <f>AG16-AH16-AJ16-AK16</f>
        <v/>
      </c>
      <c r="AM16" s="2">
        <f>AR15</f>
        <v/>
      </c>
      <c r="AN16" s="2">
        <f>AM16*Inputs!$B$33</f>
        <v/>
      </c>
      <c r="AO16" s="2">
        <f>(AM16-AN16)*Inputs!$C$12/12</f>
        <v/>
      </c>
      <c r="AP16" s="2">
        <f>IF(MAX(Inputs!$D$12-(A16-1),0)&lt;=0,0,(AM16-AN16)*((Inputs!$C$12/12)/(1-(1+Inputs!$C$12/12)^(-MAX(Inputs!$D$12-(A16-1),0)))-Inputs!$C$12/12))</f>
        <v/>
      </c>
      <c r="AQ16" s="2">
        <f>(AM16-AN16-AP16)*Inputs!$B$32</f>
        <v/>
      </c>
      <c r="AR16" s="2">
        <f>AM16-AN16-AP16-AQ16</f>
        <v/>
      </c>
      <c r="AS16" s="2">
        <f>AX15</f>
        <v/>
      </c>
      <c r="AT16" s="2">
        <f>AS16*Inputs!$B$33</f>
        <v/>
      </c>
      <c r="AU16" s="2">
        <f>(AS16-AT16)*Inputs!$C$13/12</f>
        <v/>
      </c>
      <c r="AV16" s="2">
        <f>IF(MAX(Inputs!$D$13-(A16-1),0)&lt;=0,0,(AS16-AT16)*((Inputs!$C$13/12)/(1-(1+Inputs!$C$13/12)^(-MAX(Inputs!$D$13-(A16-1),0)))-Inputs!$C$13/12))</f>
        <v/>
      </c>
      <c r="AW16" s="2">
        <f>(AS16-AT16-AV16)*Inputs!$B$32</f>
        <v/>
      </c>
      <c r="AX16" s="2">
        <f>AS16-AT16-AV16-AW16</f>
        <v/>
      </c>
      <c r="AY16" s="2">
        <f>BD15</f>
        <v/>
      </c>
      <c r="AZ16" s="2">
        <f>AY16*Inputs!$B$33</f>
        <v/>
      </c>
      <c r="BA16" s="2">
        <f>(AY16-AZ16)*Inputs!$C$14/12</f>
        <v/>
      </c>
      <c r="BB16" s="2">
        <f>IF(MAX(Inputs!$D$14-(A16-1),0)&lt;=0,0,(AY16-AZ16)*((Inputs!$C$14/12)/(1-(1+Inputs!$C$14/12)^(-MAX(Inputs!$D$14-(A16-1),0)))-Inputs!$C$14/12))</f>
        <v/>
      </c>
      <c r="BC16" s="2">
        <f>(AY16-AZ16-BB16)*Inputs!$B$32</f>
        <v/>
      </c>
      <c r="BD16" s="2">
        <f>AY16-AZ16-BB16-BC16</f>
        <v/>
      </c>
      <c r="BE16" s="2">
        <f>BJ15</f>
        <v/>
      </c>
      <c r="BF16" s="2">
        <f>BE16*Inputs!$B$33</f>
        <v/>
      </c>
      <c r="BG16" s="2">
        <f>(BE16-BF16)*Inputs!$C$15/12</f>
        <v/>
      </c>
      <c r="BH16" s="2">
        <f>IF(MAX(Inputs!$D$15-(A16-1),0)&lt;=0,0,(BE16-BF16)*((Inputs!$C$15/12)/(1-(1+Inputs!$C$15/12)^(-MAX(Inputs!$D$15-(A16-1),0)))-Inputs!$C$15/12))</f>
        <v/>
      </c>
      <c r="BI16" s="2">
        <f>(BE16-BF16-BH16)*Inputs!$B$32</f>
        <v/>
      </c>
      <c r="BJ16" s="2">
        <f>BE16-BF16-BH16-BI16</f>
        <v/>
      </c>
      <c r="BK16" s="2">
        <f>C16+I16+O16+U16+AA16+AG16+AM16+AS16+AY16+BE16</f>
        <v/>
      </c>
      <c r="BL16" s="2">
        <f>D16+J16+P16+V16+AB16+AH16+AN16+AT16+AZ16+BF16</f>
        <v/>
      </c>
      <c r="BM16" s="2">
        <f>E16+K16+Q16+W16+AC16+AI16+AO16+AU16+BA16+BG16</f>
        <v/>
      </c>
      <c r="BN16" s="2">
        <f>F16+L16+R16+X16+AD16+AJ16+AP16+AV16+BB16+BH16</f>
        <v/>
      </c>
      <c r="BO16" s="2">
        <f>G16+M16+S16+Y16+AE16+AK16+AQ16+AW16+BC16+BI16</f>
        <v/>
      </c>
      <c r="BP16" s="2">
        <f>H16+N16+T16+Z16+AF16+AL16+AR16+AX16+BD16+BJ16</f>
        <v/>
      </c>
      <c r="BQ16" s="2">
        <f>IF(A16-Inputs!$B$30&gt;=1,INDEX($BL$5:$BL$101,A16-Inputs!$B$30+1)*(1-Inputs!$B$29),0)</f>
        <v/>
      </c>
      <c r="BR16" s="2">
        <f>BR15+BL16</f>
        <v/>
      </c>
      <c r="BS16" s="2">
        <f>BS15+BQ16</f>
        <v/>
      </c>
      <c r="BT16" s="2">
        <f>BR16*Inputs!$B$29</f>
        <v/>
      </c>
      <c r="BU16" s="2">
        <f>BR16*(1-Inputs!$B$29)-BS16</f>
        <v/>
      </c>
      <c r="BV16" s="2">
        <f>BP16+BU16</f>
        <v/>
      </c>
      <c r="BW16" s="2">
        <f>BM16+BN16+BO16+BQ16</f>
        <v/>
      </c>
      <c r="BX16" s="8">
        <f>BK16-BL16-BN16-BO16-BP16</f>
        <v/>
      </c>
    </row>
    <row r="17">
      <c r="A17" s="7" t="n">
        <v>12</v>
      </c>
      <c r="B17" s="3">
        <f>Inputs!$B$36+(Inputs!$B$37-Inputs!$B$36)*(1-EXP(-A17/Inputs!$B$38))+Inputs!$B$31/10000</f>
        <v/>
      </c>
      <c r="C17" s="2">
        <f>H16</f>
        <v/>
      </c>
      <c r="D17" s="2">
        <f>C17*Inputs!$B$33</f>
        <v/>
      </c>
      <c r="E17" s="2">
        <f>(C17-D17)*Inputs!$C$6/12</f>
        <v/>
      </c>
      <c r="F17" s="2">
        <f>IF(MAX(Inputs!$D$6-(A17-1),0)&lt;=0,0,(C17-D17)*((Inputs!$C$6/12)/(1-(1+Inputs!$C$6/12)^(-MAX(Inputs!$D$6-(A17-1),0)))-Inputs!$C$6/12))</f>
        <v/>
      </c>
      <c r="G17" s="2">
        <f>(C17-D17-F17)*Inputs!$B$32</f>
        <v/>
      </c>
      <c r="H17" s="2">
        <f>C17-D17-F17-G17</f>
        <v/>
      </c>
      <c r="I17" s="2">
        <f>N16</f>
        <v/>
      </c>
      <c r="J17" s="2">
        <f>I17*Inputs!$B$33</f>
        <v/>
      </c>
      <c r="K17" s="2">
        <f>(I17-J17)*Inputs!$C$7/12</f>
        <v/>
      </c>
      <c r="L17" s="2">
        <f>IF(MAX(Inputs!$D$7-(A17-1),0)&lt;=0,0,(I17-J17)*((Inputs!$C$7/12)/(1-(1+Inputs!$C$7/12)^(-MAX(Inputs!$D$7-(A17-1),0)))-Inputs!$C$7/12))</f>
        <v/>
      </c>
      <c r="M17" s="2">
        <f>(I17-J17-L17)*Inputs!$B$32</f>
        <v/>
      </c>
      <c r="N17" s="2">
        <f>I17-J17-L17-M17</f>
        <v/>
      </c>
      <c r="O17" s="2">
        <f>T16</f>
        <v/>
      </c>
      <c r="P17" s="2">
        <f>O17*Inputs!$B$33</f>
        <v/>
      </c>
      <c r="Q17" s="2">
        <f>(O17-P17)*Inputs!$C$8/12</f>
        <v/>
      </c>
      <c r="R17" s="2">
        <f>IF(MAX(Inputs!$D$8-(A17-1),0)&lt;=0,0,(O17-P17)*((Inputs!$C$8/12)/(1-(1+Inputs!$C$8/12)^(-MAX(Inputs!$D$8-(A17-1),0)))-Inputs!$C$8/12))</f>
        <v/>
      </c>
      <c r="S17" s="2">
        <f>(O17-P17-R17)*Inputs!$B$32</f>
        <v/>
      </c>
      <c r="T17" s="2">
        <f>O17-P17-R17-S17</f>
        <v/>
      </c>
      <c r="U17" s="2">
        <f>Z16</f>
        <v/>
      </c>
      <c r="V17" s="2">
        <f>U17*Inputs!$B$33</f>
        <v/>
      </c>
      <c r="W17" s="2">
        <f>(U17-V17)*Inputs!$C$9/12</f>
        <v/>
      </c>
      <c r="X17" s="2">
        <f>IF(MAX(Inputs!$D$9-(A17-1),0)&lt;=0,0,(U17-V17)*((Inputs!$C$9/12)/(1-(1+Inputs!$C$9/12)^(-MAX(Inputs!$D$9-(A17-1),0)))-Inputs!$C$9/12))</f>
        <v/>
      </c>
      <c r="Y17" s="2">
        <f>(U17-V17-X17)*Inputs!$B$32</f>
        <v/>
      </c>
      <c r="Z17" s="2">
        <f>U17-V17-X17-Y17</f>
        <v/>
      </c>
      <c r="AA17" s="2">
        <f>AF16</f>
        <v/>
      </c>
      <c r="AB17" s="2">
        <f>AA17*Inputs!$B$33</f>
        <v/>
      </c>
      <c r="AC17" s="2">
        <f>(AA17-AB17)*Inputs!$C$10/12</f>
        <v/>
      </c>
      <c r="AD17" s="2">
        <f>IF(MAX(Inputs!$D$10-(A17-1),0)&lt;=0,0,(AA17-AB17)*((Inputs!$C$10/12)/(1-(1+Inputs!$C$10/12)^(-MAX(Inputs!$D$10-(A17-1),0)))-Inputs!$C$10/12))</f>
        <v/>
      </c>
      <c r="AE17" s="2">
        <f>(AA17-AB17-AD17)*Inputs!$B$32</f>
        <v/>
      </c>
      <c r="AF17" s="2">
        <f>AA17-AB17-AD17-AE17</f>
        <v/>
      </c>
      <c r="AG17" s="2">
        <f>AL16</f>
        <v/>
      </c>
      <c r="AH17" s="2">
        <f>AG17*Inputs!$B$33</f>
        <v/>
      </c>
      <c r="AI17" s="2">
        <f>(AG17-AH17)*Inputs!$C$11/12</f>
        <v/>
      </c>
      <c r="AJ17" s="2">
        <f>IF(MAX(Inputs!$D$11-(A17-1),0)&lt;=0,0,(AG17-AH17)*((Inputs!$C$11/12)/(1-(1+Inputs!$C$11/12)^(-MAX(Inputs!$D$11-(A17-1),0)))-Inputs!$C$11/12))</f>
        <v/>
      </c>
      <c r="AK17" s="2">
        <f>(AG17-AH17-AJ17)*Inputs!$B$32</f>
        <v/>
      </c>
      <c r="AL17" s="2">
        <f>AG17-AH17-AJ17-AK17</f>
        <v/>
      </c>
      <c r="AM17" s="2">
        <f>AR16</f>
        <v/>
      </c>
      <c r="AN17" s="2">
        <f>AM17*Inputs!$B$33</f>
        <v/>
      </c>
      <c r="AO17" s="2">
        <f>(AM17-AN17)*Inputs!$C$12/12</f>
        <v/>
      </c>
      <c r="AP17" s="2">
        <f>IF(MAX(Inputs!$D$12-(A17-1),0)&lt;=0,0,(AM17-AN17)*((Inputs!$C$12/12)/(1-(1+Inputs!$C$12/12)^(-MAX(Inputs!$D$12-(A17-1),0)))-Inputs!$C$12/12))</f>
        <v/>
      </c>
      <c r="AQ17" s="2">
        <f>(AM17-AN17-AP17)*Inputs!$B$32</f>
        <v/>
      </c>
      <c r="AR17" s="2">
        <f>AM17-AN17-AP17-AQ17</f>
        <v/>
      </c>
      <c r="AS17" s="2">
        <f>AX16</f>
        <v/>
      </c>
      <c r="AT17" s="2">
        <f>AS17*Inputs!$B$33</f>
        <v/>
      </c>
      <c r="AU17" s="2">
        <f>(AS17-AT17)*Inputs!$C$13/12</f>
        <v/>
      </c>
      <c r="AV17" s="2">
        <f>IF(MAX(Inputs!$D$13-(A17-1),0)&lt;=0,0,(AS17-AT17)*((Inputs!$C$13/12)/(1-(1+Inputs!$C$13/12)^(-MAX(Inputs!$D$13-(A17-1),0)))-Inputs!$C$13/12))</f>
        <v/>
      </c>
      <c r="AW17" s="2">
        <f>(AS17-AT17-AV17)*Inputs!$B$32</f>
        <v/>
      </c>
      <c r="AX17" s="2">
        <f>AS17-AT17-AV17-AW17</f>
        <v/>
      </c>
      <c r="AY17" s="2">
        <f>BD16</f>
        <v/>
      </c>
      <c r="AZ17" s="2">
        <f>AY17*Inputs!$B$33</f>
        <v/>
      </c>
      <c r="BA17" s="2">
        <f>(AY17-AZ17)*Inputs!$C$14/12</f>
        <v/>
      </c>
      <c r="BB17" s="2">
        <f>IF(MAX(Inputs!$D$14-(A17-1),0)&lt;=0,0,(AY17-AZ17)*((Inputs!$C$14/12)/(1-(1+Inputs!$C$14/12)^(-MAX(Inputs!$D$14-(A17-1),0)))-Inputs!$C$14/12))</f>
        <v/>
      </c>
      <c r="BC17" s="2">
        <f>(AY17-AZ17-BB17)*Inputs!$B$32</f>
        <v/>
      </c>
      <c r="BD17" s="2">
        <f>AY17-AZ17-BB17-BC17</f>
        <v/>
      </c>
      <c r="BE17" s="2">
        <f>BJ16</f>
        <v/>
      </c>
      <c r="BF17" s="2">
        <f>BE17*Inputs!$B$33</f>
        <v/>
      </c>
      <c r="BG17" s="2">
        <f>(BE17-BF17)*Inputs!$C$15/12</f>
        <v/>
      </c>
      <c r="BH17" s="2">
        <f>IF(MAX(Inputs!$D$15-(A17-1),0)&lt;=0,0,(BE17-BF17)*((Inputs!$C$15/12)/(1-(1+Inputs!$C$15/12)^(-MAX(Inputs!$D$15-(A17-1),0)))-Inputs!$C$15/12))</f>
        <v/>
      </c>
      <c r="BI17" s="2">
        <f>(BE17-BF17-BH17)*Inputs!$B$32</f>
        <v/>
      </c>
      <c r="BJ17" s="2">
        <f>BE17-BF17-BH17-BI17</f>
        <v/>
      </c>
      <c r="BK17" s="2">
        <f>C17+I17+O17+U17+AA17+AG17+AM17+AS17+AY17+BE17</f>
        <v/>
      </c>
      <c r="BL17" s="2">
        <f>D17+J17+P17+V17+AB17+AH17+AN17+AT17+AZ17+BF17</f>
        <v/>
      </c>
      <c r="BM17" s="2">
        <f>E17+K17+Q17+W17+AC17+AI17+AO17+AU17+BA17+BG17</f>
        <v/>
      </c>
      <c r="BN17" s="2">
        <f>F17+L17+R17+X17+AD17+AJ17+AP17+AV17+BB17+BH17</f>
        <v/>
      </c>
      <c r="BO17" s="2">
        <f>G17+M17+S17+Y17+AE17+AK17+AQ17+AW17+BC17+BI17</f>
        <v/>
      </c>
      <c r="BP17" s="2">
        <f>H17+N17+T17+Z17+AF17+AL17+AR17+AX17+BD17+BJ17</f>
        <v/>
      </c>
      <c r="BQ17" s="2">
        <f>IF(A17-Inputs!$B$30&gt;=1,INDEX($BL$5:$BL$101,A17-Inputs!$B$30+1)*(1-Inputs!$B$29),0)</f>
        <v/>
      </c>
      <c r="BR17" s="2">
        <f>BR16+BL17</f>
        <v/>
      </c>
      <c r="BS17" s="2">
        <f>BS16+BQ17</f>
        <v/>
      </c>
      <c r="BT17" s="2">
        <f>BR17*Inputs!$B$29</f>
        <v/>
      </c>
      <c r="BU17" s="2">
        <f>BR17*(1-Inputs!$B$29)-BS17</f>
        <v/>
      </c>
      <c r="BV17" s="2">
        <f>BP17+BU17</f>
        <v/>
      </c>
      <c r="BW17" s="2">
        <f>BM17+BN17+BO17+BQ17</f>
        <v/>
      </c>
      <c r="BX17" s="8">
        <f>BK17-BL17-BN17-BO17-BP17</f>
        <v/>
      </c>
    </row>
    <row r="18">
      <c r="A18" s="7" t="n">
        <v>13</v>
      </c>
      <c r="B18" s="3">
        <f>Inputs!$B$36+(Inputs!$B$37-Inputs!$B$36)*(1-EXP(-A18/Inputs!$B$38))+Inputs!$B$31/10000</f>
        <v/>
      </c>
      <c r="C18" s="2">
        <f>H17</f>
        <v/>
      </c>
      <c r="D18" s="2">
        <f>C18*Inputs!$B$33</f>
        <v/>
      </c>
      <c r="E18" s="2">
        <f>(C18-D18)*Inputs!$C$6/12</f>
        <v/>
      </c>
      <c r="F18" s="2">
        <f>IF(MAX(Inputs!$D$6-(A18-1),0)&lt;=0,0,(C18-D18)*((Inputs!$C$6/12)/(1-(1+Inputs!$C$6/12)^(-MAX(Inputs!$D$6-(A18-1),0)))-Inputs!$C$6/12))</f>
        <v/>
      </c>
      <c r="G18" s="2">
        <f>(C18-D18-F18)*Inputs!$B$32</f>
        <v/>
      </c>
      <c r="H18" s="2">
        <f>C18-D18-F18-G18</f>
        <v/>
      </c>
      <c r="I18" s="2">
        <f>N17</f>
        <v/>
      </c>
      <c r="J18" s="2">
        <f>I18*Inputs!$B$33</f>
        <v/>
      </c>
      <c r="K18" s="2">
        <f>(I18-J18)*Inputs!$C$7/12</f>
        <v/>
      </c>
      <c r="L18" s="2">
        <f>IF(MAX(Inputs!$D$7-(A18-1),0)&lt;=0,0,(I18-J18)*((Inputs!$C$7/12)/(1-(1+Inputs!$C$7/12)^(-MAX(Inputs!$D$7-(A18-1),0)))-Inputs!$C$7/12))</f>
        <v/>
      </c>
      <c r="M18" s="2">
        <f>(I18-J18-L18)*Inputs!$B$32</f>
        <v/>
      </c>
      <c r="N18" s="2">
        <f>I18-J18-L18-M18</f>
        <v/>
      </c>
      <c r="O18" s="2">
        <f>T17</f>
        <v/>
      </c>
      <c r="P18" s="2">
        <f>O18*Inputs!$B$33</f>
        <v/>
      </c>
      <c r="Q18" s="2">
        <f>(O18-P18)*Inputs!$C$8/12</f>
        <v/>
      </c>
      <c r="R18" s="2">
        <f>IF(MAX(Inputs!$D$8-(A18-1),0)&lt;=0,0,(O18-P18)*((Inputs!$C$8/12)/(1-(1+Inputs!$C$8/12)^(-MAX(Inputs!$D$8-(A18-1),0)))-Inputs!$C$8/12))</f>
        <v/>
      </c>
      <c r="S18" s="2">
        <f>(O18-P18-R18)*Inputs!$B$32</f>
        <v/>
      </c>
      <c r="T18" s="2">
        <f>O18-P18-R18-S18</f>
        <v/>
      </c>
      <c r="U18" s="2">
        <f>Z17</f>
        <v/>
      </c>
      <c r="V18" s="2">
        <f>U18*Inputs!$B$33</f>
        <v/>
      </c>
      <c r="W18" s="2">
        <f>(U18-V18)*Inputs!$C$9/12</f>
        <v/>
      </c>
      <c r="X18" s="2">
        <f>IF(MAX(Inputs!$D$9-(A18-1),0)&lt;=0,0,(U18-V18)*((Inputs!$C$9/12)/(1-(1+Inputs!$C$9/12)^(-MAX(Inputs!$D$9-(A18-1),0)))-Inputs!$C$9/12))</f>
        <v/>
      </c>
      <c r="Y18" s="2">
        <f>(U18-V18-X18)*Inputs!$B$32</f>
        <v/>
      </c>
      <c r="Z18" s="2">
        <f>U18-V18-X18-Y18</f>
        <v/>
      </c>
      <c r="AA18" s="2">
        <f>AF17</f>
        <v/>
      </c>
      <c r="AB18" s="2">
        <f>AA18*Inputs!$B$33</f>
        <v/>
      </c>
      <c r="AC18" s="2">
        <f>(AA18-AB18)*Inputs!$C$10/12</f>
        <v/>
      </c>
      <c r="AD18" s="2">
        <f>IF(MAX(Inputs!$D$10-(A18-1),0)&lt;=0,0,(AA18-AB18)*((Inputs!$C$10/12)/(1-(1+Inputs!$C$10/12)^(-MAX(Inputs!$D$10-(A18-1),0)))-Inputs!$C$10/12))</f>
        <v/>
      </c>
      <c r="AE18" s="2">
        <f>(AA18-AB18-AD18)*Inputs!$B$32</f>
        <v/>
      </c>
      <c r="AF18" s="2">
        <f>AA18-AB18-AD18-AE18</f>
        <v/>
      </c>
      <c r="AG18" s="2">
        <f>AL17</f>
        <v/>
      </c>
      <c r="AH18" s="2">
        <f>AG18*Inputs!$B$33</f>
        <v/>
      </c>
      <c r="AI18" s="2">
        <f>(AG18-AH18)*Inputs!$C$11/12</f>
        <v/>
      </c>
      <c r="AJ18" s="2">
        <f>IF(MAX(Inputs!$D$11-(A18-1),0)&lt;=0,0,(AG18-AH18)*((Inputs!$C$11/12)/(1-(1+Inputs!$C$11/12)^(-MAX(Inputs!$D$11-(A18-1),0)))-Inputs!$C$11/12))</f>
        <v/>
      </c>
      <c r="AK18" s="2">
        <f>(AG18-AH18-AJ18)*Inputs!$B$32</f>
        <v/>
      </c>
      <c r="AL18" s="2">
        <f>AG18-AH18-AJ18-AK18</f>
        <v/>
      </c>
      <c r="AM18" s="2">
        <f>AR17</f>
        <v/>
      </c>
      <c r="AN18" s="2">
        <f>AM18*Inputs!$B$33</f>
        <v/>
      </c>
      <c r="AO18" s="2">
        <f>(AM18-AN18)*Inputs!$C$12/12</f>
        <v/>
      </c>
      <c r="AP18" s="2">
        <f>IF(MAX(Inputs!$D$12-(A18-1),0)&lt;=0,0,(AM18-AN18)*((Inputs!$C$12/12)/(1-(1+Inputs!$C$12/12)^(-MAX(Inputs!$D$12-(A18-1),0)))-Inputs!$C$12/12))</f>
        <v/>
      </c>
      <c r="AQ18" s="2">
        <f>(AM18-AN18-AP18)*Inputs!$B$32</f>
        <v/>
      </c>
      <c r="AR18" s="2">
        <f>AM18-AN18-AP18-AQ18</f>
        <v/>
      </c>
      <c r="AS18" s="2">
        <f>AX17</f>
        <v/>
      </c>
      <c r="AT18" s="2">
        <f>AS18*Inputs!$B$33</f>
        <v/>
      </c>
      <c r="AU18" s="2">
        <f>(AS18-AT18)*Inputs!$C$13/12</f>
        <v/>
      </c>
      <c r="AV18" s="2">
        <f>IF(MAX(Inputs!$D$13-(A18-1),0)&lt;=0,0,(AS18-AT18)*((Inputs!$C$13/12)/(1-(1+Inputs!$C$13/12)^(-MAX(Inputs!$D$13-(A18-1),0)))-Inputs!$C$13/12))</f>
        <v/>
      </c>
      <c r="AW18" s="2">
        <f>(AS18-AT18-AV18)*Inputs!$B$32</f>
        <v/>
      </c>
      <c r="AX18" s="2">
        <f>AS18-AT18-AV18-AW18</f>
        <v/>
      </c>
      <c r="AY18" s="2">
        <f>BD17</f>
        <v/>
      </c>
      <c r="AZ18" s="2">
        <f>AY18*Inputs!$B$33</f>
        <v/>
      </c>
      <c r="BA18" s="2">
        <f>(AY18-AZ18)*Inputs!$C$14/12</f>
        <v/>
      </c>
      <c r="BB18" s="2">
        <f>IF(MAX(Inputs!$D$14-(A18-1),0)&lt;=0,0,(AY18-AZ18)*((Inputs!$C$14/12)/(1-(1+Inputs!$C$14/12)^(-MAX(Inputs!$D$14-(A18-1),0)))-Inputs!$C$14/12))</f>
        <v/>
      </c>
      <c r="BC18" s="2">
        <f>(AY18-AZ18-BB18)*Inputs!$B$32</f>
        <v/>
      </c>
      <c r="BD18" s="2">
        <f>AY18-AZ18-BB18-BC18</f>
        <v/>
      </c>
      <c r="BE18" s="2">
        <f>BJ17</f>
        <v/>
      </c>
      <c r="BF18" s="2">
        <f>BE18*Inputs!$B$33</f>
        <v/>
      </c>
      <c r="BG18" s="2">
        <f>(BE18-BF18)*Inputs!$C$15/12</f>
        <v/>
      </c>
      <c r="BH18" s="2">
        <f>IF(MAX(Inputs!$D$15-(A18-1),0)&lt;=0,0,(BE18-BF18)*((Inputs!$C$15/12)/(1-(1+Inputs!$C$15/12)^(-MAX(Inputs!$D$15-(A18-1),0)))-Inputs!$C$15/12))</f>
        <v/>
      </c>
      <c r="BI18" s="2">
        <f>(BE18-BF18-BH18)*Inputs!$B$32</f>
        <v/>
      </c>
      <c r="BJ18" s="2">
        <f>BE18-BF18-BH18-BI18</f>
        <v/>
      </c>
      <c r="BK18" s="2">
        <f>C18+I18+O18+U18+AA18+AG18+AM18+AS18+AY18+BE18</f>
        <v/>
      </c>
      <c r="BL18" s="2">
        <f>D18+J18+P18+V18+AB18+AH18+AN18+AT18+AZ18+BF18</f>
        <v/>
      </c>
      <c r="BM18" s="2">
        <f>E18+K18+Q18+W18+AC18+AI18+AO18+AU18+BA18+BG18</f>
        <v/>
      </c>
      <c r="BN18" s="2">
        <f>F18+L18+R18+X18+AD18+AJ18+AP18+AV18+BB18+BH18</f>
        <v/>
      </c>
      <c r="BO18" s="2">
        <f>G18+M18+S18+Y18+AE18+AK18+AQ18+AW18+BC18+BI18</f>
        <v/>
      </c>
      <c r="BP18" s="2">
        <f>H18+N18+T18+Z18+AF18+AL18+AR18+AX18+BD18+BJ18</f>
        <v/>
      </c>
      <c r="BQ18" s="2">
        <f>IF(A18-Inputs!$B$30&gt;=1,INDEX($BL$5:$BL$101,A18-Inputs!$B$30+1)*(1-Inputs!$B$29),0)</f>
        <v/>
      </c>
      <c r="BR18" s="2">
        <f>BR17+BL18</f>
        <v/>
      </c>
      <c r="BS18" s="2">
        <f>BS17+BQ18</f>
        <v/>
      </c>
      <c r="BT18" s="2">
        <f>BR18*Inputs!$B$29</f>
        <v/>
      </c>
      <c r="BU18" s="2">
        <f>BR18*(1-Inputs!$B$29)-BS18</f>
        <v/>
      </c>
      <c r="BV18" s="2">
        <f>BP18+BU18</f>
        <v/>
      </c>
      <c r="BW18" s="2">
        <f>BM18+BN18+BO18+BQ18</f>
        <v/>
      </c>
      <c r="BX18" s="8">
        <f>BK18-BL18-BN18-BO18-BP18</f>
        <v/>
      </c>
    </row>
    <row r="19">
      <c r="A19" s="7" t="n">
        <v>14</v>
      </c>
      <c r="B19" s="3">
        <f>Inputs!$B$36+(Inputs!$B$37-Inputs!$B$36)*(1-EXP(-A19/Inputs!$B$38))+Inputs!$B$31/10000</f>
        <v/>
      </c>
      <c r="C19" s="2">
        <f>H18</f>
        <v/>
      </c>
      <c r="D19" s="2">
        <f>C19*Inputs!$B$33</f>
        <v/>
      </c>
      <c r="E19" s="2">
        <f>(C19-D19)*Inputs!$C$6/12</f>
        <v/>
      </c>
      <c r="F19" s="2">
        <f>IF(MAX(Inputs!$D$6-(A19-1),0)&lt;=0,0,(C19-D19)*((Inputs!$C$6/12)/(1-(1+Inputs!$C$6/12)^(-MAX(Inputs!$D$6-(A19-1),0)))-Inputs!$C$6/12))</f>
        <v/>
      </c>
      <c r="G19" s="2">
        <f>(C19-D19-F19)*Inputs!$B$32</f>
        <v/>
      </c>
      <c r="H19" s="2">
        <f>C19-D19-F19-G19</f>
        <v/>
      </c>
      <c r="I19" s="2">
        <f>N18</f>
        <v/>
      </c>
      <c r="J19" s="2">
        <f>I19*Inputs!$B$33</f>
        <v/>
      </c>
      <c r="K19" s="2">
        <f>(I19-J19)*Inputs!$C$7/12</f>
        <v/>
      </c>
      <c r="L19" s="2">
        <f>IF(MAX(Inputs!$D$7-(A19-1),0)&lt;=0,0,(I19-J19)*((Inputs!$C$7/12)/(1-(1+Inputs!$C$7/12)^(-MAX(Inputs!$D$7-(A19-1),0)))-Inputs!$C$7/12))</f>
        <v/>
      </c>
      <c r="M19" s="2">
        <f>(I19-J19-L19)*Inputs!$B$32</f>
        <v/>
      </c>
      <c r="N19" s="2">
        <f>I19-J19-L19-M19</f>
        <v/>
      </c>
      <c r="O19" s="2">
        <f>T18</f>
        <v/>
      </c>
      <c r="P19" s="2">
        <f>O19*Inputs!$B$33</f>
        <v/>
      </c>
      <c r="Q19" s="2">
        <f>(O19-P19)*Inputs!$C$8/12</f>
        <v/>
      </c>
      <c r="R19" s="2">
        <f>IF(MAX(Inputs!$D$8-(A19-1),0)&lt;=0,0,(O19-P19)*((Inputs!$C$8/12)/(1-(1+Inputs!$C$8/12)^(-MAX(Inputs!$D$8-(A19-1),0)))-Inputs!$C$8/12))</f>
        <v/>
      </c>
      <c r="S19" s="2">
        <f>(O19-P19-R19)*Inputs!$B$32</f>
        <v/>
      </c>
      <c r="T19" s="2">
        <f>O19-P19-R19-S19</f>
        <v/>
      </c>
      <c r="U19" s="2">
        <f>Z18</f>
        <v/>
      </c>
      <c r="V19" s="2">
        <f>U19*Inputs!$B$33</f>
        <v/>
      </c>
      <c r="W19" s="2">
        <f>(U19-V19)*Inputs!$C$9/12</f>
        <v/>
      </c>
      <c r="X19" s="2">
        <f>IF(MAX(Inputs!$D$9-(A19-1),0)&lt;=0,0,(U19-V19)*((Inputs!$C$9/12)/(1-(1+Inputs!$C$9/12)^(-MAX(Inputs!$D$9-(A19-1),0)))-Inputs!$C$9/12))</f>
        <v/>
      </c>
      <c r="Y19" s="2">
        <f>(U19-V19-X19)*Inputs!$B$32</f>
        <v/>
      </c>
      <c r="Z19" s="2">
        <f>U19-V19-X19-Y19</f>
        <v/>
      </c>
      <c r="AA19" s="2">
        <f>AF18</f>
        <v/>
      </c>
      <c r="AB19" s="2">
        <f>AA19*Inputs!$B$33</f>
        <v/>
      </c>
      <c r="AC19" s="2">
        <f>(AA19-AB19)*Inputs!$C$10/12</f>
        <v/>
      </c>
      <c r="AD19" s="2">
        <f>IF(MAX(Inputs!$D$10-(A19-1),0)&lt;=0,0,(AA19-AB19)*((Inputs!$C$10/12)/(1-(1+Inputs!$C$10/12)^(-MAX(Inputs!$D$10-(A19-1),0)))-Inputs!$C$10/12))</f>
        <v/>
      </c>
      <c r="AE19" s="2">
        <f>(AA19-AB19-AD19)*Inputs!$B$32</f>
        <v/>
      </c>
      <c r="AF19" s="2">
        <f>AA19-AB19-AD19-AE19</f>
        <v/>
      </c>
      <c r="AG19" s="2">
        <f>AL18</f>
        <v/>
      </c>
      <c r="AH19" s="2">
        <f>AG19*Inputs!$B$33</f>
        <v/>
      </c>
      <c r="AI19" s="2">
        <f>(AG19-AH19)*Inputs!$C$11/12</f>
        <v/>
      </c>
      <c r="AJ19" s="2">
        <f>IF(MAX(Inputs!$D$11-(A19-1),0)&lt;=0,0,(AG19-AH19)*((Inputs!$C$11/12)/(1-(1+Inputs!$C$11/12)^(-MAX(Inputs!$D$11-(A19-1),0)))-Inputs!$C$11/12))</f>
        <v/>
      </c>
      <c r="AK19" s="2">
        <f>(AG19-AH19-AJ19)*Inputs!$B$32</f>
        <v/>
      </c>
      <c r="AL19" s="2">
        <f>AG19-AH19-AJ19-AK19</f>
        <v/>
      </c>
      <c r="AM19" s="2">
        <f>AR18</f>
        <v/>
      </c>
      <c r="AN19" s="2">
        <f>AM19*Inputs!$B$33</f>
        <v/>
      </c>
      <c r="AO19" s="2">
        <f>(AM19-AN19)*Inputs!$C$12/12</f>
        <v/>
      </c>
      <c r="AP19" s="2">
        <f>IF(MAX(Inputs!$D$12-(A19-1),0)&lt;=0,0,(AM19-AN19)*((Inputs!$C$12/12)/(1-(1+Inputs!$C$12/12)^(-MAX(Inputs!$D$12-(A19-1),0)))-Inputs!$C$12/12))</f>
        <v/>
      </c>
      <c r="AQ19" s="2">
        <f>(AM19-AN19-AP19)*Inputs!$B$32</f>
        <v/>
      </c>
      <c r="AR19" s="2">
        <f>AM19-AN19-AP19-AQ19</f>
        <v/>
      </c>
      <c r="AS19" s="2">
        <f>AX18</f>
        <v/>
      </c>
      <c r="AT19" s="2">
        <f>AS19*Inputs!$B$33</f>
        <v/>
      </c>
      <c r="AU19" s="2">
        <f>(AS19-AT19)*Inputs!$C$13/12</f>
        <v/>
      </c>
      <c r="AV19" s="2">
        <f>IF(MAX(Inputs!$D$13-(A19-1),0)&lt;=0,0,(AS19-AT19)*((Inputs!$C$13/12)/(1-(1+Inputs!$C$13/12)^(-MAX(Inputs!$D$13-(A19-1),0)))-Inputs!$C$13/12))</f>
        <v/>
      </c>
      <c r="AW19" s="2">
        <f>(AS19-AT19-AV19)*Inputs!$B$32</f>
        <v/>
      </c>
      <c r="AX19" s="2">
        <f>AS19-AT19-AV19-AW19</f>
        <v/>
      </c>
      <c r="AY19" s="2">
        <f>BD18</f>
        <v/>
      </c>
      <c r="AZ19" s="2">
        <f>AY19*Inputs!$B$33</f>
        <v/>
      </c>
      <c r="BA19" s="2">
        <f>(AY19-AZ19)*Inputs!$C$14/12</f>
        <v/>
      </c>
      <c r="BB19" s="2">
        <f>IF(MAX(Inputs!$D$14-(A19-1),0)&lt;=0,0,(AY19-AZ19)*((Inputs!$C$14/12)/(1-(1+Inputs!$C$14/12)^(-MAX(Inputs!$D$14-(A19-1),0)))-Inputs!$C$14/12))</f>
        <v/>
      </c>
      <c r="BC19" s="2">
        <f>(AY19-AZ19-BB19)*Inputs!$B$32</f>
        <v/>
      </c>
      <c r="BD19" s="2">
        <f>AY19-AZ19-BB19-BC19</f>
        <v/>
      </c>
      <c r="BE19" s="2">
        <f>BJ18</f>
        <v/>
      </c>
      <c r="BF19" s="2">
        <f>BE19*Inputs!$B$33</f>
        <v/>
      </c>
      <c r="BG19" s="2">
        <f>(BE19-BF19)*Inputs!$C$15/12</f>
        <v/>
      </c>
      <c r="BH19" s="2">
        <f>IF(MAX(Inputs!$D$15-(A19-1),0)&lt;=0,0,(BE19-BF19)*((Inputs!$C$15/12)/(1-(1+Inputs!$C$15/12)^(-MAX(Inputs!$D$15-(A19-1),0)))-Inputs!$C$15/12))</f>
        <v/>
      </c>
      <c r="BI19" s="2">
        <f>(BE19-BF19-BH19)*Inputs!$B$32</f>
        <v/>
      </c>
      <c r="BJ19" s="2">
        <f>BE19-BF19-BH19-BI19</f>
        <v/>
      </c>
      <c r="BK19" s="2">
        <f>C19+I19+O19+U19+AA19+AG19+AM19+AS19+AY19+BE19</f>
        <v/>
      </c>
      <c r="BL19" s="2">
        <f>D19+J19+P19+V19+AB19+AH19+AN19+AT19+AZ19+BF19</f>
        <v/>
      </c>
      <c r="BM19" s="2">
        <f>E19+K19+Q19+W19+AC19+AI19+AO19+AU19+BA19+BG19</f>
        <v/>
      </c>
      <c r="BN19" s="2">
        <f>F19+L19+R19+X19+AD19+AJ19+AP19+AV19+BB19+BH19</f>
        <v/>
      </c>
      <c r="BO19" s="2">
        <f>G19+M19+S19+Y19+AE19+AK19+AQ19+AW19+BC19+BI19</f>
        <v/>
      </c>
      <c r="BP19" s="2">
        <f>H19+N19+T19+Z19+AF19+AL19+AR19+AX19+BD19+BJ19</f>
        <v/>
      </c>
      <c r="BQ19" s="2">
        <f>IF(A19-Inputs!$B$30&gt;=1,INDEX($BL$5:$BL$101,A19-Inputs!$B$30+1)*(1-Inputs!$B$29),0)</f>
        <v/>
      </c>
      <c r="BR19" s="2">
        <f>BR18+BL19</f>
        <v/>
      </c>
      <c r="BS19" s="2">
        <f>BS18+BQ19</f>
        <v/>
      </c>
      <c r="BT19" s="2">
        <f>BR19*Inputs!$B$29</f>
        <v/>
      </c>
      <c r="BU19" s="2">
        <f>BR19*(1-Inputs!$B$29)-BS19</f>
        <v/>
      </c>
      <c r="BV19" s="2">
        <f>BP19+BU19</f>
        <v/>
      </c>
      <c r="BW19" s="2">
        <f>BM19+BN19+BO19+BQ19</f>
        <v/>
      </c>
      <c r="BX19" s="8">
        <f>BK19-BL19-BN19-BO19-BP19</f>
        <v/>
      </c>
    </row>
    <row r="20">
      <c r="A20" s="7" t="n">
        <v>15</v>
      </c>
      <c r="B20" s="3">
        <f>Inputs!$B$36+(Inputs!$B$37-Inputs!$B$36)*(1-EXP(-A20/Inputs!$B$38))+Inputs!$B$31/10000</f>
        <v/>
      </c>
      <c r="C20" s="2">
        <f>H19</f>
        <v/>
      </c>
      <c r="D20" s="2">
        <f>C20*Inputs!$B$33</f>
        <v/>
      </c>
      <c r="E20" s="2">
        <f>(C20-D20)*Inputs!$C$6/12</f>
        <v/>
      </c>
      <c r="F20" s="2">
        <f>IF(MAX(Inputs!$D$6-(A20-1),0)&lt;=0,0,(C20-D20)*((Inputs!$C$6/12)/(1-(1+Inputs!$C$6/12)^(-MAX(Inputs!$D$6-(A20-1),0)))-Inputs!$C$6/12))</f>
        <v/>
      </c>
      <c r="G20" s="2">
        <f>(C20-D20-F20)*Inputs!$B$32</f>
        <v/>
      </c>
      <c r="H20" s="2">
        <f>C20-D20-F20-G20</f>
        <v/>
      </c>
      <c r="I20" s="2">
        <f>N19</f>
        <v/>
      </c>
      <c r="J20" s="2">
        <f>I20*Inputs!$B$33</f>
        <v/>
      </c>
      <c r="K20" s="2">
        <f>(I20-J20)*Inputs!$C$7/12</f>
        <v/>
      </c>
      <c r="L20" s="2">
        <f>IF(MAX(Inputs!$D$7-(A20-1),0)&lt;=0,0,(I20-J20)*((Inputs!$C$7/12)/(1-(1+Inputs!$C$7/12)^(-MAX(Inputs!$D$7-(A20-1),0)))-Inputs!$C$7/12))</f>
        <v/>
      </c>
      <c r="M20" s="2">
        <f>(I20-J20-L20)*Inputs!$B$32</f>
        <v/>
      </c>
      <c r="N20" s="2">
        <f>I20-J20-L20-M20</f>
        <v/>
      </c>
      <c r="O20" s="2">
        <f>T19</f>
        <v/>
      </c>
      <c r="P20" s="2">
        <f>O20*Inputs!$B$33</f>
        <v/>
      </c>
      <c r="Q20" s="2">
        <f>(O20-P20)*Inputs!$C$8/12</f>
        <v/>
      </c>
      <c r="R20" s="2">
        <f>IF(MAX(Inputs!$D$8-(A20-1),0)&lt;=0,0,(O20-P20)*((Inputs!$C$8/12)/(1-(1+Inputs!$C$8/12)^(-MAX(Inputs!$D$8-(A20-1),0)))-Inputs!$C$8/12))</f>
        <v/>
      </c>
      <c r="S20" s="2">
        <f>(O20-P20-R20)*Inputs!$B$32</f>
        <v/>
      </c>
      <c r="T20" s="2">
        <f>O20-P20-R20-S20</f>
        <v/>
      </c>
      <c r="U20" s="2">
        <f>Z19</f>
        <v/>
      </c>
      <c r="V20" s="2">
        <f>U20*Inputs!$B$33</f>
        <v/>
      </c>
      <c r="W20" s="2">
        <f>(U20-V20)*Inputs!$C$9/12</f>
        <v/>
      </c>
      <c r="X20" s="2">
        <f>IF(MAX(Inputs!$D$9-(A20-1),0)&lt;=0,0,(U20-V20)*((Inputs!$C$9/12)/(1-(1+Inputs!$C$9/12)^(-MAX(Inputs!$D$9-(A20-1),0)))-Inputs!$C$9/12))</f>
        <v/>
      </c>
      <c r="Y20" s="2">
        <f>(U20-V20-X20)*Inputs!$B$32</f>
        <v/>
      </c>
      <c r="Z20" s="2">
        <f>U20-V20-X20-Y20</f>
        <v/>
      </c>
      <c r="AA20" s="2">
        <f>AF19</f>
        <v/>
      </c>
      <c r="AB20" s="2">
        <f>AA20*Inputs!$B$33</f>
        <v/>
      </c>
      <c r="AC20" s="2">
        <f>(AA20-AB20)*Inputs!$C$10/12</f>
        <v/>
      </c>
      <c r="AD20" s="2">
        <f>IF(MAX(Inputs!$D$10-(A20-1),0)&lt;=0,0,(AA20-AB20)*((Inputs!$C$10/12)/(1-(1+Inputs!$C$10/12)^(-MAX(Inputs!$D$10-(A20-1),0)))-Inputs!$C$10/12))</f>
        <v/>
      </c>
      <c r="AE20" s="2">
        <f>(AA20-AB20-AD20)*Inputs!$B$32</f>
        <v/>
      </c>
      <c r="AF20" s="2">
        <f>AA20-AB20-AD20-AE20</f>
        <v/>
      </c>
      <c r="AG20" s="2">
        <f>AL19</f>
        <v/>
      </c>
      <c r="AH20" s="2">
        <f>AG20*Inputs!$B$33</f>
        <v/>
      </c>
      <c r="AI20" s="2">
        <f>(AG20-AH20)*Inputs!$C$11/12</f>
        <v/>
      </c>
      <c r="AJ20" s="2">
        <f>IF(MAX(Inputs!$D$11-(A20-1),0)&lt;=0,0,(AG20-AH20)*((Inputs!$C$11/12)/(1-(1+Inputs!$C$11/12)^(-MAX(Inputs!$D$11-(A20-1),0)))-Inputs!$C$11/12))</f>
        <v/>
      </c>
      <c r="AK20" s="2">
        <f>(AG20-AH20-AJ20)*Inputs!$B$32</f>
        <v/>
      </c>
      <c r="AL20" s="2">
        <f>AG20-AH20-AJ20-AK20</f>
        <v/>
      </c>
      <c r="AM20" s="2">
        <f>AR19</f>
        <v/>
      </c>
      <c r="AN20" s="2">
        <f>AM20*Inputs!$B$33</f>
        <v/>
      </c>
      <c r="AO20" s="2">
        <f>(AM20-AN20)*Inputs!$C$12/12</f>
        <v/>
      </c>
      <c r="AP20" s="2">
        <f>IF(MAX(Inputs!$D$12-(A20-1),0)&lt;=0,0,(AM20-AN20)*((Inputs!$C$12/12)/(1-(1+Inputs!$C$12/12)^(-MAX(Inputs!$D$12-(A20-1),0)))-Inputs!$C$12/12))</f>
        <v/>
      </c>
      <c r="AQ20" s="2">
        <f>(AM20-AN20-AP20)*Inputs!$B$32</f>
        <v/>
      </c>
      <c r="AR20" s="2">
        <f>AM20-AN20-AP20-AQ20</f>
        <v/>
      </c>
      <c r="AS20" s="2">
        <f>AX19</f>
        <v/>
      </c>
      <c r="AT20" s="2">
        <f>AS20*Inputs!$B$33</f>
        <v/>
      </c>
      <c r="AU20" s="2">
        <f>(AS20-AT20)*Inputs!$C$13/12</f>
        <v/>
      </c>
      <c r="AV20" s="2">
        <f>IF(MAX(Inputs!$D$13-(A20-1),0)&lt;=0,0,(AS20-AT20)*((Inputs!$C$13/12)/(1-(1+Inputs!$C$13/12)^(-MAX(Inputs!$D$13-(A20-1),0)))-Inputs!$C$13/12))</f>
        <v/>
      </c>
      <c r="AW20" s="2">
        <f>(AS20-AT20-AV20)*Inputs!$B$32</f>
        <v/>
      </c>
      <c r="AX20" s="2">
        <f>AS20-AT20-AV20-AW20</f>
        <v/>
      </c>
      <c r="AY20" s="2">
        <f>BD19</f>
        <v/>
      </c>
      <c r="AZ20" s="2">
        <f>AY20*Inputs!$B$33</f>
        <v/>
      </c>
      <c r="BA20" s="2">
        <f>(AY20-AZ20)*Inputs!$C$14/12</f>
        <v/>
      </c>
      <c r="BB20" s="2">
        <f>IF(MAX(Inputs!$D$14-(A20-1),0)&lt;=0,0,(AY20-AZ20)*((Inputs!$C$14/12)/(1-(1+Inputs!$C$14/12)^(-MAX(Inputs!$D$14-(A20-1),0)))-Inputs!$C$14/12))</f>
        <v/>
      </c>
      <c r="BC20" s="2">
        <f>(AY20-AZ20-BB20)*Inputs!$B$32</f>
        <v/>
      </c>
      <c r="BD20" s="2">
        <f>AY20-AZ20-BB20-BC20</f>
        <v/>
      </c>
      <c r="BE20" s="2">
        <f>BJ19</f>
        <v/>
      </c>
      <c r="BF20" s="2">
        <f>BE20*Inputs!$B$33</f>
        <v/>
      </c>
      <c r="BG20" s="2">
        <f>(BE20-BF20)*Inputs!$C$15/12</f>
        <v/>
      </c>
      <c r="BH20" s="2">
        <f>IF(MAX(Inputs!$D$15-(A20-1),0)&lt;=0,0,(BE20-BF20)*((Inputs!$C$15/12)/(1-(1+Inputs!$C$15/12)^(-MAX(Inputs!$D$15-(A20-1),0)))-Inputs!$C$15/12))</f>
        <v/>
      </c>
      <c r="BI20" s="2">
        <f>(BE20-BF20-BH20)*Inputs!$B$32</f>
        <v/>
      </c>
      <c r="BJ20" s="2">
        <f>BE20-BF20-BH20-BI20</f>
        <v/>
      </c>
      <c r="BK20" s="2">
        <f>C20+I20+O20+U20+AA20+AG20+AM20+AS20+AY20+BE20</f>
        <v/>
      </c>
      <c r="BL20" s="2">
        <f>D20+J20+P20+V20+AB20+AH20+AN20+AT20+AZ20+BF20</f>
        <v/>
      </c>
      <c r="BM20" s="2">
        <f>E20+K20+Q20+W20+AC20+AI20+AO20+AU20+BA20+BG20</f>
        <v/>
      </c>
      <c r="BN20" s="2">
        <f>F20+L20+R20+X20+AD20+AJ20+AP20+AV20+BB20+BH20</f>
        <v/>
      </c>
      <c r="BO20" s="2">
        <f>G20+M20+S20+Y20+AE20+AK20+AQ20+AW20+BC20+BI20</f>
        <v/>
      </c>
      <c r="BP20" s="2">
        <f>H20+N20+T20+Z20+AF20+AL20+AR20+AX20+BD20+BJ20</f>
        <v/>
      </c>
      <c r="BQ20" s="2">
        <f>IF(A20-Inputs!$B$30&gt;=1,INDEX($BL$5:$BL$101,A20-Inputs!$B$30+1)*(1-Inputs!$B$29),0)</f>
        <v/>
      </c>
      <c r="BR20" s="2">
        <f>BR19+BL20</f>
        <v/>
      </c>
      <c r="BS20" s="2">
        <f>BS19+BQ20</f>
        <v/>
      </c>
      <c r="BT20" s="2">
        <f>BR20*Inputs!$B$29</f>
        <v/>
      </c>
      <c r="BU20" s="2">
        <f>BR20*(1-Inputs!$B$29)-BS20</f>
        <v/>
      </c>
      <c r="BV20" s="2">
        <f>BP20+BU20</f>
        <v/>
      </c>
      <c r="BW20" s="2">
        <f>BM20+BN20+BO20+BQ20</f>
        <v/>
      </c>
      <c r="BX20" s="8">
        <f>BK20-BL20-BN20-BO20-BP20</f>
        <v/>
      </c>
    </row>
    <row r="21">
      <c r="A21" s="7" t="n">
        <v>16</v>
      </c>
      <c r="B21" s="3">
        <f>Inputs!$B$36+(Inputs!$B$37-Inputs!$B$36)*(1-EXP(-A21/Inputs!$B$38))+Inputs!$B$31/10000</f>
        <v/>
      </c>
      <c r="C21" s="2">
        <f>H20</f>
        <v/>
      </c>
      <c r="D21" s="2">
        <f>C21*Inputs!$B$33</f>
        <v/>
      </c>
      <c r="E21" s="2">
        <f>(C21-D21)*Inputs!$C$6/12</f>
        <v/>
      </c>
      <c r="F21" s="2">
        <f>IF(MAX(Inputs!$D$6-(A21-1),0)&lt;=0,0,(C21-D21)*((Inputs!$C$6/12)/(1-(1+Inputs!$C$6/12)^(-MAX(Inputs!$D$6-(A21-1),0)))-Inputs!$C$6/12))</f>
        <v/>
      </c>
      <c r="G21" s="2">
        <f>(C21-D21-F21)*Inputs!$B$32</f>
        <v/>
      </c>
      <c r="H21" s="2">
        <f>C21-D21-F21-G21</f>
        <v/>
      </c>
      <c r="I21" s="2">
        <f>N20</f>
        <v/>
      </c>
      <c r="J21" s="2">
        <f>I21*Inputs!$B$33</f>
        <v/>
      </c>
      <c r="K21" s="2">
        <f>(I21-J21)*Inputs!$C$7/12</f>
        <v/>
      </c>
      <c r="L21" s="2">
        <f>IF(MAX(Inputs!$D$7-(A21-1),0)&lt;=0,0,(I21-J21)*((Inputs!$C$7/12)/(1-(1+Inputs!$C$7/12)^(-MAX(Inputs!$D$7-(A21-1),0)))-Inputs!$C$7/12))</f>
        <v/>
      </c>
      <c r="M21" s="2">
        <f>(I21-J21-L21)*Inputs!$B$32</f>
        <v/>
      </c>
      <c r="N21" s="2">
        <f>I21-J21-L21-M21</f>
        <v/>
      </c>
      <c r="O21" s="2">
        <f>T20</f>
        <v/>
      </c>
      <c r="P21" s="2">
        <f>O21*Inputs!$B$33</f>
        <v/>
      </c>
      <c r="Q21" s="2">
        <f>(O21-P21)*Inputs!$C$8/12</f>
        <v/>
      </c>
      <c r="R21" s="2">
        <f>IF(MAX(Inputs!$D$8-(A21-1),0)&lt;=0,0,(O21-P21)*((Inputs!$C$8/12)/(1-(1+Inputs!$C$8/12)^(-MAX(Inputs!$D$8-(A21-1),0)))-Inputs!$C$8/12))</f>
        <v/>
      </c>
      <c r="S21" s="2">
        <f>(O21-P21-R21)*Inputs!$B$32</f>
        <v/>
      </c>
      <c r="T21" s="2">
        <f>O21-P21-R21-S21</f>
        <v/>
      </c>
      <c r="U21" s="2">
        <f>Z20</f>
        <v/>
      </c>
      <c r="V21" s="2">
        <f>U21*Inputs!$B$33</f>
        <v/>
      </c>
      <c r="W21" s="2">
        <f>(U21-V21)*Inputs!$C$9/12</f>
        <v/>
      </c>
      <c r="X21" s="2">
        <f>IF(MAX(Inputs!$D$9-(A21-1),0)&lt;=0,0,(U21-V21)*((Inputs!$C$9/12)/(1-(1+Inputs!$C$9/12)^(-MAX(Inputs!$D$9-(A21-1),0)))-Inputs!$C$9/12))</f>
        <v/>
      </c>
      <c r="Y21" s="2">
        <f>(U21-V21-X21)*Inputs!$B$32</f>
        <v/>
      </c>
      <c r="Z21" s="2">
        <f>U21-V21-X21-Y21</f>
        <v/>
      </c>
      <c r="AA21" s="2">
        <f>AF20</f>
        <v/>
      </c>
      <c r="AB21" s="2">
        <f>AA21*Inputs!$B$33</f>
        <v/>
      </c>
      <c r="AC21" s="2">
        <f>(AA21-AB21)*Inputs!$C$10/12</f>
        <v/>
      </c>
      <c r="AD21" s="2">
        <f>IF(MAX(Inputs!$D$10-(A21-1),0)&lt;=0,0,(AA21-AB21)*((Inputs!$C$10/12)/(1-(1+Inputs!$C$10/12)^(-MAX(Inputs!$D$10-(A21-1),0)))-Inputs!$C$10/12))</f>
        <v/>
      </c>
      <c r="AE21" s="2">
        <f>(AA21-AB21-AD21)*Inputs!$B$32</f>
        <v/>
      </c>
      <c r="AF21" s="2">
        <f>AA21-AB21-AD21-AE21</f>
        <v/>
      </c>
      <c r="AG21" s="2">
        <f>AL20</f>
        <v/>
      </c>
      <c r="AH21" s="2">
        <f>AG21*Inputs!$B$33</f>
        <v/>
      </c>
      <c r="AI21" s="2">
        <f>(AG21-AH21)*Inputs!$C$11/12</f>
        <v/>
      </c>
      <c r="AJ21" s="2">
        <f>IF(MAX(Inputs!$D$11-(A21-1),0)&lt;=0,0,(AG21-AH21)*((Inputs!$C$11/12)/(1-(1+Inputs!$C$11/12)^(-MAX(Inputs!$D$11-(A21-1),0)))-Inputs!$C$11/12))</f>
        <v/>
      </c>
      <c r="AK21" s="2">
        <f>(AG21-AH21-AJ21)*Inputs!$B$32</f>
        <v/>
      </c>
      <c r="AL21" s="2">
        <f>AG21-AH21-AJ21-AK21</f>
        <v/>
      </c>
      <c r="AM21" s="2">
        <f>AR20</f>
        <v/>
      </c>
      <c r="AN21" s="2">
        <f>AM21*Inputs!$B$33</f>
        <v/>
      </c>
      <c r="AO21" s="2">
        <f>(AM21-AN21)*Inputs!$C$12/12</f>
        <v/>
      </c>
      <c r="AP21" s="2">
        <f>IF(MAX(Inputs!$D$12-(A21-1),0)&lt;=0,0,(AM21-AN21)*((Inputs!$C$12/12)/(1-(1+Inputs!$C$12/12)^(-MAX(Inputs!$D$12-(A21-1),0)))-Inputs!$C$12/12))</f>
        <v/>
      </c>
      <c r="AQ21" s="2">
        <f>(AM21-AN21-AP21)*Inputs!$B$32</f>
        <v/>
      </c>
      <c r="AR21" s="2">
        <f>AM21-AN21-AP21-AQ21</f>
        <v/>
      </c>
      <c r="AS21" s="2">
        <f>AX20</f>
        <v/>
      </c>
      <c r="AT21" s="2">
        <f>AS21*Inputs!$B$33</f>
        <v/>
      </c>
      <c r="AU21" s="2">
        <f>(AS21-AT21)*Inputs!$C$13/12</f>
        <v/>
      </c>
      <c r="AV21" s="2">
        <f>IF(MAX(Inputs!$D$13-(A21-1),0)&lt;=0,0,(AS21-AT21)*((Inputs!$C$13/12)/(1-(1+Inputs!$C$13/12)^(-MAX(Inputs!$D$13-(A21-1),0)))-Inputs!$C$13/12))</f>
        <v/>
      </c>
      <c r="AW21" s="2">
        <f>(AS21-AT21-AV21)*Inputs!$B$32</f>
        <v/>
      </c>
      <c r="AX21" s="2">
        <f>AS21-AT21-AV21-AW21</f>
        <v/>
      </c>
      <c r="AY21" s="2">
        <f>BD20</f>
        <v/>
      </c>
      <c r="AZ21" s="2">
        <f>AY21*Inputs!$B$33</f>
        <v/>
      </c>
      <c r="BA21" s="2">
        <f>(AY21-AZ21)*Inputs!$C$14/12</f>
        <v/>
      </c>
      <c r="BB21" s="2">
        <f>IF(MAX(Inputs!$D$14-(A21-1),0)&lt;=0,0,(AY21-AZ21)*((Inputs!$C$14/12)/(1-(1+Inputs!$C$14/12)^(-MAX(Inputs!$D$14-(A21-1),0)))-Inputs!$C$14/12))</f>
        <v/>
      </c>
      <c r="BC21" s="2">
        <f>(AY21-AZ21-BB21)*Inputs!$B$32</f>
        <v/>
      </c>
      <c r="BD21" s="2">
        <f>AY21-AZ21-BB21-BC21</f>
        <v/>
      </c>
      <c r="BE21" s="2">
        <f>BJ20</f>
        <v/>
      </c>
      <c r="BF21" s="2">
        <f>BE21*Inputs!$B$33</f>
        <v/>
      </c>
      <c r="BG21" s="2">
        <f>(BE21-BF21)*Inputs!$C$15/12</f>
        <v/>
      </c>
      <c r="BH21" s="2">
        <f>IF(MAX(Inputs!$D$15-(A21-1),0)&lt;=0,0,(BE21-BF21)*((Inputs!$C$15/12)/(1-(1+Inputs!$C$15/12)^(-MAX(Inputs!$D$15-(A21-1),0)))-Inputs!$C$15/12))</f>
        <v/>
      </c>
      <c r="BI21" s="2">
        <f>(BE21-BF21-BH21)*Inputs!$B$32</f>
        <v/>
      </c>
      <c r="BJ21" s="2">
        <f>BE21-BF21-BH21-BI21</f>
        <v/>
      </c>
      <c r="BK21" s="2">
        <f>C21+I21+O21+U21+AA21+AG21+AM21+AS21+AY21+BE21</f>
        <v/>
      </c>
      <c r="BL21" s="2">
        <f>D21+J21+P21+V21+AB21+AH21+AN21+AT21+AZ21+BF21</f>
        <v/>
      </c>
      <c r="BM21" s="2">
        <f>E21+K21+Q21+W21+AC21+AI21+AO21+AU21+BA21+BG21</f>
        <v/>
      </c>
      <c r="BN21" s="2">
        <f>F21+L21+R21+X21+AD21+AJ21+AP21+AV21+BB21+BH21</f>
        <v/>
      </c>
      <c r="BO21" s="2">
        <f>G21+M21+S21+Y21+AE21+AK21+AQ21+AW21+BC21+BI21</f>
        <v/>
      </c>
      <c r="BP21" s="2">
        <f>H21+N21+T21+Z21+AF21+AL21+AR21+AX21+BD21+BJ21</f>
        <v/>
      </c>
      <c r="BQ21" s="2">
        <f>IF(A21-Inputs!$B$30&gt;=1,INDEX($BL$5:$BL$101,A21-Inputs!$B$30+1)*(1-Inputs!$B$29),0)</f>
        <v/>
      </c>
      <c r="BR21" s="2">
        <f>BR20+BL21</f>
        <v/>
      </c>
      <c r="BS21" s="2">
        <f>BS20+BQ21</f>
        <v/>
      </c>
      <c r="BT21" s="2">
        <f>BR21*Inputs!$B$29</f>
        <v/>
      </c>
      <c r="BU21" s="2">
        <f>BR21*(1-Inputs!$B$29)-BS21</f>
        <v/>
      </c>
      <c r="BV21" s="2">
        <f>BP21+BU21</f>
        <v/>
      </c>
      <c r="BW21" s="2">
        <f>BM21+BN21+BO21+BQ21</f>
        <v/>
      </c>
      <c r="BX21" s="8">
        <f>BK21-BL21-BN21-BO21-BP21</f>
        <v/>
      </c>
    </row>
    <row r="22">
      <c r="A22" s="7" t="n">
        <v>17</v>
      </c>
      <c r="B22" s="3">
        <f>Inputs!$B$36+(Inputs!$B$37-Inputs!$B$36)*(1-EXP(-A22/Inputs!$B$38))+Inputs!$B$31/10000</f>
        <v/>
      </c>
      <c r="C22" s="2">
        <f>H21</f>
        <v/>
      </c>
      <c r="D22" s="2">
        <f>C22*Inputs!$B$33</f>
        <v/>
      </c>
      <c r="E22" s="2">
        <f>(C22-D22)*Inputs!$C$6/12</f>
        <v/>
      </c>
      <c r="F22" s="2">
        <f>IF(MAX(Inputs!$D$6-(A22-1),0)&lt;=0,0,(C22-D22)*((Inputs!$C$6/12)/(1-(1+Inputs!$C$6/12)^(-MAX(Inputs!$D$6-(A22-1),0)))-Inputs!$C$6/12))</f>
        <v/>
      </c>
      <c r="G22" s="2">
        <f>(C22-D22-F22)*Inputs!$B$32</f>
        <v/>
      </c>
      <c r="H22" s="2">
        <f>C22-D22-F22-G22</f>
        <v/>
      </c>
      <c r="I22" s="2">
        <f>N21</f>
        <v/>
      </c>
      <c r="J22" s="2">
        <f>I22*Inputs!$B$33</f>
        <v/>
      </c>
      <c r="K22" s="2">
        <f>(I22-J22)*Inputs!$C$7/12</f>
        <v/>
      </c>
      <c r="L22" s="2">
        <f>IF(MAX(Inputs!$D$7-(A22-1),0)&lt;=0,0,(I22-J22)*((Inputs!$C$7/12)/(1-(1+Inputs!$C$7/12)^(-MAX(Inputs!$D$7-(A22-1),0)))-Inputs!$C$7/12))</f>
        <v/>
      </c>
      <c r="M22" s="2">
        <f>(I22-J22-L22)*Inputs!$B$32</f>
        <v/>
      </c>
      <c r="N22" s="2">
        <f>I22-J22-L22-M22</f>
        <v/>
      </c>
      <c r="O22" s="2">
        <f>T21</f>
        <v/>
      </c>
      <c r="P22" s="2">
        <f>O22*Inputs!$B$33</f>
        <v/>
      </c>
      <c r="Q22" s="2">
        <f>(O22-P22)*Inputs!$C$8/12</f>
        <v/>
      </c>
      <c r="R22" s="2">
        <f>IF(MAX(Inputs!$D$8-(A22-1),0)&lt;=0,0,(O22-P22)*((Inputs!$C$8/12)/(1-(1+Inputs!$C$8/12)^(-MAX(Inputs!$D$8-(A22-1),0)))-Inputs!$C$8/12))</f>
        <v/>
      </c>
      <c r="S22" s="2">
        <f>(O22-P22-R22)*Inputs!$B$32</f>
        <v/>
      </c>
      <c r="T22" s="2">
        <f>O22-P22-R22-S22</f>
        <v/>
      </c>
      <c r="U22" s="2">
        <f>Z21</f>
        <v/>
      </c>
      <c r="V22" s="2">
        <f>U22*Inputs!$B$33</f>
        <v/>
      </c>
      <c r="W22" s="2">
        <f>(U22-V22)*Inputs!$C$9/12</f>
        <v/>
      </c>
      <c r="X22" s="2">
        <f>IF(MAX(Inputs!$D$9-(A22-1),0)&lt;=0,0,(U22-V22)*((Inputs!$C$9/12)/(1-(1+Inputs!$C$9/12)^(-MAX(Inputs!$D$9-(A22-1),0)))-Inputs!$C$9/12))</f>
        <v/>
      </c>
      <c r="Y22" s="2">
        <f>(U22-V22-X22)*Inputs!$B$32</f>
        <v/>
      </c>
      <c r="Z22" s="2">
        <f>U22-V22-X22-Y22</f>
        <v/>
      </c>
      <c r="AA22" s="2">
        <f>AF21</f>
        <v/>
      </c>
      <c r="AB22" s="2">
        <f>AA22*Inputs!$B$33</f>
        <v/>
      </c>
      <c r="AC22" s="2">
        <f>(AA22-AB22)*Inputs!$C$10/12</f>
        <v/>
      </c>
      <c r="AD22" s="2">
        <f>IF(MAX(Inputs!$D$10-(A22-1),0)&lt;=0,0,(AA22-AB22)*((Inputs!$C$10/12)/(1-(1+Inputs!$C$10/12)^(-MAX(Inputs!$D$10-(A22-1),0)))-Inputs!$C$10/12))</f>
        <v/>
      </c>
      <c r="AE22" s="2">
        <f>(AA22-AB22-AD22)*Inputs!$B$32</f>
        <v/>
      </c>
      <c r="AF22" s="2">
        <f>AA22-AB22-AD22-AE22</f>
        <v/>
      </c>
      <c r="AG22" s="2">
        <f>AL21</f>
        <v/>
      </c>
      <c r="AH22" s="2">
        <f>AG22*Inputs!$B$33</f>
        <v/>
      </c>
      <c r="AI22" s="2">
        <f>(AG22-AH22)*Inputs!$C$11/12</f>
        <v/>
      </c>
      <c r="AJ22" s="2">
        <f>IF(MAX(Inputs!$D$11-(A22-1),0)&lt;=0,0,(AG22-AH22)*((Inputs!$C$11/12)/(1-(1+Inputs!$C$11/12)^(-MAX(Inputs!$D$11-(A22-1),0)))-Inputs!$C$11/12))</f>
        <v/>
      </c>
      <c r="AK22" s="2">
        <f>(AG22-AH22-AJ22)*Inputs!$B$32</f>
        <v/>
      </c>
      <c r="AL22" s="2">
        <f>AG22-AH22-AJ22-AK22</f>
        <v/>
      </c>
      <c r="AM22" s="2">
        <f>AR21</f>
        <v/>
      </c>
      <c r="AN22" s="2">
        <f>AM22*Inputs!$B$33</f>
        <v/>
      </c>
      <c r="AO22" s="2">
        <f>(AM22-AN22)*Inputs!$C$12/12</f>
        <v/>
      </c>
      <c r="AP22" s="2">
        <f>IF(MAX(Inputs!$D$12-(A22-1),0)&lt;=0,0,(AM22-AN22)*((Inputs!$C$12/12)/(1-(1+Inputs!$C$12/12)^(-MAX(Inputs!$D$12-(A22-1),0)))-Inputs!$C$12/12))</f>
        <v/>
      </c>
      <c r="AQ22" s="2">
        <f>(AM22-AN22-AP22)*Inputs!$B$32</f>
        <v/>
      </c>
      <c r="AR22" s="2">
        <f>AM22-AN22-AP22-AQ22</f>
        <v/>
      </c>
      <c r="AS22" s="2">
        <f>AX21</f>
        <v/>
      </c>
      <c r="AT22" s="2">
        <f>AS22*Inputs!$B$33</f>
        <v/>
      </c>
      <c r="AU22" s="2">
        <f>(AS22-AT22)*Inputs!$C$13/12</f>
        <v/>
      </c>
      <c r="AV22" s="2">
        <f>IF(MAX(Inputs!$D$13-(A22-1),0)&lt;=0,0,(AS22-AT22)*((Inputs!$C$13/12)/(1-(1+Inputs!$C$13/12)^(-MAX(Inputs!$D$13-(A22-1),0)))-Inputs!$C$13/12))</f>
        <v/>
      </c>
      <c r="AW22" s="2">
        <f>(AS22-AT22-AV22)*Inputs!$B$32</f>
        <v/>
      </c>
      <c r="AX22" s="2">
        <f>AS22-AT22-AV22-AW22</f>
        <v/>
      </c>
      <c r="AY22" s="2">
        <f>BD21</f>
        <v/>
      </c>
      <c r="AZ22" s="2">
        <f>AY22*Inputs!$B$33</f>
        <v/>
      </c>
      <c r="BA22" s="2">
        <f>(AY22-AZ22)*Inputs!$C$14/12</f>
        <v/>
      </c>
      <c r="BB22" s="2">
        <f>IF(MAX(Inputs!$D$14-(A22-1),0)&lt;=0,0,(AY22-AZ22)*((Inputs!$C$14/12)/(1-(1+Inputs!$C$14/12)^(-MAX(Inputs!$D$14-(A22-1),0)))-Inputs!$C$14/12))</f>
        <v/>
      </c>
      <c r="BC22" s="2">
        <f>(AY22-AZ22-BB22)*Inputs!$B$32</f>
        <v/>
      </c>
      <c r="BD22" s="2">
        <f>AY22-AZ22-BB22-BC22</f>
        <v/>
      </c>
      <c r="BE22" s="2">
        <f>BJ21</f>
        <v/>
      </c>
      <c r="BF22" s="2">
        <f>BE22*Inputs!$B$33</f>
        <v/>
      </c>
      <c r="BG22" s="2">
        <f>(BE22-BF22)*Inputs!$C$15/12</f>
        <v/>
      </c>
      <c r="BH22" s="2">
        <f>IF(MAX(Inputs!$D$15-(A22-1),0)&lt;=0,0,(BE22-BF22)*((Inputs!$C$15/12)/(1-(1+Inputs!$C$15/12)^(-MAX(Inputs!$D$15-(A22-1),0)))-Inputs!$C$15/12))</f>
        <v/>
      </c>
      <c r="BI22" s="2">
        <f>(BE22-BF22-BH22)*Inputs!$B$32</f>
        <v/>
      </c>
      <c r="BJ22" s="2">
        <f>BE22-BF22-BH22-BI22</f>
        <v/>
      </c>
      <c r="BK22" s="2">
        <f>C22+I22+O22+U22+AA22+AG22+AM22+AS22+AY22+BE22</f>
        <v/>
      </c>
      <c r="BL22" s="2">
        <f>D22+J22+P22+V22+AB22+AH22+AN22+AT22+AZ22+BF22</f>
        <v/>
      </c>
      <c r="BM22" s="2">
        <f>E22+K22+Q22+W22+AC22+AI22+AO22+AU22+BA22+BG22</f>
        <v/>
      </c>
      <c r="BN22" s="2">
        <f>F22+L22+R22+X22+AD22+AJ22+AP22+AV22+BB22+BH22</f>
        <v/>
      </c>
      <c r="BO22" s="2">
        <f>G22+M22+S22+Y22+AE22+AK22+AQ22+AW22+BC22+BI22</f>
        <v/>
      </c>
      <c r="BP22" s="2">
        <f>H22+N22+T22+Z22+AF22+AL22+AR22+AX22+BD22+BJ22</f>
        <v/>
      </c>
      <c r="BQ22" s="2">
        <f>IF(A22-Inputs!$B$30&gt;=1,INDEX($BL$5:$BL$101,A22-Inputs!$B$30+1)*(1-Inputs!$B$29),0)</f>
        <v/>
      </c>
      <c r="BR22" s="2">
        <f>BR21+BL22</f>
        <v/>
      </c>
      <c r="BS22" s="2">
        <f>BS21+BQ22</f>
        <v/>
      </c>
      <c r="BT22" s="2">
        <f>BR22*Inputs!$B$29</f>
        <v/>
      </c>
      <c r="BU22" s="2">
        <f>BR22*(1-Inputs!$B$29)-BS22</f>
        <v/>
      </c>
      <c r="BV22" s="2">
        <f>BP22+BU22</f>
        <v/>
      </c>
      <c r="BW22" s="2">
        <f>BM22+BN22+BO22+BQ22</f>
        <v/>
      </c>
      <c r="BX22" s="8">
        <f>BK22-BL22-BN22-BO22-BP22</f>
        <v/>
      </c>
    </row>
    <row r="23">
      <c r="A23" s="7" t="n">
        <v>18</v>
      </c>
      <c r="B23" s="3">
        <f>Inputs!$B$36+(Inputs!$B$37-Inputs!$B$36)*(1-EXP(-A23/Inputs!$B$38))+Inputs!$B$31/10000</f>
        <v/>
      </c>
      <c r="C23" s="2">
        <f>H22</f>
        <v/>
      </c>
      <c r="D23" s="2">
        <f>C23*Inputs!$B$33</f>
        <v/>
      </c>
      <c r="E23" s="2">
        <f>(C23-D23)*Inputs!$C$6/12</f>
        <v/>
      </c>
      <c r="F23" s="2">
        <f>IF(MAX(Inputs!$D$6-(A23-1),0)&lt;=0,0,(C23-D23)*((Inputs!$C$6/12)/(1-(1+Inputs!$C$6/12)^(-MAX(Inputs!$D$6-(A23-1),0)))-Inputs!$C$6/12))</f>
        <v/>
      </c>
      <c r="G23" s="2">
        <f>(C23-D23-F23)*Inputs!$B$32</f>
        <v/>
      </c>
      <c r="H23" s="2">
        <f>C23-D23-F23-G23</f>
        <v/>
      </c>
      <c r="I23" s="2">
        <f>N22</f>
        <v/>
      </c>
      <c r="J23" s="2">
        <f>I23*Inputs!$B$33</f>
        <v/>
      </c>
      <c r="K23" s="2">
        <f>(I23-J23)*Inputs!$C$7/12</f>
        <v/>
      </c>
      <c r="L23" s="2">
        <f>IF(MAX(Inputs!$D$7-(A23-1),0)&lt;=0,0,(I23-J23)*((Inputs!$C$7/12)/(1-(1+Inputs!$C$7/12)^(-MAX(Inputs!$D$7-(A23-1),0)))-Inputs!$C$7/12))</f>
        <v/>
      </c>
      <c r="M23" s="2">
        <f>(I23-J23-L23)*Inputs!$B$32</f>
        <v/>
      </c>
      <c r="N23" s="2">
        <f>I23-J23-L23-M23</f>
        <v/>
      </c>
      <c r="O23" s="2">
        <f>T22</f>
        <v/>
      </c>
      <c r="P23" s="2">
        <f>O23*Inputs!$B$33</f>
        <v/>
      </c>
      <c r="Q23" s="2">
        <f>(O23-P23)*Inputs!$C$8/12</f>
        <v/>
      </c>
      <c r="R23" s="2">
        <f>IF(MAX(Inputs!$D$8-(A23-1),0)&lt;=0,0,(O23-P23)*((Inputs!$C$8/12)/(1-(1+Inputs!$C$8/12)^(-MAX(Inputs!$D$8-(A23-1),0)))-Inputs!$C$8/12))</f>
        <v/>
      </c>
      <c r="S23" s="2">
        <f>(O23-P23-R23)*Inputs!$B$32</f>
        <v/>
      </c>
      <c r="T23" s="2">
        <f>O23-P23-R23-S23</f>
        <v/>
      </c>
      <c r="U23" s="2">
        <f>Z22</f>
        <v/>
      </c>
      <c r="V23" s="2">
        <f>U23*Inputs!$B$33</f>
        <v/>
      </c>
      <c r="W23" s="2">
        <f>(U23-V23)*Inputs!$C$9/12</f>
        <v/>
      </c>
      <c r="X23" s="2">
        <f>IF(MAX(Inputs!$D$9-(A23-1),0)&lt;=0,0,(U23-V23)*((Inputs!$C$9/12)/(1-(1+Inputs!$C$9/12)^(-MAX(Inputs!$D$9-(A23-1),0)))-Inputs!$C$9/12))</f>
        <v/>
      </c>
      <c r="Y23" s="2">
        <f>(U23-V23-X23)*Inputs!$B$32</f>
        <v/>
      </c>
      <c r="Z23" s="2">
        <f>U23-V23-X23-Y23</f>
        <v/>
      </c>
      <c r="AA23" s="2">
        <f>AF22</f>
        <v/>
      </c>
      <c r="AB23" s="2">
        <f>AA23*Inputs!$B$33</f>
        <v/>
      </c>
      <c r="AC23" s="2">
        <f>(AA23-AB23)*Inputs!$C$10/12</f>
        <v/>
      </c>
      <c r="AD23" s="2">
        <f>IF(MAX(Inputs!$D$10-(A23-1),0)&lt;=0,0,(AA23-AB23)*((Inputs!$C$10/12)/(1-(1+Inputs!$C$10/12)^(-MAX(Inputs!$D$10-(A23-1),0)))-Inputs!$C$10/12))</f>
        <v/>
      </c>
      <c r="AE23" s="2">
        <f>(AA23-AB23-AD23)*Inputs!$B$32</f>
        <v/>
      </c>
      <c r="AF23" s="2">
        <f>AA23-AB23-AD23-AE23</f>
        <v/>
      </c>
      <c r="AG23" s="2">
        <f>AL22</f>
        <v/>
      </c>
      <c r="AH23" s="2">
        <f>AG23*Inputs!$B$33</f>
        <v/>
      </c>
      <c r="AI23" s="2">
        <f>(AG23-AH23)*Inputs!$C$11/12</f>
        <v/>
      </c>
      <c r="AJ23" s="2">
        <f>IF(MAX(Inputs!$D$11-(A23-1),0)&lt;=0,0,(AG23-AH23)*((Inputs!$C$11/12)/(1-(1+Inputs!$C$11/12)^(-MAX(Inputs!$D$11-(A23-1),0)))-Inputs!$C$11/12))</f>
        <v/>
      </c>
      <c r="AK23" s="2">
        <f>(AG23-AH23-AJ23)*Inputs!$B$32</f>
        <v/>
      </c>
      <c r="AL23" s="2">
        <f>AG23-AH23-AJ23-AK23</f>
        <v/>
      </c>
      <c r="AM23" s="2">
        <f>AR22</f>
        <v/>
      </c>
      <c r="AN23" s="2">
        <f>AM23*Inputs!$B$33</f>
        <v/>
      </c>
      <c r="AO23" s="2">
        <f>(AM23-AN23)*Inputs!$C$12/12</f>
        <v/>
      </c>
      <c r="AP23" s="2">
        <f>IF(MAX(Inputs!$D$12-(A23-1),0)&lt;=0,0,(AM23-AN23)*((Inputs!$C$12/12)/(1-(1+Inputs!$C$12/12)^(-MAX(Inputs!$D$12-(A23-1),0)))-Inputs!$C$12/12))</f>
        <v/>
      </c>
      <c r="AQ23" s="2">
        <f>(AM23-AN23-AP23)*Inputs!$B$32</f>
        <v/>
      </c>
      <c r="AR23" s="2">
        <f>AM23-AN23-AP23-AQ23</f>
        <v/>
      </c>
      <c r="AS23" s="2">
        <f>AX22</f>
        <v/>
      </c>
      <c r="AT23" s="2">
        <f>AS23*Inputs!$B$33</f>
        <v/>
      </c>
      <c r="AU23" s="2">
        <f>(AS23-AT23)*Inputs!$C$13/12</f>
        <v/>
      </c>
      <c r="AV23" s="2">
        <f>IF(MAX(Inputs!$D$13-(A23-1),0)&lt;=0,0,(AS23-AT23)*((Inputs!$C$13/12)/(1-(1+Inputs!$C$13/12)^(-MAX(Inputs!$D$13-(A23-1),0)))-Inputs!$C$13/12))</f>
        <v/>
      </c>
      <c r="AW23" s="2">
        <f>(AS23-AT23-AV23)*Inputs!$B$32</f>
        <v/>
      </c>
      <c r="AX23" s="2">
        <f>AS23-AT23-AV23-AW23</f>
        <v/>
      </c>
      <c r="AY23" s="2">
        <f>BD22</f>
        <v/>
      </c>
      <c r="AZ23" s="2">
        <f>AY23*Inputs!$B$33</f>
        <v/>
      </c>
      <c r="BA23" s="2">
        <f>(AY23-AZ23)*Inputs!$C$14/12</f>
        <v/>
      </c>
      <c r="BB23" s="2">
        <f>IF(MAX(Inputs!$D$14-(A23-1),0)&lt;=0,0,(AY23-AZ23)*((Inputs!$C$14/12)/(1-(1+Inputs!$C$14/12)^(-MAX(Inputs!$D$14-(A23-1),0)))-Inputs!$C$14/12))</f>
        <v/>
      </c>
      <c r="BC23" s="2">
        <f>(AY23-AZ23-BB23)*Inputs!$B$32</f>
        <v/>
      </c>
      <c r="BD23" s="2">
        <f>AY23-AZ23-BB23-BC23</f>
        <v/>
      </c>
      <c r="BE23" s="2">
        <f>BJ22</f>
        <v/>
      </c>
      <c r="BF23" s="2">
        <f>BE23*Inputs!$B$33</f>
        <v/>
      </c>
      <c r="BG23" s="2">
        <f>(BE23-BF23)*Inputs!$C$15/12</f>
        <v/>
      </c>
      <c r="BH23" s="2">
        <f>IF(MAX(Inputs!$D$15-(A23-1),0)&lt;=0,0,(BE23-BF23)*((Inputs!$C$15/12)/(1-(1+Inputs!$C$15/12)^(-MAX(Inputs!$D$15-(A23-1),0)))-Inputs!$C$15/12))</f>
        <v/>
      </c>
      <c r="BI23" s="2">
        <f>(BE23-BF23-BH23)*Inputs!$B$32</f>
        <v/>
      </c>
      <c r="BJ23" s="2">
        <f>BE23-BF23-BH23-BI23</f>
        <v/>
      </c>
      <c r="BK23" s="2">
        <f>C23+I23+O23+U23+AA23+AG23+AM23+AS23+AY23+BE23</f>
        <v/>
      </c>
      <c r="BL23" s="2">
        <f>D23+J23+P23+V23+AB23+AH23+AN23+AT23+AZ23+BF23</f>
        <v/>
      </c>
      <c r="BM23" s="2">
        <f>E23+K23+Q23+W23+AC23+AI23+AO23+AU23+BA23+BG23</f>
        <v/>
      </c>
      <c r="BN23" s="2">
        <f>F23+L23+R23+X23+AD23+AJ23+AP23+AV23+BB23+BH23</f>
        <v/>
      </c>
      <c r="BO23" s="2">
        <f>G23+M23+S23+Y23+AE23+AK23+AQ23+AW23+BC23+BI23</f>
        <v/>
      </c>
      <c r="BP23" s="2">
        <f>H23+N23+T23+Z23+AF23+AL23+AR23+AX23+BD23+BJ23</f>
        <v/>
      </c>
      <c r="BQ23" s="2">
        <f>IF(A23-Inputs!$B$30&gt;=1,INDEX($BL$5:$BL$101,A23-Inputs!$B$30+1)*(1-Inputs!$B$29),0)</f>
        <v/>
      </c>
      <c r="BR23" s="2">
        <f>BR22+BL23</f>
        <v/>
      </c>
      <c r="BS23" s="2">
        <f>BS22+BQ23</f>
        <v/>
      </c>
      <c r="BT23" s="2">
        <f>BR23*Inputs!$B$29</f>
        <v/>
      </c>
      <c r="BU23" s="2">
        <f>BR23*(1-Inputs!$B$29)-BS23</f>
        <v/>
      </c>
      <c r="BV23" s="2">
        <f>BP23+BU23</f>
        <v/>
      </c>
      <c r="BW23" s="2">
        <f>BM23+BN23+BO23+BQ23</f>
        <v/>
      </c>
      <c r="BX23" s="8">
        <f>BK23-BL23-BN23-BO23-BP23</f>
        <v/>
      </c>
    </row>
    <row r="24">
      <c r="A24" s="7" t="n">
        <v>19</v>
      </c>
      <c r="B24" s="3">
        <f>Inputs!$B$36+(Inputs!$B$37-Inputs!$B$36)*(1-EXP(-A24/Inputs!$B$38))+Inputs!$B$31/10000</f>
        <v/>
      </c>
      <c r="C24" s="2">
        <f>H23</f>
        <v/>
      </c>
      <c r="D24" s="2">
        <f>C24*Inputs!$B$33</f>
        <v/>
      </c>
      <c r="E24" s="2">
        <f>(C24-D24)*Inputs!$C$6/12</f>
        <v/>
      </c>
      <c r="F24" s="2">
        <f>IF(MAX(Inputs!$D$6-(A24-1),0)&lt;=0,0,(C24-D24)*((Inputs!$C$6/12)/(1-(1+Inputs!$C$6/12)^(-MAX(Inputs!$D$6-(A24-1),0)))-Inputs!$C$6/12))</f>
        <v/>
      </c>
      <c r="G24" s="2">
        <f>(C24-D24-F24)*Inputs!$B$32</f>
        <v/>
      </c>
      <c r="H24" s="2">
        <f>C24-D24-F24-G24</f>
        <v/>
      </c>
      <c r="I24" s="2">
        <f>N23</f>
        <v/>
      </c>
      <c r="J24" s="2">
        <f>I24*Inputs!$B$33</f>
        <v/>
      </c>
      <c r="K24" s="2">
        <f>(I24-J24)*Inputs!$C$7/12</f>
        <v/>
      </c>
      <c r="L24" s="2">
        <f>IF(MAX(Inputs!$D$7-(A24-1),0)&lt;=0,0,(I24-J24)*((Inputs!$C$7/12)/(1-(1+Inputs!$C$7/12)^(-MAX(Inputs!$D$7-(A24-1),0)))-Inputs!$C$7/12))</f>
        <v/>
      </c>
      <c r="M24" s="2">
        <f>(I24-J24-L24)*Inputs!$B$32</f>
        <v/>
      </c>
      <c r="N24" s="2">
        <f>I24-J24-L24-M24</f>
        <v/>
      </c>
      <c r="O24" s="2">
        <f>T23</f>
        <v/>
      </c>
      <c r="P24" s="2">
        <f>O24*Inputs!$B$33</f>
        <v/>
      </c>
      <c r="Q24" s="2">
        <f>(O24-P24)*Inputs!$C$8/12</f>
        <v/>
      </c>
      <c r="R24" s="2">
        <f>IF(MAX(Inputs!$D$8-(A24-1),0)&lt;=0,0,(O24-P24)*((Inputs!$C$8/12)/(1-(1+Inputs!$C$8/12)^(-MAX(Inputs!$D$8-(A24-1),0)))-Inputs!$C$8/12))</f>
        <v/>
      </c>
      <c r="S24" s="2">
        <f>(O24-P24-R24)*Inputs!$B$32</f>
        <v/>
      </c>
      <c r="T24" s="2">
        <f>O24-P24-R24-S24</f>
        <v/>
      </c>
      <c r="U24" s="2">
        <f>Z23</f>
        <v/>
      </c>
      <c r="V24" s="2">
        <f>U24*Inputs!$B$33</f>
        <v/>
      </c>
      <c r="W24" s="2">
        <f>(U24-V24)*Inputs!$C$9/12</f>
        <v/>
      </c>
      <c r="X24" s="2">
        <f>IF(MAX(Inputs!$D$9-(A24-1),0)&lt;=0,0,(U24-V24)*((Inputs!$C$9/12)/(1-(1+Inputs!$C$9/12)^(-MAX(Inputs!$D$9-(A24-1),0)))-Inputs!$C$9/12))</f>
        <v/>
      </c>
      <c r="Y24" s="2">
        <f>(U24-V24-X24)*Inputs!$B$32</f>
        <v/>
      </c>
      <c r="Z24" s="2">
        <f>U24-V24-X24-Y24</f>
        <v/>
      </c>
      <c r="AA24" s="2">
        <f>AF23</f>
        <v/>
      </c>
      <c r="AB24" s="2">
        <f>AA24*Inputs!$B$33</f>
        <v/>
      </c>
      <c r="AC24" s="2">
        <f>(AA24-AB24)*Inputs!$C$10/12</f>
        <v/>
      </c>
      <c r="AD24" s="2">
        <f>IF(MAX(Inputs!$D$10-(A24-1),0)&lt;=0,0,(AA24-AB24)*((Inputs!$C$10/12)/(1-(1+Inputs!$C$10/12)^(-MAX(Inputs!$D$10-(A24-1),0)))-Inputs!$C$10/12))</f>
        <v/>
      </c>
      <c r="AE24" s="2">
        <f>(AA24-AB24-AD24)*Inputs!$B$32</f>
        <v/>
      </c>
      <c r="AF24" s="2">
        <f>AA24-AB24-AD24-AE24</f>
        <v/>
      </c>
      <c r="AG24" s="2">
        <f>AL23</f>
        <v/>
      </c>
      <c r="AH24" s="2">
        <f>AG24*Inputs!$B$33</f>
        <v/>
      </c>
      <c r="AI24" s="2">
        <f>(AG24-AH24)*Inputs!$C$11/12</f>
        <v/>
      </c>
      <c r="AJ24" s="2">
        <f>IF(MAX(Inputs!$D$11-(A24-1),0)&lt;=0,0,(AG24-AH24)*((Inputs!$C$11/12)/(1-(1+Inputs!$C$11/12)^(-MAX(Inputs!$D$11-(A24-1),0)))-Inputs!$C$11/12))</f>
        <v/>
      </c>
      <c r="AK24" s="2">
        <f>(AG24-AH24-AJ24)*Inputs!$B$32</f>
        <v/>
      </c>
      <c r="AL24" s="2">
        <f>AG24-AH24-AJ24-AK24</f>
        <v/>
      </c>
      <c r="AM24" s="2">
        <f>AR23</f>
        <v/>
      </c>
      <c r="AN24" s="2">
        <f>AM24*Inputs!$B$33</f>
        <v/>
      </c>
      <c r="AO24" s="2">
        <f>(AM24-AN24)*Inputs!$C$12/12</f>
        <v/>
      </c>
      <c r="AP24" s="2">
        <f>IF(MAX(Inputs!$D$12-(A24-1),0)&lt;=0,0,(AM24-AN24)*((Inputs!$C$12/12)/(1-(1+Inputs!$C$12/12)^(-MAX(Inputs!$D$12-(A24-1),0)))-Inputs!$C$12/12))</f>
        <v/>
      </c>
      <c r="AQ24" s="2">
        <f>(AM24-AN24-AP24)*Inputs!$B$32</f>
        <v/>
      </c>
      <c r="AR24" s="2">
        <f>AM24-AN24-AP24-AQ24</f>
        <v/>
      </c>
      <c r="AS24" s="2">
        <f>AX23</f>
        <v/>
      </c>
      <c r="AT24" s="2">
        <f>AS24*Inputs!$B$33</f>
        <v/>
      </c>
      <c r="AU24" s="2">
        <f>(AS24-AT24)*Inputs!$C$13/12</f>
        <v/>
      </c>
      <c r="AV24" s="2">
        <f>IF(MAX(Inputs!$D$13-(A24-1),0)&lt;=0,0,(AS24-AT24)*((Inputs!$C$13/12)/(1-(1+Inputs!$C$13/12)^(-MAX(Inputs!$D$13-(A24-1),0)))-Inputs!$C$13/12))</f>
        <v/>
      </c>
      <c r="AW24" s="2">
        <f>(AS24-AT24-AV24)*Inputs!$B$32</f>
        <v/>
      </c>
      <c r="AX24" s="2">
        <f>AS24-AT24-AV24-AW24</f>
        <v/>
      </c>
      <c r="AY24" s="2">
        <f>BD23</f>
        <v/>
      </c>
      <c r="AZ24" s="2">
        <f>AY24*Inputs!$B$33</f>
        <v/>
      </c>
      <c r="BA24" s="2">
        <f>(AY24-AZ24)*Inputs!$C$14/12</f>
        <v/>
      </c>
      <c r="BB24" s="2">
        <f>IF(MAX(Inputs!$D$14-(A24-1),0)&lt;=0,0,(AY24-AZ24)*((Inputs!$C$14/12)/(1-(1+Inputs!$C$14/12)^(-MAX(Inputs!$D$14-(A24-1),0)))-Inputs!$C$14/12))</f>
        <v/>
      </c>
      <c r="BC24" s="2">
        <f>(AY24-AZ24-BB24)*Inputs!$B$32</f>
        <v/>
      </c>
      <c r="BD24" s="2">
        <f>AY24-AZ24-BB24-BC24</f>
        <v/>
      </c>
      <c r="BE24" s="2">
        <f>BJ23</f>
        <v/>
      </c>
      <c r="BF24" s="2">
        <f>BE24*Inputs!$B$33</f>
        <v/>
      </c>
      <c r="BG24" s="2">
        <f>(BE24-BF24)*Inputs!$C$15/12</f>
        <v/>
      </c>
      <c r="BH24" s="2">
        <f>IF(MAX(Inputs!$D$15-(A24-1),0)&lt;=0,0,(BE24-BF24)*((Inputs!$C$15/12)/(1-(1+Inputs!$C$15/12)^(-MAX(Inputs!$D$15-(A24-1),0)))-Inputs!$C$15/12))</f>
        <v/>
      </c>
      <c r="BI24" s="2">
        <f>(BE24-BF24-BH24)*Inputs!$B$32</f>
        <v/>
      </c>
      <c r="BJ24" s="2">
        <f>BE24-BF24-BH24-BI24</f>
        <v/>
      </c>
      <c r="BK24" s="2">
        <f>C24+I24+O24+U24+AA24+AG24+AM24+AS24+AY24+BE24</f>
        <v/>
      </c>
      <c r="BL24" s="2">
        <f>D24+J24+P24+V24+AB24+AH24+AN24+AT24+AZ24+BF24</f>
        <v/>
      </c>
      <c r="BM24" s="2">
        <f>E24+K24+Q24+W24+AC24+AI24+AO24+AU24+BA24+BG24</f>
        <v/>
      </c>
      <c r="BN24" s="2">
        <f>F24+L24+R24+X24+AD24+AJ24+AP24+AV24+BB24+BH24</f>
        <v/>
      </c>
      <c r="BO24" s="2">
        <f>G24+M24+S24+Y24+AE24+AK24+AQ24+AW24+BC24+BI24</f>
        <v/>
      </c>
      <c r="BP24" s="2">
        <f>H24+N24+T24+Z24+AF24+AL24+AR24+AX24+BD24+BJ24</f>
        <v/>
      </c>
      <c r="BQ24" s="2">
        <f>IF(A24-Inputs!$B$30&gt;=1,INDEX($BL$5:$BL$101,A24-Inputs!$B$30+1)*(1-Inputs!$B$29),0)</f>
        <v/>
      </c>
      <c r="BR24" s="2">
        <f>BR23+BL24</f>
        <v/>
      </c>
      <c r="BS24" s="2">
        <f>BS23+BQ24</f>
        <v/>
      </c>
      <c r="BT24" s="2">
        <f>BR24*Inputs!$B$29</f>
        <v/>
      </c>
      <c r="BU24" s="2">
        <f>BR24*(1-Inputs!$B$29)-BS24</f>
        <v/>
      </c>
      <c r="BV24" s="2">
        <f>BP24+BU24</f>
        <v/>
      </c>
      <c r="BW24" s="2">
        <f>BM24+BN24+BO24+BQ24</f>
        <v/>
      </c>
      <c r="BX24" s="8">
        <f>BK24-BL24-BN24-BO24-BP24</f>
        <v/>
      </c>
    </row>
    <row r="25">
      <c r="A25" s="7" t="n">
        <v>20</v>
      </c>
      <c r="B25" s="3">
        <f>Inputs!$B$36+(Inputs!$B$37-Inputs!$B$36)*(1-EXP(-A25/Inputs!$B$38))+Inputs!$B$31/10000</f>
        <v/>
      </c>
      <c r="C25" s="2">
        <f>H24</f>
        <v/>
      </c>
      <c r="D25" s="2">
        <f>C25*Inputs!$B$33</f>
        <v/>
      </c>
      <c r="E25" s="2">
        <f>(C25-D25)*Inputs!$C$6/12</f>
        <v/>
      </c>
      <c r="F25" s="2">
        <f>IF(MAX(Inputs!$D$6-(A25-1),0)&lt;=0,0,(C25-D25)*((Inputs!$C$6/12)/(1-(1+Inputs!$C$6/12)^(-MAX(Inputs!$D$6-(A25-1),0)))-Inputs!$C$6/12))</f>
        <v/>
      </c>
      <c r="G25" s="2">
        <f>(C25-D25-F25)*Inputs!$B$32</f>
        <v/>
      </c>
      <c r="H25" s="2">
        <f>C25-D25-F25-G25</f>
        <v/>
      </c>
      <c r="I25" s="2">
        <f>N24</f>
        <v/>
      </c>
      <c r="J25" s="2">
        <f>I25*Inputs!$B$33</f>
        <v/>
      </c>
      <c r="K25" s="2">
        <f>(I25-J25)*Inputs!$C$7/12</f>
        <v/>
      </c>
      <c r="L25" s="2">
        <f>IF(MAX(Inputs!$D$7-(A25-1),0)&lt;=0,0,(I25-J25)*((Inputs!$C$7/12)/(1-(1+Inputs!$C$7/12)^(-MAX(Inputs!$D$7-(A25-1),0)))-Inputs!$C$7/12))</f>
        <v/>
      </c>
      <c r="M25" s="2">
        <f>(I25-J25-L25)*Inputs!$B$32</f>
        <v/>
      </c>
      <c r="N25" s="2">
        <f>I25-J25-L25-M25</f>
        <v/>
      </c>
      <c r="O25" s="2">
        <f>T24</f>
        <v/>
      </c>
      <c r="P25" s="2">
        <f>O25*Inputs!$B$33</f>
        <v/>
      </c>
      <c r="Q25" s="2">
        <f>(O25-P25)*Inputs!$C$8/12</f>
        <v/>
      </c>
      <c r="R25" s="2">
        <f>IF(MAX(Inputs!$D$8-(A25-1),0)&lt;=0,0,(O25-P25)*((Inputs!$C$8/12)/(1-(1+Inputs!$C$8/12)^(-MAX(Inputs!$D$8-(A25-1),0)))-Inputs!$C$8/12))</f>
        <v/>
      </c>
      <c r="S25" s="2">
        <f>(O25-P25-R25)*Inputs!$B$32</f>
        <v/>
      </c>
      <c r="T25" s="2">
        <f>O25-P25-R25-S25</f>
        <v/>
      </c>
      <c r="U25" s="2">
        <f>Z24</f>
        <v/>
      </c>
      <c r="V25" s="2">
        <f>U25*Inputs!$B$33</f>
        <v/>
      </c>
      <c r="W25" s="2">
        <f>(U25-V25)*Inputs!$C$9/12</f>
        <v/>
      </c>
      <c r="X25" s="2">
        <f>IF(MAX(Inputs!$D$9-(A25-1),0)&lt;=0,0,(U25-V25)*((Inputs!$C$9/12)/(1-(1+Inputs!$C$9/12)^(-MAX(Inputs!$D$9-(A25-1),0)))-Inputs!$C$9/12))</f>
        <v/>
      </c>
      <c r="Y25" s="2">
        <f>(U25-V25-X25)*Inputs!$B$32</f>
        <v/>
      </c>
      <c r="Z25" s="2">
        <f>U25-V25-X25-Y25</f>
        <v/>
      </c>
      <c r="AA25" s="2">
        <f>AF24</f>
        <v/>
      </c>
      <c r="AB25" s="2">
        <f>AA25*Inputs!$B$33</f>
        <v/>
      </c>
      <c r="AC25" s="2">
        <f>(AA25-AB25)*Inputs!$C$10/12</f>
        <v/>
      </c>
      <c r="AD25" s="2">
        <f>IF(MAX(Inputs!$D$10-(A25-1),0)&lt;=0,0,(AA25-AB25)*((Inputs!$C$10/12)/(1-(1+Inputs!$C$10/12)^(-MAX(Inputs!$D$10-(A25-1),0)))-Inputs!$C$10/12))</f>
        <v/>
      </c>
      <c r="AE25" s="2">
        <f>(AA25-AB25-AD25)*Inputs!$B$32</f>
        <v/>
      </c>
      <c r="AF25" s="2">
        <f>AA25-AB25-AD25-AE25</f>
        <v/>
      </c>
      <c r="AG25" s="2">
        <f>AL24</f>
        <v/>
      </c>
      <c r="AH25" s="2">
        <f>AG25*Inputs!$B$33</f>
        <v/>
      </c>
      <c r="AI25" s="2">
        <f>(AG25-AH25)*Inputs!$C$11/12</f>
        <v/>
      </c>
      <c r="AJ25" s="2">
        <f>IF(MAX(Inputs!$D$11-(A25-1),0)&lt;=0,0,(AG25-AH25)*((Inputs!$C$11/12)/(1-(1+Inputs!$C$11/12)^(-MAX(Inputs!$D$11-(A25-1),0)))-Inputs!$C$11/12))</f>
        <v/>
      </c>
      <c r="AK25" s="2">
        <f>(AG25-AH25-AJ25)*Inputs!$B$32</f>
        <v/>
      </c>
      <c r="AL25" s="2">
        <f>AG25-AH25-AJ25-AK25</f>
        <v/>
      </c>
      <c r="AM25" s="2">
        <f>AR24</f>
        <v/>
      </c>
      <c r="AN25" s="2">
        <f>AM25*Inputs!$B$33</f>
        <v/>
      </c>
      <c r="AO25" s="2">
        <f>(AM25-AN25)*Inputs!$C$12/12</f>
        <v/>
      </c>
      <c r="AP25" s="2">
        <f>IF(MAX(Inputs!$D$12-(A25-1),0)&lt;=0,0,(AM25-AN25)*((Inputs!$C$12/12)/(1-(1+Inputs!$C$12/12)^(-MAX(Inputs!$D$12-(A25-1),0)))-Inputs!$C$12/12))</f>
        <v/>
      </c>
      <c r="AQ25" s="2">
        <f>(AM25-AN25-AP25)*Inputs!$B$32</f>
        <v/>
      </c>
      <c r="AR25" s="2">
        <f>AM25-AN25-AP25-AQ25</f>
        <v/>
      </c>
      <c r="AS25" s="2">
        <f>AX24</f>
        <v/>
      </c>
      <c r="AT25" s="2">
        <f>AS25*Inputs!$B$33</f>
        <v/>
      </c>
      <c r="AU25" s="2">
        <f>(AS25-AT25)*Inputs!$C$13/12</f>
        <v/>
      </c>
      <c r="AV25" s="2">
        <f>IF(MAX(Inputs!$D$13-(A25-1),0)&lt;=0,0,(AS25-AT25)*((Inputs!$C$13/12)/(1-(1+Inputs!$C$13/12)^(-MAX(Inputs!$D$13-(A25-1),0)))-Inputs!$C$13/12))</f>
        <v/>
      </c>
      <c r="AW25" s="2">
        <f>(AS25-AT25-AV25)*Inputs!$B$32</f>
        <v/>
      </c>
      <c r="AX25" s="2">
        <f>AS25-AT25-AV25-AW25</f>
        <v/>
      </c>
      <c r="AY25" s="2">
        <f>BD24</f>
        <v/>
      </c>
      <c r="AZ25" s="2">
        <f>AY25*Inputs!$B$33</f>
        <v/>
      </c>
      <c r="BA25" s="2">
        <f>(AY25-AZ25)*Inputs!$C$14/12</f>
        <v/>
      </c>
      <c r="BB25" s="2">
        <f>IF(MAX(Inputs!$D$14-(A25-1),0)&lt;=0,0,(AY25-AZ25)*((Inputs!$C$14/12)/(1-(1+Inputs!$C$14/12)^(-MAX(Inputs!$D$14-(A25-1),0)))-Inputs!$C$14/12))</f>
        <v/>
      </c>
      <c r="BC25" s="2">
        <f>(AY25-AZ25-BB25)*Inputs!$B$32</f>
        <v/>
      </c>
      <c r="BD25" s="2">
        <f>AY25-AZ25-BB25-BC25</f>
        <v/>
      </c>
      <c r="BE25" s="2">
        <f>BJ24</f>
        <v/>
      </c>
      <c r="BF25" s="2">
        <f>BE25*Inputs!$B$33</f>
        <v/>
      </c>
      <c r="BG25" s="2">
        <f>(BE25-BF25)*Inputs!$C$15/12</f>
        <v/>
      </c>
      <c r="BH25" s="2">
        <f>IF(MAX(Inputs!$D$15-(A25-1),0)&lt;=0,0,(BE25-BF25)*((Inputs!$C$15/12)/(1-(1+Inputs!$C$15/12)^(-MAX(Inputs!$D$15-(A25-1),0)))-Inputs!$C$15/12))</f>
        <v/>
      </c>
      <c r="BI25" s="2">
        <f>(BE25-BF25-BH25)*Inputs!$B$32</f>
        <v/>
      </c>
      <c r="BJ25" s="2">
        <f>BE25-BF25-BH25-BI25</f>
        <v/>
      </c>
      <c r="BK25" s="2">
        <f>C25+I25+O25+U25+AA25+AG25+AM25+AS25+AY25+BE25</f>
        <v/>
      </c>
      <c r="BL25" s="2">
        <f>D25+J25+P25+V25+AB25+AH25+AN25+AT25+AZ25+BF25</f>
        <v/>
      </c>
      <c r="BM25" s="2">
        <f>E25+K25+Q25+W25+AC25+AI25+AO25+AU25+BA25+BG25</f>
        <v/>
      </c>
      <c r="BN25" s="2">
        <f>F25+L25+R25+X25+AD25+AJ25+AP25+AV25+BB25+BH25</f>
        <v/>
      </c>
      <c r="BO25" s="2">
        <f>G25+M25+S25+Y25+AE25+AK25+AQ25+AW25+BC25+BI25</f>
        <v/>
      </c>
      <c r="BP25" s="2">
        <f>H25+N25+T25+Z25+AF25+AL25+AR25+AX25+BD25+BJ25</f>
        <v/>
      </c>
      <c r="BQ25" s="2">
        <f>IF(A25-Inputs!$B$30&gt;=1,INDEX($BL$5:$BL$101,A25-Inputs!$B$30+1)*(1-Inputs!$B$29),0)</f>
        <v/>
      </c>
      <c r="BR25" s="2">
        <f>BR24+BL25</f>
        <v/>
      </c>
      <c r="BS25" s="2">
        <f>BS24+BQ25</f>
        <v/>
      </c>
      <c r="BT25" s="2">
        <f>BR25*Inputs!$B$29</f>
        <v/>
      </c>
      <c r="BU25" s="2">
        <f>BR25*(1-Inputs!$B$29)-BS25</f>
        <v/>
      </c>
      <c r="BV25" s="2">
        <f>BP25+BU25</f>
        <v/>
      </c>
      <c r="BW25" s="2">
        <f>BM25+BN25+BO25+BQ25</f>
        <v/>
      </c>
      <c r="BX25" s="8">
        <f>BK25-BL25-BN25-BO25-BP25</f>
        <v/>
      </c>
    </row>
    <row r="26">
      <c r="A26" s="7" t="n">
        <v>21</v>
      </c>
      <c r="B26" s="3">
        <f>Inputs!$B$36+(Inputs!$B$37-Inputs!$B$36)*(1-EXP(-A26/Inputs!$B$38))+Inputs!$B$31/10000</f>
        <v/>
      </c>
      <c r="C26" s="2">
        <f>H25</f>
        <v/>
      </c>
      <c r="D26" s="2">
        <f>C26*Inputs!$B$33</f>
        <v/>
      </c>
      <c r="E26" s="2">
        <f>(C26-D26)*Inputs!$C$6/12</f>
        <v/>
      </c>
      <c r="F26" s="2">
        <f>IF(MAX(Inputs!$D$6-(A26-1),0)&lt;=0,0,(C26-D26)*((Inputs!$C$6/12)/(1-(1+Inputs!$C$6/12)^(-MAX(Inputs!$D$6-(A26-1),0)))-Inputs!$C$6/12))</f>
        <v/>
      </c>
      <c r="G26" s="2">
        <f>(C26-D26-F26)*Inputs!$B$32</f>
        <v/>
      </c>
      <c r="H26" s="2">
        <f>C26-D26-F26-G26</f>
        <v/>
      </c>
      <c r="I26" s="2">
        <f>N25</f>
        <v/>
      </c>
      <c r="J26" s="2">
        <f>I26*Inputs!$B$33</f>
        <v/>
      </c>
      <c r="K26" s="2">
        <f>(I26-J26)*Inputs!$C$7/12</f>
        <v/>
      </c>
      <c r="L26" s="2">
        <f>IF(MAX(Inputs!$D$7-(A26-1),0)&lt;=0,0,(I26-J26)*((Inputs!$C$7/12)/(1-(1+Inputs!$C$7/12)^(-MAX(Inputs!$D$7-(A26-1),0)))-Inputs!$C$7/12))</f>
        <v/>
      </c>
      <c r="M26" s="2">
        <f>(I26-J26-L26)*Inputs!$B$32</f>
        <v/>
      </c>
      <c r="N26" s="2">
        <f>I26-J26-L26-M26</f>
        <v/>
      </c>
      <c r="O26" s="2">
        <f>T25</f>
        <v/>
      </c>
      <c r="P26" s="2">
        <f>O26*Inputs!$B$33</f>
        <v/>
      </c>
      <c r="Q26" s="2">
        <f>(O26-P26)*Inputs!$C$8/12</f>
        <v/>
      </c>
      <c r="R26" s="2">
        <f>IF(MAX(Inputs!$D$8-(A26-1),0)&lt;=0,0,(O26-P26)*((Inputs!$C$8/12)/(1-(1+Inputs!$C$8/12)^(-MAX(Inputs!$D$8-(A26-1),0)))-Inputs!$C$8/12))</f>
        <v/>
      </c>
      <c r="S26" s="2">
        <f>(O26-P26-R26)*Inputs!$B$32</f>
        <v/>
      </c>
      <c r="T26" s="2">
        <f>O26-P26-R26-S26</f>
        <v/>
      </c>
      <c r="U26" s="2">
        <f>Z25</f>
        <v/>
      </c>
      <c r="V26" s="2">
        <f>U26*Inputs!$B$33</f>
        <v/>
      </c>
      <c r="W26" s="2">
        <f>(U26-V26)*Inputs!$C$9/12</f>
        <v/>
      </c>
      <c r="X26" s="2">
        <f>IF(MAX(Inputs!$D$9-(A26-1),0)&lt;=0,0,(U26-V26)*((Inputs!$C$9/12)/(1-(1+Inputs!$C$9/12)^(-MAX(Inputs!$D$9-(A26-1),0)))-Inputs!$C$9/12))</f>
        <v/>
      </c>
      <c r="Y26" s="2">
        <f>(U26-V26-X26)*Inputs!$B$32</f>
        <v/>
      </c>
      <c r="Z26" s="2">
        <f>U26-V26-X26-Y26</f>
        <v/>
      </c>
      <c r="AA26" s="2">
        <f>AF25</f>
        <v/>
      </c>
      <c r="AB26" s="2">
        <f>AA26*Inputs!$B$33</f>
        <v/>
      </c>
      <c r="AC26" s="2">
        <f>(AA26-AB26)*Inputs!$C$10/12</f>
        <v/>
      </c>
      <c r="AD26" s="2">
        <f>IF(MAX(Inputs!$D$10-(A26-1),0)&lt;=0,0,(AA26-AB26)*((Inputs!$C$10/12)/(1-(1+Inputs!$C$10/12)^(-MAX(Inputs!$D$10-(A26-1),0)))-Inputs!$C$10/12))</f>
        <v/>
      </c>
      <c r="AE26" s="2">
        <f>(AA26-AB26-AD26)*Inputs!$B$32</f>
        <v/>
      </c>
      <c r="AF26" s="2">
        <f>AA26-AB26-AD26-AE26</f>
        <v/>
      </c>
      <c r="AG26" s="2">
        <f>AL25</f>
        <v/>
      </c>
      <c r="AH26" s="2">
        <f>AG26*Inputs!$B$33</f>
        <v/>
      </c>
      <c r="AI26" s="2">
        <f>(AG26-AH26)*Inputs!$C$11/12</f>
        <v/>
      </c>
      <c r="AJ26" s="2">
        <f>IF(MAX(Inputs!$D$11-(A26-1),0)&lt;=0,0,(AG26-AH26)*((Inputs!$C$11/12)/(1-(1+Inputs!$C$11/12)^(-MAX(Inputs!$D$11-(A26-1),0)))-Inputs!$C$11/12))</f>
        <v/>
      </c>
      <c r="AK26" s="2">
        <f>(AG26-AH26-AJ26)*Inputs!$B$32</f>
        <v/>
      </c>
      <c r="AL26" s="2">
        <f>AG26-AH26-AJ26-AK26</f>
        <v/>
      </c>
      <c r="AM26" s="2">
        <f>AR25</f>
        <v/>
      </c>
      <c r="AN26" s="2">
        <f>AM26*Inputs!$B$33</f>
        <v/>
      </c>
      <c r="AO26" s="2">
        <f>(AM26-AN26)*Inputs!$C$12/12</f>
        <v/>
      </c>
      <c r="AP26" s="2">
        <f>IF(MAX(Inputs!$D$12-(A26-1),0)&lt;=0,0,(AM26-AN26)*((Inputs!$C$12/12)/(1-(1+Inputs!$C$12/12)^(-MAX(Inputs!$D$12-(A26-1),0)))-Inputs!$C$12/12))</f>
        <v/>
      </c>
      <c r="AQ26" s="2">
        <f>(AM26-AN26-AP26)*Inputs!$B$32</f>
        <v/>
      </c>
      <c r="AR26" s="2">
        <f>AM26-AN26-AP26-AQ26</f>
        <v/>
      </c>
      <c r="AS26" s="2">
        <f>AX25</f>
        <v/>
      </c>
      <c r="AT26" s="2">
        <f>AS26*Inputs!$B$33</f>
        <v/>
      </c>
      <c r="AU26" s="2">
        <f>(AS26-AT26)*Inputs!$C$13/12</f>
        <v/>
      </c>
      <c r="AV26" s="2">
        <f>IF(MAX(Inputs!$D$13-(A26-1),0)&lt;=0,0,(AS26-AT26)*((Inputs!$C$13/12)/(1-(1+Inputs!$C$13/12)^(-MAX(Inputs!$D$13-(A26-1),0)))-Inputs!$C$13/12))</f>
        <v/>
      </c>
      <c r="AW26" s="2">
        <f>(AS26-AT26-AV26)*Inputs!$B$32</f>
        <v/>
      </c>
      <c r="AX26" s="2">
        <f>AS26-AT26-AV26-AW26</f>
        <v/>
      </c>
      <c r="AY26" s="2">
        <f>BD25</f>
        <v/>
      </c>
      <c r="AZ26" s="2">
        <f>AY26*Inputs!$B$33</f>
        <v/>
      </c>
      <c r="BA26" s="2">
        <f>(AY26-AZ26)*Inputs!$C$14/12</f>
        <v/>
      </c>
      <c r="BB26" s="2">
        <f>IF(MAX(Inputs!$D$14-(A26-1),0)&lt;=0,0,(AY26-AZ26)*((Inputs!$C$14/12)/(1-(1+Inputs!$C$14/12)^(-MAX(Inputs!$D$14-(A26-1),0)))-Inputs!$C$14/12))</f>
        <v/>
      </c>
      <c r="BC26" s="2">
        <f>(AY26-AZ26-BB26)*Inputs!$B$32</f>
        <v/>
      </c>
      <c r="BD26" s="2">
        <f>AY26-AZ26-BB26-BC26</f>
        <v/>
      </c>
      <c r="BE26" s="2">
        <f>BJ25</f>
        <v/>
      </c>
      <c r="BF26" s="2">
        <f>BE26*Inputs!$B$33</f>
        <v/>
      </c>
      <c r="BG26" s="2">
        <f>(BE26-BF26)*Inputs!$C$15/12</f>
        <v/>
      </c>
      <c r="BH26" s="2">
        <f>IF(MAX(Inputs!$D$15-(A26-1),0)&lt;=0,0,(BE26-BF26)*((Inputs!$C$15/12)/(1-(1+Inputs!$C$15/12)^(-MAX(Inputs!$D$15-(A26-1),0)))-Inputs!$C$15/12))</f>
        <v/>
      </c>
      <c r="BI26" s="2">
        <f>(BE26-BF26-BH26)*Inputs!$B$32</f>
        <v/>
      </c>
      <c r="BJ26" s="2">
        <f>BE26-BF26-BH26-BI26</f>
        <v/>
      </c>
      <c r="BK26" s="2">
        <f>C26+I26+O26+U26+AA26+AG26+AM26+AS26+AY26+BE26</f>
        <v/>
      </c>
      <c r="BL26" s="2">
        <f>D26+J26+P26+V26+AB26+AH26+AN26+AT26+AZ26+BF26</f>
        <v/>
      </c>
      <c r="BM26" s="2">
        <f>E26+K26+Q26+W26+AC26+AI26+AO26+AU26+BA26+BG26</f>
        <v/>
      </c>
      <c r="BN26" s="2">
        <f>F26+L26+R26+X26+AD26+AJ26+AP26+AV26+BB26+BH26</f>
        <v/>
      </c>
      <c r="BO26" s="2">
        <f>G26+M26+S26+Y26+AE26+AK26+AQ26+AW26+BC26+BI26</f>
        <v/>
      </c>
      <c r="BP26" s="2">
        <f>H26+N26+T26+Z26+AF26+AL26+AR26+AX26+BD26+BJ26</f>
        <v/>
      </c>
      <c r="BQ26" s="2">
        <f>IF(A26-Inputs!$B$30&gt;=1,INDEX($BL$5:$BL$101,A26-Inputs!$B$30+1)*(1-Inputs!$B$29),0)</f>
        <v/>
      </c>
      <c r="BR26" s="2">
        <f>BR25+BL26</f>
        <v/>
      </c>
      <c r="BS26" s="2">
        <f>BS25+BQ26</f>
        <v/>
      </c>
      <c r="BT26" s="2">
        <f>BR26*Inputs!$B$29</f>
        <v/>
      </c>
      <c r="BU26" s="2">
        <f>BR26*(1-Inputs!$B$29)-BS26</f>
        <v/>
      </c>
      <c r="BV26" s="2">
        <f>BP26+BU26</f>
        <v/>
      </c>
      <c r="BW26" s="2">
        <f>BM26+BN26+BO26+BQ26</f>
        <v/>
      </c>
      <c r="BX26" s="8">
        <f>BK26-BL26-BN26-BO26-BP26</f>
        <v/>
      </c>
    </row>
    <row r="27">
      <c r="A27" s="7" t="n">
        <v>22</v>
      </c>
      <c r="B27" s="3">
        <f>Inputs!$B$36+(Inputs!$B$37-Inputs!$B$36)*(1-EXP(-A27/Inputs!$B$38))+Inputs!$B$31/10000</f>
        <v/>
      </c>
      <c r="C27" s="2">
        <f>H26</f>
        <v/>
      </c>
      <c r="D27" s="2">
        <f>C27*Inputs!$B$33</f>
        <v/>
      </c>
      <c r="E27" s="2">
        <f>(C27-D27)*Inputs!$C$6/12</f>
        <v/>
      </c>
      <c r="F27" s="2">
        <f>IF(MAX(Inputs!$D$6-(A27-1),0)&lt;=0,0,(C27-D27)*((Inputs!$C$6/12)/(1-(1+Inputs!$C$6/12)^(-MAX(Inputs!$D$6-(A27-1),0)))-Inputs!$C$6/12))</f>
        <v/>
      </c>
      <c r="G27" s="2">
        <f>(C27-D27-F27)*Inputs!$B$32</f>
        <v/>
      </c>
      <c r="H27" s="2">
        <f>C27-D27-F27-G27</f>
        <v/>
      </c>
      <c r="I27" s="2">
        <f>N26</f>
        <v/>
      </c>
      <c r="J27" s="2">
        <f>I27*Inputs!$B$33</f>
        <v/>
      </c>
      <c r="K27" s="2">
        <f>(I27-J27)*Inputs!$C$7/12</f>
        <v/>
      </c>
      <c r="L27" s="2">
        <f>IF(MAX(Inputs!$D$7-(A27-1),0)&lt;=0,0,(I27-J27)*((Inputs!$C$7/12)/(1-(1+Inputs!$C$7/12)^(-MAX(Inputs!$D$7-(A27-1),0)))-Inputs!$C$7/12))</f>
        <v/>
      </c>
      <c r="M27" s="2">
        <f>(I27-J27-L27)*Inputs!$B$32</f>
        <v/>
      </c>
      <c r="N27" s="2">
        <f>I27-J27-L27-M27</f>
        <v/>
      </c>
      <c r="O27" s="2">
        <f>T26</f>
        <v/>
      </c>
      <c r="P27" s="2">
        <f>O27*Inputs!$B$33</f>
        <v/>
      </c>
      <c r="Q27" s="2">
        <f>(O27-P27)*Inputs!$C$8/12</f>
        <v/>
      </c>
      <c r="R27" s="2">
        <f>IF(MAX(Inputs!$D$8-(A27-1),0)&lt;=0,0,(O27-P27)*((Inputs!$C$8/12)/(1-(1+Inputs!$C$8/12)^(-MAX(Inputs!$D$8-(A27-1),0)))-Inputs!$C$8/12))</f>
        <v/>
      </c>
      <c r="S27" s="2">
        <f>(O27-P27-R27)*Inputs!$B$32</f>
        <v/>
      </c>
      <c r="T27" s="2">
        <f>O27-P27-R27-S27</f>
        <v/>
      </c>
      <c r="U27" s="2">
        <f>Z26</f>
        <v/>
      </c>
      <c r="V27" s="2">
        <f>U27*Inputs!$B$33</f>
        <v/>
      </c>
      <c r="W27" s="2">
        <f>(U27-V27)*Inputs!$C$9/12</f>
        <v/>
      </c>
      <c r="X27" s="2">
        <f>IF(MAX(Inputs!$D$9-(A27-1),0)&lt;=0,0,(U27-V27)*((Inputs!$C$9/12)/(1-(1+Inputs!$C$9/12)^(-MAX(Inputs!$D$9-(A27-1),0)))-Inputs!$C$9/12))</f>
        <v/>
      </c>
      <c r="Y27" s="2">
        <f>(U27-V27-X27)*Inputs!$B$32</f>
        <v/>
      </c>
      <c r="Z27" s="2">
        <f>U27-V27-X27-Y27</f>
        <v/>
      </c>
      <c r="AA27" s="2">
        <f>AF26</f>
        <v/>
      </c>
      <c r="AB27" s="2">
        <f>AA27*Inputs!$B$33</f>
        <v/>
      </c>
      <c r="AC27" s="2">
        <f>(AA27-AB27)*Inputs!$C$10/12</f>
        <v/>
      </c>
      <c r="AD27" s="2">
        <f>IF(MAX(Inputs!$D$10-(A27-1),0)&lt;=0,0,(AA27-AB27)*((Inputs!$C$10/12)/(1-(1+Inputs!$C$10/12)^(-MAX(Inputs!$D$10-(A27-1),0)))-Inputs!$C$10/12))</f>
        <v/>
      </c>
      <c r="AE27" s="2">
        <f>(AA27-AB27-AD27)*Inputs!$B$32</f>
        <v/>
      </c>
      <c r="AF27" s="2">
        <f>AA27-AB27-AD27-AE27</f>
        <v/>
      </c>
      <c r="AG27" s="2">
        <f>AL26</f>
        <v/>
      </c>
      <c r="AH27" s="2">
        <f>AG27*Inputs!$B$33</f>
        <v/>
      </c>
      <c r="AI27" s="2">
        <f>(AG27-AH27)*Inputs!$C$11/12</f>
        <v/>
      </c>
      <c r="AJ27" s="2">
        <f>IF(MAX(Inputs!$D$11-(A27-1),0)&lt;=0,0,(AG27-AH27)*((Inputs!$C$11/12)/(1-(1+Inputs!$C$11/12)^(-MAX(Inputs!$D$11-(A27-1),0)))-Inputs!$C$11/12))</f>
        <v/>
      </c>
      <c r="AK27" s="2">
        <f>(AG27-AH27-AJ27)*Inputs!$B$32</f>
        <v/>
      </c>
      <c r="AL27" s="2">
        <f>AG27-AH27-AJ27-AK27</f>
        <v/>
      </c>
      <c r="AM27" s="2">
        <f>AR26</f>
        <v/>
      </c>
      <c r="AN27" s="2">
        <f>AM27*Inputs!$B$33</f>
        <v/>
      </c>
      <c r="AO27" s="2">
        <f>(AM27-AN27)*Inputs!$C$12/12</f>
        <v/>
      </c>
      <c r="AP27" s="2">
        <f>IF(MAX(Inputs!$D$12-(A27-1),0)&lt;=0,0,(AM27-AN27)*((Inputs!$C$12/12)/(1-(1+Inputs!$C$12/12)^(-MAX(Inputs!$D$12-(A27-1),0)))-Inputs!$C$12/12))</f>
        <v/>
      </c>
      <c r="AQ27" s="2">
        <f>(AM27-AN27-AP27)*Inputs!$B$32</f>
        <v/>
      </c>
      <c r="AR27" s="2">
        <f>AM27-AN27-AP27-AQ27</f>
        <v/>
      </c>
      <c r="AS27" s="2">
        <f>AX26</f>
        <v/>
      </c>
      <c r="AT27" s="2">
        <f>AS27*Inputs!$B$33</f>
        <v/>
      </c>
      <c r="AU27" s="2">
        <f>(AS27-AT27)*Inputs!$C$13/12</f>
        <v/>
      </c>
      <c r="AV27" s="2">
        <f>IF(MAX(Inputs!$D$13-(A27-1),0)&lt;=0,0,(AS27-AT27)*((Inputs!$C$13/12)/(1-(1+Inputs!$C$13/12)^(-MAX(Inputs!$D$13-(A27-1),0)))-Inputs!$C$13/12))</f>
        <v/>
      </c>
      <c r="AW27" s="2">
        <f>(AS27-AT27-AV27)*Inputs!$B$32</f>
        <v/>
      </c>
      <c r="AX27" s="2">
        <f>AS27-AT27-AV27-AW27</f>
        <v/>
      </c>
      <c r="AY27" s="2">
        <f>BD26</f>
        <v/>
      </c>
      <c r="AZ27" s="2">
        <f>AY27*Inputs!$B$33</f>
        <v/>
      </c>
      <c r="BA27" s="2">
        <f>(AY27-AZ27)*Inputs!$C$14/12</f>
        <v/>
      </c>
      <c r="BB27" s="2">
        <f>IF(MAX(Inputs!$D$14-(A27-1),0)&lt;=0,0,(AY27-AZ27)*((Inputs!$C$14/12)/(1-(1+Inputs!$C$14/12)^(-MAX(Inputs!$D$14-(A27-1),0)))-Inputs!$C$14/12))</f>
        <v/>
      </c>
      <c r="BC27" s="2">
        <f>(AY27-AZ27-BB27)*Inputs!$B$32</f>
        <v/>
      </c>
      <c r="BD27" s="2">
        <f>AY27-AZ27-BB27-BC27</f>
        <v/>
      </c>
      <c r="BE27" s="2">
        <f>BJ26</f>
        <v/>
      </c>
      <c r="BF27" s="2">
        <f>BE27*Inputs!$B$33</f>
        <v/>
      </c>
      <c r="BG27" s="2">
        <f>(BE27-BF27)*Inputs!$C$15/12</f>
        <v/>
      </c>
      <c r="BH27" s="2">
        <f>IF(MAX(Inputs!$D$15-(A27-1),0)&lt;=0,0,(BE27-BF27)*((Inputs!$C$15/12)/(1-(1+Inputs!$C$15/12)^(-MAX(Inputs!$D$15-(A27-1),0)))-Inputs!$C$15/12))</f>
        <v/>
      </c>
      <c r="BI27" s="2">
        <f>(BE27-BF27-BH27)*Inputs!$B$32</f>
        <v/>
      </c>
      <c r="BJ27" s="2">
        <f>BE27-BF27-BH27-BI27</f>
        <v/>
      </c>
      <c r="BK27" s="2">
        <f>C27+I27+O27+U27+AA27+AG27+AM27+AS27+AY27+BE27</f>
        <v/>
      </c>
      <c r="BL27" s="2">
        <f>D27+J27+P27+V27+AB27+AH27+AN27+AT27+AZ27+BF27</f>
        <v/>
      </c>
      <c r="BM27" s="2">
        <f>E27+K27+Q27+W27+AC27+AI27+AO27+AU27+BA27+BG27</f>
        <v/>
      </c>
      <c r="BN27" s="2">
        <f>F27+L27+R27+X27+AD27+AJ27+AP27+AV27+BB27+BH27</f>
        <v/>
      </c>
      <c r="BO27" s="2">
        <f>G27+M27+S27+Y27+AE27+AK27+AQ27+AW27+BC27+BI27</f>
        <v/>
      </c>
      <c r="BP27" s="2">
        <f>H27+N27+T27+Z27+AF27+AL27+AR27+AX27+BD27+BJ27</f>
        <v/>
      </c>
      <c r="BQ27" s="2">
        <f>IF(A27-Inputs!$B$30&gt;=1,INDEX($BL$5:$BL$101,A27-Inputs!$B$30+1)*(1-Inputs!$B$29),0)</f>
        <v/>
      </c>
      <c r="BR27" s="2">
        <f>BR26+BL27</f>
        <v/>
      </c>
      <c r="BS27" s="2">
        <f>BS26+BQ27</f>
        <v/>
      </c>
      <c r="BT27" s="2">
        <f>BR27*Inputs!$B$29</f>
        <v/>
      </c>
      <c r="BU27" s="2">
        <f>BR27*(1-Inputs!$B$29)-BS27</f>
        <v/>
      </c>
      <c r="BV27" s="2">
        <f>BP27+BU27</f>
        <v/>
      </c>
      <c r="BW27" s="2">
        <f>BM27+BN27+BO27+BQ27</f>
        <v/>
      </c>
      <c r="BX27" s="8">
        <f>BK27-BL27-BN27-BO27-BP27</f>
        <v/>
      </c>
    </row>
    <row r="28">
      <c r="A28" s="7" t="n">
        <v>23</v>
      </c>
      <c r="B28" s="3">
        <f>Inputs!$B$36+(Inputs!$B$37-Inputs!$B$36)*(1-EXP(-A28/Inputs!$B$38))+Inputs!$B$31/10000</f>
        <v/>
      </c>
      <c r="C28" s="2">
        <f>H27</f>
        <v/>
      </c>
      <c r="D28" s="2">
        <f>C28*Inputs!$B$33</f>
        <v/>
      </c>
      <c r="E28" s="2">
        <f>(C28-D28)*Inputs!$C$6/12</f>
        <v/>
      </c>
      <c r="F28" s="2">
        <f>IF(MAX(Inputs!$D$6-(A28-1),0)&lt;=0,0,(C28-D28)*((Inputs!$C$6/12)/(1-(1+Inputs!$C$6/12)^(-MAX(Inputs!$D$6-(A28-1),0)))-Inputs!$C$6/12))</f>
        <v/>
      </c>
      <c r="G28" s="2">
        <f>(C28-D28-F28)*Inputs!$B$32</f>
        <v/>
      </c>
      <c r="H28" s="2">
        <f>C28-D28-F28-G28</f>
        <v/>
      </c>
      <c r="I28" s="2">
        <f>N27</f>
        <v/>
      </c>
      <c r="J28" s="2">
        <f>I28*Inputs!$B$33</f>
        <v/>
      </c>
      <c r="K28" s="2">
        <f>(I28-J28)*Inputs!$C$7/12</f>
        <v/>
      </c>
      <c r="L28" s="2">
        <f>IF(MAX(Inputs!$D$7-(A28-1),0)&lt;=0,0,(I28-J28)*((Inputs!$C$7/12)/(1-(1+Inputs!$C$7/12)^(-MAX(Inputs!$D$7-(A28-1),0)))-Inputs!$C$7/12))</f>
        <v/>
      </c>
      <c r="M28" s="2">
        <f>(I28-J28-L28)*Inputs!$B$32</f>
        <v/>
      </c>
      <c r="N28" s="2">
        <f>I28-J28-L28-M28</f>
        <v/>
      </c>
      <c r="O28" s="2">
        <f>T27</f>
        <v/>
      </c>
      <c r="P28" s="2">
        <f>O28*Inputs!$B$33</f>
        <v/>
      </c>
      <c r="Q28" s="2">
        <f>(O28-P28)*Inputs!$C$8/12</f>
        <v/>
      </c>
      <c r="R28" s="2">
        <f>IF(MAX(Inputs!$D$8-(A28-1),0)&lt;=0,0,(O28-P28)*((Inputs!$C$8/12)/(1-(1+Inputs!$C$8/12)^(-MAX(Inputs!$D$8-(A28-1),0)))-Inputs!$C$8/12))</f>
        <v/>
      </c>
      <c r="S28" s="2">
        <f>(O28-P28-R28)*Inputs!$B$32</f>
        <v/>
      </c>
      <c r="T28" s="2">
        <f>O28-P28-R28-S28</f>
        <v/>
      </c>
      <c r="U28" s="2">
        <f>Z27</f>
        <v/>
      </c>
      <c r="V28" s="2">
        <f>U28*Inputs!$B$33</f>
        <v/>
      </c>
      <c r="W28" s="2">
        <f>(U28-V28)*Inputs!$C$9/12</f>
        <v/>
      </c>
      <c r="X28" s="2">
        <f>IF(MAX(Inputs!$D$9-(A28-1),0)&lt;=0,0,(U28-V28)*((Inputs!$C$9/12)/(1-(1+Inputs!$C$9/12)^(-MAX(Inputs!$D$9-(A28-1),0)))-Inputs!$C$9/12))</f>
        <v/>
      </c>
      <c r="Y28" s="2">
        <f>(U28-V28-X28)*Inputs!$B$32</f>
        <v/>
      </c>
      <c r="Z28" s="2">
        <f>U28-V28-X28-Y28</f>
        <v/>
      </c>
      <c r="AA28" s="2">
        <f>AF27</f>
        <v/>
      </c>
      <c r="AB28" s="2">
        <f>AA28*Inputs!$B$33</f>
        <v/>
      </c>
      <c r="AC28" s="2">
        <f>(AA28-AB28)*Inputs!$C$10/12</f>
        <v/>
      </c>
      <c r="AD28" s="2">
        <f>IF(MAX(Inputs!$D$10-(A28-1),0)&lt;=0,0,(AA28-AB28)*((Inputs!$C$10/12)/(1-(1+Inputs!$C$10/12)^(-MAX(Inputs!$D$10-(A28-1),0)))-Inputs!$C$10/12))</f>
        <v/>
      </c>
      <c r="AE28" s="2">
        <f>(AA28-AB28-AD28)*Inputs!$B$32</f>
        <v/>
      </c>
      <c r="AF28" s="2">
        <f>AA28-AB28-AD28-AE28</f>
        <v/>
      </c>
      <c r="AG28" s="2">
        <f>AL27</f>
        <v/>
      </c>
      <c r="AH28" s="2">
        <f>AG28*Inputs!$B$33</f>
        <v/>
      </c>
      <c r="AI28" s="2">
        <f>(AG28-AH28)*Inputs!$C$11/12</f>
        <v/>
      </c>
      <c r="AJ28" s="2">
        <f>IF(MAX(Inputs!$D$11-(A28-1),0)&lt;=0,0,(AG28-AH28)*((Inputs!$C$11/12)/(1-(1+Inputs!$C$11/12)^(-MAX(Inputs!$D$11-(A28-1),0)))-Inputs!$C$11/12))</f>
        <v/>
      </c>
      <c r="AK28" s="2">
        <f>(AG28-AH28-AJ28)*Inputs!$B$32</f>
        <v/>
      </c>
      <c r="AL28" s="2">
        <f>AG28-AH28-AJ28-AK28</f>
        <v/>
      </c>
      <c r="AM28" s="2">
        <f>AR27</f>
        <v/>
      </c>
      <c r="AN28" s="2">
        <f>AM28*Inputs!$B$33</f>
        <v/>
      </c>
      <c r="AO28" s="2">
        <f>(AM28-AN28)*Inputs!$C$12/12</f>
        <v/>
      </c>
      <c r="AP28" s="2">
        <f>IF(MAX(Inputs!$D$12-(A28-1),0)&lt;=0,0,(AM28-AN28)*((Inputs!$C$12/12)/(1-(1+Inputs!$C$12/12)^(-MAX(Inputs!$D$12-(A28-1),0)))-Inputs!$C$12/12))</f>
        <v/>
      </c>
      <c r="AQ28" s="2">
        <f>(AM28-AN28-AP28)*Inputs!$B$32</f>
        <v/>
      </c>
      <c r="AR28" s="2">
        <f>AM28-AN28-AP28-AQ28</f>
        <v/>
      </c>
      <c r="AS28" s="2">
        <f>AX27</f>
        <v/>
      </c>
      <c r="AT28" s="2">
        <f>AS28*Inputs!$B$33</f>
        <v/>
      </c>
      <c r="AU28" s="2">
        <f>(AS28-AT28)*Inputs!$C$13/12</f>
        <v/>
      </c>
      <c r="AV28" s="2">
        <f>IF(MAX(Inputs!$D$13-(A28-1),0)&lt;=0,0,(AS28-AT28)*((Inputs!$C$13/12)/(1-(1+Inputs!$C$13/12)^(-MAX(Inputs!$D$13-(A28-1),0)))-Inputs!$C$13/12))</f>
        <v/>
      </c>
      <c r="AW28" s="2">
        <f>(AS28-AT28-AV28)*Inputs!$B$32</f>
        <v/>
      </c>
      <c r="AX28" s="2">
        <f>AS28-AT28-AV28-AW28</f>
        <v/>
      </c>
      <c r="AY28" s="2">
        <f>BD27</f>
        <v/>
      </c>
      <c r="AZ28" s="2">
        <f>AY28*Inputs!$B$33</f>
        <v/>
      </c>
      <c r="BA28" s="2">
        <f>(AY28-AZ28)*Inputs!$C$14/12</f>
        <v/>
      </c>
      <c r="BB28" s="2">
        <f>IF(MAX(Inputs!$D$14-(A28-1),0)&lt;=0,0,(AY28-AZ28)*((Inputs!$C$14/12)/(1-(1+Inputs!$C$14/12)^(-MAX(Inputs!$D$14-(A28-1),0)))-Inputs!$C$14/12))</f>
        <v/>
      </c>
      <c r="BC28" s="2">
        <f>(AY28-AZ28-BB28)*Inputs!$B$32</f>
        <v/>
      </c>
      <c r="BD28" s="2">
        <f>AY28-AZ28-BB28-BC28</f>
        <v/>
      </c>
      <c r="BE28" s="2">
        <f>BJ27</f>
        <v/>
      </c>
      <c r="BF28" s="2">
        <f>BE28*Inputs!$B$33</f>
        <v/>
      </c>
      <c r="BG28" s="2">
        <f>(BE28-BF28)*Inputs!$C$15/12</f>
        <v/>
      </c>
      <c r="BH28" s="2">
        <f>IF(MAX(Inputs!$D$15-(A28-1),0)&lt;=0,0,(BE28-BF28)*((Inputs!$C$15/12)/(1-(1+Inputs!$C$15/12)^(-MAX(Inputs!$D$15-(A28-1),0)))-Inputs!$C$15/12))</f>
        <v/>
      </c>
      <c r="BI28" s="2">
        <f>(BE28-BF28-BH28)*Inputs!$B$32</f>
        <v/>
      </c>
      <c r="BJ28" s="2">
        <f>BE28-BF28-BH28-BI28</f>
        <v/>
      </c>
      <c r="BK28" s="2">
        <f>C28+I28+O28+U28+AA28+AG28+AM28+AS28+AY28+BE28</f>
        <v/>
      </c>
      <c r="BL28" s="2">
        <f>D28+J28+P28+V28+AB28+AH28+AN28+AT28+AZ28+BF28</f>
        <v/>
      </c>
      <c r="BM28" s="2">
        <f>E28+K28+Q28+W28+AC28+AI28+AO28+AU28+BA28+BG28</f>
        <v/>
      </c>
      <c r="BN28" s="2">
        <f>F28+L28+R28+X28+AD28+AJ28+AP28+AV28+BB28+BH28</f>
        <v/>
      </c>
      <c r="BO28" s="2">
        <f>G28+M28+S28+Y28+AE28+AK28+AQ28+AW28+BC28+BI28</f>
        <v/>
      </c>
      <c r="BP28" s="2">
        <f>H28+N28+T28+Z28+AF28+AL28+AR28+AX28+BD28+BJ28</f>
        <v/>
      </c>
      <c r="BQ28" s="2">
        <f>IF(A28-Inputs!$B$30&gt;=1,INDEX($BL$5:$BL$101,A28-Inputs!$B$30+1)*(1-Inputs!$B$29),0)</f>
        <v/>
      </c>
      <c r="BR28" s="2">
        <f>BR27+BL28</f>
        <v/>
      </c>
      <c r="BS28" s="2">
        <f>BS27+BQ28</f>
        <v/>
      </c>
      <c r="BT28" s="2">
        <f>BR28*Inputs!$B$29</f>
        <v/>
      </c>
      <c r="BU28" s="2">
        <f>BR28*(1-Inputs!$B$29)-BS28</f>
        <v/>
      </c>
      <c r="BV28" s="2">
        <f>BP28+BU28</f>
        <v/>
      </c>
      <c r="BW28" s="2">
        <f>BM28+BN28+BO28+BQ28</f>
        <v/>
      </c>
      <c r="BX28" s="8">
        <f>BK28-BL28-BN28-BO28-BP28</f>
        <v/>
      </c>
    </row>
    <row r="29">
      <c r="A29" s="7" t="n">
        <v>24</v>
      </c>
      <c r="B29" s="3">
        <f>Inputs!$B$36+(Inputs!$B$37-Inputs!$B$36)*(1-EXP(-A29/Inputs!$B$38))+Inputs!$B$31/10000</f>
        <v/>
      </c>
      <c r="C29" s="2">
        <f>H28</f>
        <v/>
      </c>
      <c r="D29" s="2">
        <f>C29*Inputs!$B$33</f>
        <v/>
      </c>
      <c r="E29" s="2">
        <f>(C29-D29)*Inputs!$C$6/12</f>
        <v/>
      </c>
      <c r="F29" s="2">
        <f>IF(MAX(Inputs!$D$6-(A29-1),0)&lt;=0,0,(C29-D29)*((Inputs!$C$6/12)/(1-(1+Inputs!$C$6/12)^(-MAX(Inputs!$D$6-(A29-1),0)))-Inputs!$C$6/12))</f>
        <v/>
      </c>
      <c r="G29" s="2">
        <f>(C29-D29-F29)*Inputs!$B$32</f>
        <v/>
      </c>
      <c r="H29" s="2">
        <f>C29-D29-F29-G29</f>
        <v/>
      </c>
      <c r="I29" s="2">
        <f>N28</f>
        <v/>
      </c>
      <c r="J29" s="2">
        <f>I29*Inputs!$B$33</f>
        <v/>
      </c>
      <c r="K29" s="2">
        <f>(I29-J29)*Inputs!$C$7/12</f>
        <v/>
      </c>
      <c r="L29" s="2">
        <f>IF(MAX(Inputs!$D$7-(A29-1),0)&lt;=0,0,(I29-J29)*((Inputs!$C$7/12)/(1-(1+Inputs!$C$7/12)^(-MAX(Inputs!$D$7-(A29-1),0)))-Inputs!$C$7/12))</f>
        <v/>
      </c>
      <c r="M29" s="2">
        <f>(I29-J29-L29)*Inputs!$B$32</f>
        <v/>
      </c>
      <c r="N29" s="2">
        <f>I29-J29-L29-M29</f>
        <v/>
      </c>
      <c r="O29" s="2">
        <f>T28</f>
        <v/>
      </c>
      <c r="P29" s="2">
        <f>O29*Inputs!$B$33</f>
        <v/>
      </c>
      <c r="Q29" s="2">
        <f>(O29-P29)*Inputs!$C$8/12</f>
        <v/>
      </c>
      <c r="R29" s="2">
        <f>IF(MAX(Inputs!$D$8-(A29-1),0)&lt;=0,0,(O29-P29)*((Inputs!$C$8/12)/(1-(1+Inputs!$C$8/12)^(-MAX(Inputs!$D$8-(A29-1),0)))-Inputs!$C$8/12))</f>
        <v/>
      </c>
      <c r="S29" s="2">
        <f>(O29-P29-R29)*Inputs!$B$32</f>
        <v/>
      </c>
      <c r="T29" s="2">
        <f>O29-P29-R29-S29</f>
        <v/>
      </c>
      <c r="U29" s="2">
        <f>Z28</f>
        <v/>
      </c>
      <c r="V29" s="2">
        <f>U29*Inputs!$B$33</f>
        <v/>
      </c>
      <c r="W29" s="2">
        <f>(U29-V29)*Inputs!$C$9/12</f>
        <v/>
      </c>
      <c r="X29" s="2">
        <f>IF(MAX(Inputs!$D$9-(A29-1),0)&lt;=0,0,(U29-V29)*((Inputs!$C$9/12)/(1-(1+Inputs!$C$9/12)^(-MAX(Inputs!$D$9-(A29-1),0)))-Inputs!$C$9/12))</f>
        <v/>
      </c>
      <c r="Y29" s="2">
        <f>(U29-V29-X29)*Inputs!$B$32</f>
        <v/>
      </c>
      <c r="Z29" s="2">
        <f>U29-V29-X29-Y29</f>
        <v/>
      </c>
      <c r="AA29" s="2">
        <f>AF28</f>
        <v/>
      </c>
      <c r="AB29" s="2">
        <f>AA29*Inputs!$B$33</f>
        <v/>
      </c>
      <c r="AC29" s="2">
        <f>(AA29-AB29)*Inputs!$C$10/12</f>
        <v/>
      </c>
      <c r="AD29" s="2">
        <f>IF(MAX(Inputs!$D$10-(A29-1),0)&lt;=0,0,(AA29-AB29)*((Inputs!$C$10/12)/(1-(1+Inputs!$C$10/12)^(-MAX(Inputs!$D$10-(A29-1),0)))-Inputs!$C$10/12))</f>
        <v/>
      </c>
      <c r="AE29" s="2">
        <f>(AA29-AB29-AD29)*Inputs!$B$32</f>
        <v/>
      </c>
      <c r="AF29" s="2">
        <f>AA29-AB29-AD29-AE29</f>
        <v/>
      </c>
      <c r="AG29" s="2">
        <f>AL28</f>
        <v/>
      </c>
      <c r="AH29" s="2">
        <f>AG29*Inputs!$B$33</f>
        <v/>
      </c>
      <c r="AI29" s="2">
        <f>(AG29-AH29)*Inputs!$C$11/12</f>
        <v/>
      </c>
      <c r="AJ29" s="2">
        <f>IF(MAX(Inputs!$D$11-(A29-1),0)&lt;=0,0,(AG29-AH29)*((Inputs!$C$11/12)/(1-(1+Inputs!$C$11/12)^(-MAX(Inputs!$D$11-(A29-1),0)))-Inputs!$C$11/12))</f>
        <v/>
      </c>
      <c r="AK29" s="2">
        <f>(AG29-AH29-AJ29)*Inputs!$B$32</f>
        <v/>
      </c>
      <c r="AL29" s="2">
        <f>AG29-AH29-AJ29-AK29</f>
        <v/>
      </c>
      <c r="AM29" s="2">
        <f>AR28</f>
        <v/>
      </c>
      <c r="AN29" s="2">
        <f>AM29*Inputs!$B$33</f>
        <v/>
      </c>
      <c r="AO29" s="2">
        <f>(AM29-AN29)*Inputs!$C$12/12</f>
        <v/>
      </c>
      <c r="AP29" s="2">
        <f>IF(MAX(Inputs!$D$12-(A29-1),0)&lt;=0,0,(AM29-AN29)*((Inputs!$C$12/12)/(1-(1+Inputs!$C$12/12)^(-MAX(Inputs!$D$12-(A29-1),0)))-Inputs!$C$12/12))</f>
        <v/>
      </c>
      <c r="AQ29" s="2">
        <f>(AM29-AN29-AP29)*Inputs!$B$32</f>
        <v/>
      </c>
      <c r="AR29" s="2">
        <f>AM29-AN29-AP29-AQ29</f>
        <v/>
      </c>
      <c r="AS29" s="2">
        <f>AX28</f>
        <v/>
      </c>
      <c r="AT29" s="2">
        <f>AS29*Inputs!$B$33</f>
        <v/>
      </c>
      <c r="AU29" s="2">
        <f>(AS29-AT29)*Inputs!$C$13/12</f>
        <v/>
      </c>
      <c r="AV29" s="2">
        <f>IF(MAX(Inputs!$D$13-(A29-1),0)&lt;=0,0,(AS29-AT29)*((Inputs!$C$13/12)/(1-(1+Inputs!$C$13/12)^(-MAX(Inputs!$D$13-(A29-1),0)))-Inputs!$C$13/12))</f>
        <v/>
      </c>
      <c r="AW29" s="2">
        <f>(AS29-AT29-AV29)*Inputs!$B$32</f>
        <v/>
      </c>
      <c r="AX29" s="2">
        <f>AS29-AT29-AV29-AW29</f>
        <v/>
      </c>
      <c r="AY29" s="2">
        <f>BD28</f>
        <v/>
      </c>
      <c r="AZ29" s="2">
        <f>AY29*Inputs!$B$33</f>
        <v/>
      </c>
      <c r="BA29" s="2">
        <f>(AY29-AZ29)*Inputs!$C$14/12</f>
        <v/>
      </c>
      <c r="BB29" s="2">
        <f>IF(MAX(Inputs!$D$14-(A29-1),0)&lt;=0,0,(AY29-AZ29)*((Inputs!$C$14/12)/(1-(1+Inputs!$C$14/12)^(-MAX(Inputs!$D$14-(A29-1),0)))-Inputs!$C$14/12))</f>
        <v/>
      </c>
      <c r="BC29" s="2">
        <f>(AY29-AZ29-BB29)*Inputs!$B$32</f>
        <v/>
      </c>
      <c r="BD29" s="2">
        <f>AY29-AZ29-BB29-BC29</f>
        <v/>
      </c>
      <c r="BE29" s="2">
        <f>BJ28</f>
        <v/>
      </c>
      <c r="BF29" s="2">
        <f>BE29*Inputs!$B$33</f>
        <v/>
      </c>
      <c r="BG29" s="2">
        <f>(BE29-BF29)*Inputs!$C$15/12</f>
        <v/>
      </c>
      <c r="BH29" s="2">
        <f>IF(MAX(Inputs!$D$15-(A29-1),0)&lt;=0,0,(BE29-BF29)*((Inputs!$C$15/12)/(1-(1+Inputs!$C$15/12)^(-MAX(Inputs!$D$15-(A29-1),0)))-Inputs!$C$15/12))</f>
        <v/>
      </c>
      <c r="BI29" s="2">
        <f>(BE29-BF29-BH29)*Inputs!$B$32</f>
        <v/>
      </c>
      <c r="BJ29" s="2">
        <f>BE29-BF29-BH29-BI29</f>
        <v/>
      </c>
      <c r="BK29" s="2">
        <f>C29+I29+O29+U29+AA29+AG29+AM29+AS29+AY29+BE29</f>
        <v/>
      </c>
      <c r="BL29" s="2">
        <f>D29+J29+P29+V29+AB29+AH29+AN29+AT29+AZ29+BF29</f>
        <v/>
      </c>
      <c r="BM29" s="2">
        <f>E29+K29+Q29+W29+AC29+AI29+AO29+AU29+BA29+BG29</f>
        <v/>
      </c>
      <c r="BN29" s="2">
        <f>F29+L29+R29+X29+AD29+AJ29+AP29+AV29+BB29+BH29</f>
        <v/>
      </c>
      <c r="BO29" s="2">
        <f>G29+M29+S29+Y29+AE29+AK29+AQ29+AW29+BC29+BI29</f>
        <v/>
      </c>
      <c r="BP29" s="2">
        <f>H29+N29+T29+Z29+AF29+AL29+AR29+AX29+BD29+BJ29</f>
        <v/>
      </c>
      <c r="BQ29" s="2">
        <f>IF(A29-Inputs!$B$30&gt;=1,INDEX($BL$5:$BL$101,A29-Inputs!$B$30+1)*(1-Inputs!$B$29),0)</f>
        <v/>
      </c>
      <c r="BR29" s="2">
        <f>BR28+BL29</f>
        <v/>
      </c>
      <c r="BS29" s="2">
        <f>BS28+BQ29</f>
        <v/>
      </c>
      <c r="BT29" s="2">
        <f>BR29*Inputs!$B$29</f>
        <v/>
      </c>
      <c r="BU29" s="2">
        <f>BR29*(1-Inputs!$B$29)-BS29</f>
        <v/>
      </c>
      <c r="BV29" s="2">
        <f>BP29+BU29</f>
        <v/>
      </c>
      <c r="BW29" s="2">
        <f>BM29+BN29+BO29+BQ29</f>
        <v/>
      </c>
      <c r="BX29" s="8">
        <f>BK29-BL29-BN29-BO29-BP29</f>
        <v/>
      </c>
    </row>
    <row r="30">
      <c r="A30" s="7" t="n">
        <v>25</v>
      </c>
      <c r="B30" s="3">
        <f>Inputs!$B$36+(Inputs!$B$37-Inputs!$B$36)*(1-EXP(-A30/Inputs!$B$38))+Inputs!$B$31/10000</f>
        <v/>
      </c>
      <c r="C30" s="2">
        <f>H29</f>
        <v/>
      </c>
      <c r="D30" s="2">
        <f>C30*Inputs!$B$33</f>
        <v/>
      </c>
      <c r="E30" s="2">
        <f>(C30-D30)*Inputs!$C$6/12</f>
        <v/>
      </c>
      <c r="F30" s="2">
        <f>IF(MAX(Inputs!$D$6-(A30-1),0)&lt;=0,0,(C30-D30)*((Inputs!$C$6/12)/(1-(1+Inputs!$C$6/12)^(-MAX(Inputs!$D$6-(A30-1),0)))-Inputs!$C$6/12))</f>
        <v/>
      </c>
      <c r="G30" s="2">
        <f>(C30-D30-F30)*Inputs!$B$32</f>
        <v/>
      </c>
      <c r="H30" s="2">
        <f>C30-D30-F30-G30</f>
        <v/>
      </c>
      <c r="I30" s="2">
        <f>N29</f>
        <v/>
      </c>
      <c r="J30" s="2">
        <f>I30*Inputs!$B$33</f>
        <v/>
      </c>
      <c r="K30" s="2">
        <f>(I30-J30)*Inputs!$C$7/12</f>
        <v/>
      </c>
      <c r="L30" s="2">
        <f>IF(MAX(Inputs!$D$7-(A30-1),0)&lt;=0,0,(I30-J30)*((Inputs!$C$7/12)/(1-(1+Inputs!$C$7/12)^(-MAX(Inputs!$D$7-(A30-1),0)))-Inputs!$C$7/12))</f>
        <v/>
      </c>
      <c r="M30" s="2">
        <f>(I30-J30-L30)*Inputs!$B$32</f>
        <v/>
      </c>
      <c r="N30" s="2">
        <f>I30-J30-L30-M30</f>
        <v/>
      </c>
      <c r="O30" s="2">
        <f>T29</f>
        <v/>
      </c>
      <c r="P30" s="2">
        <f>O30*Inputs!$B$33</f>
        <v/>
      </c>
      <c r="Q30" s="2">
        <f>(O30-P30)*Inputs!$C$8/12</f>
        <v/>
      </c>
      <c r="R30" s="2">
        <f>IF(MAX(Inputs!$D$8-(A30-1),0)&lt;=0,0,(O30-P30)*((Inputs!$C$8/12)/(1-(1+Inputs!$C$8/12)^(-MAX(Inputs!$D$8-(A30-1),0)))-Inputs!$C$8/12))</f>
        <v/>
      </c>
      <c r="S30" s="2">
        <f>(O30-P30-R30)*Inputs!$B$32</f>
        <v/>
      </c>
      <c r="T30" s="2">
        <f>O30-P30-R30-S30</f>
        <v/>
      </c>
      <c r="U30" s="2">
        <f>Z29</f>
        <v/>
      </c>
      <c r="V30" s="2">
        <f>U30*Inputs!$B$33</f>
        <v/>
      </c>
      <c r="W30" s="2">
        <f>(U30-V30)*Inputs!$C$9/12</f>
        <v/>
      </c>
      <c r="X30" s="2">
        <f>IF(MAX(Inputs!$D$9-(A30-1),0)&lt;=0,0,(U30-V30)*((Inputs!$C$9/12)/(1-(1+Inputs!$C$9/12)^(-MAX(Inputs!$D$9-(A30-1),0)))-Inputs!$C$9/12))</f>
        <v/>
      </c>
      <c r="Y30" s="2">
        <f>(U30-V30-X30)*Inputs!$B$32</f>
        <v/>
      </c>
      <c r="Z30" s="2">
        <f>U30-V30-X30-Y30</f>
        <v/>
      </c>
      <c r="AA30" s="2">
        <f>AF29</f>
        <v/>
      </c>
      <c r="AB30" s="2">
        <f>AA30*Inputs!$B$33</f>
        <v/>
      </c>
      <c r="AC30" s="2">
        <f>(AA30-AB30)*Inputs!$C$10/12</f>
        <v/>
      </c>
      <c r="AD30" s="2">
        <f>IF(MAX(Inputs!$D$10-(A30-1),0)&lt;=0,0,(AA30-AB30)*((Inputs!$C$10/12)/(1-(1+Inputs!$C$10/12)^(-MAX(Inputs!$D$10-(A30-1),0)))-Inputs!$C$10/12))</f>
        <v/>
      </c>
      <c r="AE30" s="2">
        <f>(AA30-AB30-AD30)*Inputs!$B$32</f>
        <v/>
      </c>
      <c r="AF30" s="2">
        <f>AA30-AB30-AD30-AE30</f>
        <v/>
      </c>
      <c r="AG30" s="2">
        <f>AL29</f>
        <v/>
      </c>
      <c r="AH30" s="2">
        <f>AG30*Inputs!$B$33</f>
        <v/>
      </c>
      <c r="AI30" s="2">
        <f>(AG30-AH30)*Inputs!$C$11/12</f>
        <v/>
      </c>
      <c r="AJ30" s="2">
        <f>IF(MAX(Inputs!$D$11-(A30-1),0)&lt;=0,0,(AG30-AH30)*((Inputs!$C$11/12)/(1-(1+Inputs!$C$11/12)^(-MAX(Inputs!$D$11-(A30-1),0)))-Inputs!$C$11/12))</f>
        <v/>
      </c>
      <c r="AK30" s="2">
        <f>(AG30-AH30-AJ30)*Inputs!$B$32</f>
        <v/>
      </c>
      <c r="AL30" s="2">
        <f>AG30-AH30-AJ30-AK30</f>
        <v/>
      </c>
      <c r="AM30" s="2">
        <f>AR29</f>
        <v/>
      </c>
      <c r="AN30" s="2">
        <f>AM30*Inputs!$B$33</f>
        <v/>
      </c>
      <c r="AO30" s="2">
        <f>(AM30-AN30)*Inputs!$C$12/12</f>
        <v/>
      </c>
      <c r="AP30" s="2">
        <f>IF(MAX(Inputs!$D$12-(A30-1),0)&lt;=0,0,(AM30-AN30)*((Inputs!$C$12/12)/(1-(1+Inputs!$C$12/12)^(-MAX(Inputs!$D$12-(A30-1),0)))-Inputs!$C$12/12))</f>
        <v/>
      </c>
      <c r="AQ30" s="2">
        <f>(AM30-AN30-AP30)*Inputs!$B$32</f>
        <v/>
      </c>
      <c r="AR30" s="2">
        <f>AM30-AN30-AP30-AQ30</f>
        <v/>
      </c>
      <c r="AS30" s="2">
        <f>AX29</f>
        <v/>
      </c>
      <c r="AT30" s="2">
        <f>AS30*Inputs!$B$33</f>
        <v/>
      </c>
      <c r="AU30" s="2">
        <f>(AS30-AT30)*Inputs!$C$13/12</f>
        <v/>
      </c>
      <c r="AV30" s="2">
        <f>IF(MAX(Inputs!$D$13-(A30-1),0)&lt;=0,0,(AS30-AT30)*((Inputs!$C$13/12)/(1-(1+Inputs!$C$13/12)^(-MAX(Inputs!$D$13-(A30-1),0)))-Inputs!$C$13/12))</f>
        <v/>
      </c>
      <c r="AW30" s="2">
        <f>(AS30-AT30-AV30)*Inputs!$B$32</f>
        <v/>
      </c>
      <c r="AX30" s="2">
        <f>AS30-AT30-AV30-AW30</f>
        <v/>
      </c>
      <c r="AY30" s="2">
        <f>BD29</f>
        <v/>
      </c>
      <c r="AZ30" s="2">
        <f>AY30*Inputs!$B$33</f>
        <v/>
      </c>
      <c r="BA30" s="2">
        <f>(AY30-AZ30)*Inputs!$C$14/12</f>
        <v/>
      </c>
      <c r="BB30" s="2">
        <f>IF(MAX(Inputs!$D$14-(A30-1),0)&lt;=0,0,(AY30-AZ30)*((Inputs!$C$14/12)/(1-(1+Inputs!$C$14/12)^(-MAX(Inputs!$D$14-(A30-1),0)))-Inputs!$C$14/12))</f>
        <v/>
      </c>
      <c r="BC30" s="2">
        <f>(AY30-AZ30-BB30)*Inputs!$B$32</f>
        <v/>
      </c>
      <c r="BD30" s="2">
        <f>AY30-AZ30-BB30-BC30</f>
        <v/>
      </c>
      <c r="BE30" s="2">
        <f>BJ29</f>
        <v/>
      </c>
      <c r="BF30" s="2">
        <f>BE30*Inputs!$B$33</f>
        <v/>
      </c>
      <c r="BG30" s="2">
        <f>(BE30-BF30)*Inputs!$C$15/12</f>
        <v/>
      </c>
      <c r="BH30" s="2">
        <f>IF(MAX(Inputs!$D$15-(A30-1),0)&lt;=0,0,(BE30-BF30)*((Inputs!$C$15/12)/(1-(1+Inputs!$C$15/12)^(-MAX(Inputs!$D$15-(A30-1),0)))-Inputs!$C$15/12))</f>
        <v/>
      </c>
      <c r="BI30" s="2">
        <f>(BE30-BF30-BH30)*Inputs!$B$32</f>
        <v/>
      </c>
      <c r="BJ30" s="2">
        <f>BE30-BF30-BH30-BI30</f>
        <v/>
      </c>
      <c r="BK30" s="2">
        <f>C30+I30+O30+U30+AA30+AG30+AM30+AS30+AY30+BE30</f>
        <v/>
      </c>
      <c r="BL30" s="2">
        <f>D30+J30+P30+V30+AB30+AH30+AN30+AT30+AZ30+BF30</f>
        <v/>
      </c>
      <c r="BM30" s="2">
        <f>E30+K30+Q30+W30+AC30+AI30+AO30+AU30+BA30+BG30</f>
        <v/>
      </c>
      <c r="BN30" s="2">
        <f>F30+L30+R30+X30+AD30+AJ30+AP30+AV30+BB30+BH30</f>
        <v/>
      </c>
      <c r="BO30" s="2">
        <f>G30+M30+S30+Y30+AE30+AK30+AQ30+AW30+BC30+BI30</f>
        <v/>
      </c>
      <c r="BP30" s="2">
        <f>H30+N30+T30+Z30+AF30+AL30+AR30+AX30+BD30+BJ30</f>
        <v/>
      </c>
      <c r="BQ30" s="2">
        <f>IF(A30-Inputs!$B$30&gt;=1,INDEX($BL$5:$BL$101,A30-Inputs!$B$30+1)*(1-Inputs!$B$29),0)</f>
        <v/>
      </c>
      <c r="BR30" s="2">
        <f>BR29+BL30</f>
        <v/>
      </c>
      <c r="BS30" s="2">
        <f>BS29+BQ30</f>
        <v/>
      </c>
      <c r="BT30" s="2">
        <f>BR30*Inputs!$B$29</f>
        <v/>
      </c>
      <c r="BU30" s="2">
        <f>BR30*(1-Inputs!$B$29)-BS30</f>
        <v/>
      </c>
      <c r="BV30" s="2">
        <f>BP30+BU30</f>
        <v/>
      </c>
      <c r="BW30" s="2">
        <f>BM30+BN30+BO30+BQ30</f>
        <v/>
      </c>
      <c r="BX30" s="8">
        <f>BK30-BL30-BN30-BO30-BP30</f>
        <v/>
      </c>
    </row>
    <row r="31">
      <c r="A31" s="7" t="n">
        <v>26</v>
      </c>
      <c r="B31" s="3">
        <f>Inputs!$B$36+(Inputs!$B$37-Inputs!$B$36)*(1-EXP(-A31/Inputs!$B$38))+Inputs!$B$31/10000</f>
        <v/>
      </c>
      <c r="C31" s="2">
        <f>H30</f>
        <v/>
      </c>
      <c r="D31" s="2">
        <f>C31*Inputs!$B$33</f>
        <v/>
      </c>
      <c r="E31" s="2">
        <f>(C31-D31)*Inputs!$C$6/12</f>
        <v/>
      </c>
      <c r="F31" s="2">
        <f>IF(MAX(Inputs!$D$6-(A31-1),0)&lt;=0,0,(C31-D31)*((Inputs!$C$6/12)/(1-(1+Inputs!$C$6/12)^(-MAX(Inputs!$D$6-(A31-1),0)))-Inputs!$C$6/12))</f>
        <v/>
      </c>
      <c r="G31" s="2">
        <f>(C31-D31-F31)*Inputs!$B$32</f>
        <v/>
      </c>
      <c r="H31" s="2">
        <f>C31-D31-F31-G31</f>
        <v/>
      </c>
      <c r="I31" s="2">
        <f>N30</f>
        <v/>
      </c>
      <c r="J31" s="2">
        <f>I31*Inputs!$B$33</f>
        <v/>
      </c>
      <c r="K31" s="2">
        <f>(I31-J31)*Inputs!$C$7/12</f>
        <v/>
      </c>
      <c r="L31" s="2">
        <f>IF(MAX(Inputs!$D$7-(A31-1),0)&lt;=0,0,(I31-J31)*((Inputs!$C$7/12)/(1-(1+Inputs!$C$7/12)^(-MAX(Inputs!$D$7-(A31-1),0)))-Inputs!$C$7/12))</f>
        <v/>
      </c>
      <c r="M31" s="2">
        <f>(I31-J31-L31)*Inputs!$B$32</f>
        <v/>
      </c>
      <c r="N31" s="2">
        <f>I31-J31-L31-M31</f>
        <v/>
      </c>
      <c r="O31" s="2">
        <f>T30</f>
        <v/>
      </c>
      <c r="P31" s="2">
        <f>O31*Inputs!$B$33</f>
        <v/>
      </c>
      <c r="Q31" s="2">
        <f>(O31-P31)*Inputs!$C$8/12</f>
        <v/>
      </c>
      <c r="R31" s="2">
        <f>IF(MAX(Inputs!$D$8-(A31-1),0)&lt;=0,0,(O31-P31)*((Inputs!$C$8/12)/(1-(1+Inputs!$C$8/12)^(-MAX(Inputs!$D$8-(A31-1),0)))-Inputs!$C$8/12))</f>
        <v/>
      </c>
      <c r="S31" s="2">
        <f>(O31-P31-R31)*Inputs!$B$32</f>
        <v/>
      </c>
      <c r="T31" s="2">
        <f>O31-P31-R31-S31</f>
        <v/>
      </c>
      <c r="U31" s="2">
        <f>Z30</f>
        <v/>
      </c>
      <c r="V31" s="2">
        <f>U31*Inputs!$B$33</f>
        <v/>
      </c>
      <c r="W31" s="2">
        <f>(U31-V31)*Inputs!$C$9/12</f>
        <v/>
      </c>
      <c r="X31" s="2">
        <f>IF(MAX(Inputs!$D$9-(A31-1),0)&lt;=0,0,(U31-V31)*((Inputs!$C$9/12)/(1-(1+Inputs!$C$9/12)^(-MAX(Inputs!$D$9-(A31-1),0)))-Inputs!$C$9/12))</f>
        <v/>
      </c>
      <c r="Y31" s="2">
        <f>(U31-V31-X31)*Inputs!$B$32</f>
        <v/>
      </c>
      <c r="Z31" s="2">
        <f>U31-V31-X31-Y31</f>
        <v/>
      </c>
      <c r="AA31" s="2">
        <f>AF30</f>
        <v/>
      </c>
      <c r="AB31" s="2">
        <f>AA31*Inputs!$B$33</f>
        <v/>
      </c>
      <c r="AC31" s="2">
        <f>(AA31-AB31)*Inputs!$C$10/12</f>
        <v/>
      </c>
      <c r="AD31" s="2">
        <f>IF(MAX(Inputs!$D$10-(A31-1),0)&lt;=0,0,(AA31-AB31)*((Inputs!$C$10/12)/(1-(1+Inputs!$C$10/12)^(-MAX(Inputs!$D$10-(A31-1),0)))-Inputs!$C$10/12))</f>
        <v/>
      </c>
      <c r="AE31" s="2">
        <f>(AA31-AB31-AD31)*Inputs!$B$32</f>
        <v/>
      </c>
      <c r="AF31" s="2">
        <f>AA31-AB31-AD31-AE31</f>
        <v/>
      </c>
      <c r="AG31" s="2">
        <f>AL30</f>
        <v/>
      </c>
      <c r="AH31" s="2">
        <f>AG31*Inputs!$B$33</f>
        <v/>
      </c>
      <c r="AI31" s="2">
        <f>(AG31-AH31)*Inputs!$C$11/12</f>
        <v/>
      </c>
      <c r="AJ31" s="2">
        <f>IF(MAX(Inputs!$D$11-(A31-1),0)&lt;=0,0,(AG31-AH31)*((Inputs!$C$11/12)/(1-(1+Inputs!$C$11/12)^(-MAX(Inputs!$D$11-(A31-1),0)))-Inputs!$C$11/12))</f>
        <v/>
      </c>
      <c r="AK31" s="2">
        <f>(AG31-AH31-AJ31)*Inputs!$B$32</f>
        <v/>
      </c>
      <c r="AL31" s="2">
        <f>AG31-AH31-AJ31-AK31</f>
        <v/>
      </c>
      <c r="AM31" s="2">
        <f>AR30</f>
        <v/>
      </c>
      <c r="AN31" s="2">
        <f>AM31*Inputs!$B$33</f>
        <v/>
      </c>
      <c r="AO31" s="2">
        <f>(AM31-AN31)*Inputs!$C$12/12</f>
        <v/>
      </c>
      <c r="AP31" s="2">
        <f>IF(MAX(Inputs!$D$12-(A31-1),0)&lt;=0,0,(AM31-AN31)*((Inputs!$C$12/12)/(1-(1+Inputs!$C$12/12)^(-MAX(Inputs!$D$12-(A31-1),0)))-Inputs!$C$12/12))</f>
        <v/>
      </c>
      <c r="AQ31" s="2">
        <f>(AM31-AN31-AP31)*Inputs!$B$32</f>
        <v/>
      </c>
      <c r="AR31" s="2">
        <f>AM31-AN31-AP31-AQ31</f>
        <v/>
      </c>
      <c r="AS31" s="2">
        <f>AX30</f>
        <v/>
      </c>
      <c r="AT31" s="2">
        <f>AS31*Inputs!$B$33</f>
        <v/>
      </c>
      <c r="AU31" s="2">
        <f>(AS31-AT31)*Inputs!$C$13/12</f>
        <v/>
      </c>
      <c r="AV31" s="2">
        <f>IF(MAX(Inputs!$D$13-(A31-1),0)&lt;=0,0,(AS31-AT31)*((Inputs!$C$13/12)/(1-(1+Inputs!$C$13/12)^(-MAX(Inputs!$D$13-(A31-1),0)))-Inputs!$C$13/12))</f>
        <v/>
      </c>
      <c r="AW31" s="2">
        <f>(AS31-AT31-AV31)*Inputs!$B$32</f>
        <v/>
      </c>
      <c r="AX31" s="2">
        <f>AS31-AT31-AV31-AW31</f>
        <v/>
      </c>
      <c r="AY31" s="2">
        <f>BD30</f>
        <v/>
      </c>
      <c r="AZ31" s="2">
        <f>AY31*Inputs!$B$33</f>
        <v/>
      </c>
      <c r="BA31" s="2">
        <f>(AY31-AZ31)*Inputs!$C$14/12</f>
        <v/>
      </c>
      <c r="BB31" s="2">
        <f>IF(MAX(Inputs!$D$14-(A31-1),0)&lt;=0,0,(AY31-AZ31)*((Inputs!$C$14/12)/(1-(1+Inputs!$C$14/12)^(-MAX(Inputs!$D$14-(A31-1),0)))-Inputs!$C$14/12))</f>
        <v/>
      </c>
      <c r="BC31" s="2">
        <f>(AY31-AZ31-BB31)*Inputs!$B$32</f>
        <v/>
      </c>
      <c r="BD31" s="2">
        <f>AY31-AZ31-BB31-BC31</f>
        <v/>
      </c>
      <c r="BE31" s="2">
        <f>BJ30</f>
        <v/>
      </c>
      <c r="BF31" s="2">
        <f>BE31*Inputs!$B$33</f>
        <v/>
      </c>
      <c r="BG31" s="2">
        <f>(BE31-BF31)*Inputs!$C$15/12</f>
        <v/>
      </c>
      <c r="BH31" s="2">
        <f>IF(MAX(Inputs!$D$15-(A31-1),0)&lt;=0,0,(BE31-BF31)*((Inputs!$C$15/12)/(1-(1+Inputs!$C$15/12)^(-MAX(Inputs!$D$15-(A31-1),0)))-Inputs!$C$15/12))</f>
        <v/>
      </c>
      <c r="BI31" s="2">
        <f>(BE31-BF31-BH31)*Inputs!$B$32</f>
        <v/>
      </c>
      <c r="BJ31" s="2">
        <f>BE31-BF31-BH31-BI31</f>
        <v/>
      </c>
      <c r="BK31" s="2">
        <f>C31+I31+O31+U31+AA31+AG31+AM31+AS31+AY31+BE31</f>
        <v/>
      </c>
      <c r="BL31" s="2">
        <f>D31+J31+P31+V31+AB31+AH31+AN31+AT31+AZ31+BF31</f>
        <v/>
      </c>
      <c r="BM31" s="2">
        <f>E31+K31+Q31+W31+AC31+AI31+AO31+AU31+BA31+BG31</f>
        <v/>
      </c>
      <c r="BN31" s="2">
        <f>F31+L31+R31+X31+AD31+AJ31+AP31+AV31+BB31+BH31</f>
        <v/>
      </c>
      <c r="BO31" s="2">
        <f>G31+M31+S31+Y31+AE31+AK31+AQ31+AW31+BC31+BI31</f>
        <v/>
      </c>
      <c r="BP31" s="2">
        <f>H31+N31+T31+Z31+AF31+AL31+AR31+AX31+BD31+BJ31</f>
        <v/>
      </c>
      <c r="BQ31" s="2">
        <f>IF(A31-Inputs!$B$30&gt;=1,INDEX($BL$5:$BL$101,A31-Inputs!$B$30+1)*(1-Inputs!$B$29),0)</f>
        <v/>
      </c>
      <c r="BR31" s="2">
        <f>BR30+BL31</f>
        <v/>
      </c>
      <c r="BS31" s="2">
        <f>BS30+BQ31</f>
        <v/>
      </c>
      <c r="BT31" s="2">
        <f>BR31*Inputs!$B$29</f>
        <v/>
      </c>
      <c r="BU31" s="2">
        <f>BR31*(1-Inputs!$B$29)-BS31</f>
        <v/>
      </c>
      <c r="BV31" s="2">
        <f>BP31+BU31</f>
        <v/>
      </c>
      <c r="BW31" s="2">
        <f>BM31+BN31+BO31+BQ31</f>
        <v/>
      </c>
      <c r="BX31" s="8">
        <f>BK31-BL31-BN31-BO31-BP31</f>
        <v/>
      </c>
    </row>
    <row r="32">
      <c r="A32" s="7" t="n">
        <v>27</v>
      </c>
      <c r="B32" s="3">
        <f>Inputs!$B$36+(Inputs!$B$37-Inputs!$B$36)*(1-EXP(-A32/Inputs!$B$38))+Inputs!$B$31/10000</f>
        <v/>
      </c>
      <c r="C32" s="2">
        <f>H31</f>
        <v/>
      </c>
      <c r="D32" s="2">
        <f>C32*Inputs!$B$33</f>
        <v/>
      </c>
      <c r="E32" s="2">
        <f>(C32-D32)*Inputs!$C$6/12</f>
        <v/>
      </c>
      <c r="F32" s="2">
        <f>IF(MAX(Inputs!$D$6-(A32-1),0)&lt;=0,0,(C32-D32)*((Inputs!$C$6/12)/(1-(1+Inputs!$C$6/12)^(-MAX(Inputs!$D$6-(A32-1),0)))-Inputs!$C$6/12))</f>
        <v/>
      </c>
      <c r="G32" s="2">
        <f>(C32-D32-F32)*Inputs!$B$32</f>
        <v/>
      </c>
      <c r="H32" s="2">
        <f>C32-D32-F32-G32</f>
        <v/>
      </c>
      <c r="I32" s="2">
        <f>N31</f>
        <v/>
      </c>
      <c r="J32" s="2">
        <f>I32*Inputs!$B$33</f>
        <v/>
      </c>
      <c r="K32" s="2">
        <f>(I32-J32)*Inputs!$C$7/12</f>
        <v/>
      </c>
      <c r="L32" s="2">
        <f>IF(MAX(Inputs!$D$7-(A32-1),0)&lt;=0,0,(I32-J32)*((Inputs!$C$7/12)/(1-(1+Inputs!$C$7/12)^(-MAX(Inputs!$D$7-(A32-1),0)))-Inputs!$C$7/12))</f>
        <v/>
      </c>
      <c r="M32" s="2">
        <f>(I32-J32-L32)*Inputs!$B$32</f>
        <v/>
      </c>
      <c r="N32" s="2">
        <f>I32-J32-L32-M32</f>
        <v/>
      </c>
      <c r="O32" s="2">
        <f>T31</f>
        <v/>
      </c>
      <c r="P32" s="2">
        <f>O32*Inputs!$B$33</f>
        <v/>
      </c>
      <c r="Q32" s="2">
        <f>(O32-P32)*Inputs!$C$8/12</f>
        <v/>
      </c>
      <c r="R32" s="2">
        <f>IF(MAX(Inputs!$D$8-(A32-1),0)&lt;=0,0,(O32-P32)*((Inputs!$C$8/12)/(1-(1+Inputs!$C$8/12)^(-MAX(Inputs!$D$8-(A32-1),0)))-Inputs!$C$8/12))</f>
        <v/>
      </c>
      <c r="S32" s="2">
        <f>(O32-P32-R32)*Inputs!$B$32</f>
        <v/>
      </c>
      <c r="T32" s="2">
        <f>O32-P32-R32-S32</f>
        <v/>
      </c>
      <c r="U32" s="2">
        <f>Z31</f>
        <v/>
      </c>
      <c r="V32" s="2">
        <f>U32*Inputs!$B$33</f>
        <v/>
      </c>
      <c r="W32" s="2">
        <f>(U32-V32)*Inputs!$C$9/12</f>
        <v/>
      </c>
      <c r="X32" s="2">
        <f>IF(MAX(Inputs!$D$9-(A32-1),0)&lt;=0,0,(U32-V32)*((Inputs!$C$9/12)/(1-(1+Inputs!$C$9/12)^(-MAX(Inputs!$D$9-(A32-1),0)))-Inputs!$C$9/12))</f>
        <v/>
      </c>
      <c r="Y32" s="2">
        <f>(U32-V32-X32)*Inputs!$B$32</f>
        <v/>
      </c>
      <c r="Z32" s="2">
        <f>U32-V32-X32-Y32</f>
        <v/>
      </c>
      <c r="AA32" s="2">
        <f>AF31</f>
        <v/>
      </c>
      <c r="AB32" s="2">
        <f>AA32*Inputs!$B$33</f>
        <v/>
      </c>
      <c r="AC32" s="2">
        <f>(AA32-AB32)*Inputs!$C$10/12</f>
        <v/>
      </c>
      <c r="AD32" s="2">
        <f>IF(MAX(Inputs!$D$10-(A32-1),0)&lt;=0,0,(AA32-AB32)*((Inputs!$C$10/12)/(1-(1+Inputs!$C$10/12)^(-MAX(Inputs!$D$10-(A32-1),0)))-Inputs!$C$10/12))</f>
        <v/>
      </c>
      <c r="AE32" s="2">
        <f>(AA32-AB32-AD32)*Inputs!$B$32</f>
        <v/>
      </c>
      <c r="AF32" s="2">
        <f>AA32-AB32-AD32-AE32</f>
        <v/>
      </c>
      <c r="AG32" s="2">
        <f>AL31</f>
        <v/>
      </c>
      <c r="AH32" s="2">
        <f>AG32*Inputs!$B$33</f>
        <v/>
      </c>
      <c r="AI32" s="2">
        <f>(AG32-AH32)*Inputs!$C$11/12</f>
        <v/>
      </c>
      <c r="AJ32" s="2">
        <f>IF(MAX(Inputs!$D$11-(A32-1),0)&lt;=0,0,(AG32-AH32)*((Inputs!$C$11/12)/(1-(1+Inputs!$C$11/12)^(-MAX(Inputs!$D$11-(A32-1),0)))-Inputs!$C$11/12))</f>
        <v/>
      </c>
      <c r="AK32" s="2">
        <f>(AG32-AH32-AJ32)*Inputs!$B$32</f>
        <v/>
      </c>
      <c r="AL32" s="2">
        <f>AG32-AH32-AJ32-AK32</f>
        <v/>
      </c>
      <c r="AM32" s="2">
        <f>AR31</f>
        <v/>
      </c>
      <c r="AN32" s="2">
        <f>AM32*Inputs!$B$33</f>
        <v/>
      </c>
      <c r="AO32" s="2">
        <f>(AM32-AN32)*Inputs!$C$12/12</f>
        <v/>
      </c>
      <c r="AP32" s="2">
        <f>IF(MAX(Inputs!$D$12-(A32-1),0)&lt;=0,0,(AM32-AN32)*((Inputs!$C$12/12)/(1-(1+Inputs!$C$12/12)^(-MAX(Inputs!$D$12-(A32-1),0)))-Inputs!$C$12/12))</f>
        <v/>
      </c>
      <c r="AQ32" s="2">
        <f>(AM32-AN32-AP32)*Inputs!$B$32</f>
        <v/>
      </c>
      <c r="AR32" s="2">
        <f>AM32-AN32-AP32-AQ32</f>
        <v/>
      </c>
      <c r="AS32" s="2">
        <f>AX31</f>
        <v/>
      </c>
      <c r="AT32" s="2">
        <f>AS32*Inputs!$B$33</f>
        <v/>
      </c>
      <c r="AU32" s="2">
        <f>(AS32-AT32)*Inputs!$C$13/12</f>
        <v/>
      </c>
      <c r="AV32" s="2">
        <f>IF(MAX(Inputs!$D$13-(A32-1),0)&lt;=0,0,(AS32-AT32)*((Inputs!$C$13/12)/(1-(1+Inputs!$C$13/12)^(-MAX(Inputs!$D$13-(A32-1),0)))-Inputs!$C$13/12))</f>
        <v/>
      </c>
      <c r="AW32" s="2">
        <f>(AS32-AT32-AV32)*Inputs!$B$32</f>
        <v/>
      </c>
      <c r="AX32" s="2">
        <f>AS32-AT32-AV32-AW32</f>
        <v/>
      </c>
      <c r="AY32" s="2">
        <f>BD31</f>
        <v/>
      </c>
      <c r="AZ32" s="2">
        <f>AY32*Inputs!$B$33</f>
        <v/>
      </c>
      <c r="BA32" s="2">
        <f>(AY32-AZ32)*Inputs!$C$14/12</f>
        <v/>
      </c>
      <c r="BB32" s="2">
        <f>IF(MAX(Inputs!$D$14-(A32-1),0)&lt;=0,0,(AY32-AZ32)*((Inputs!$C$14/12)/(1-(1+Inputs!$C$14/12)^(-MAX(Inputs!$D$14-(A32-1),0)))-Inputs!$C$14/12))</f>
        <v/>
      </c>
      <c r="BC32" s="2">
        <f>(AY32-AZ32-BB32)*Inputs!$B$32</f>
        <v/>
      </c>
      <c r="BD32" s="2">
        <f>AY32-AZ32-BB32-BC32</f>
        <v/>
      </c>
      <c r="BE32" s="2">
        <f>BJ31</f>
        <v/>
      </c>
      <c r="BF32" s="2">
        <f>BE32*Inputs!$B$33</f>
        <v/>
      </c>
      <c r="BG32" s="2">
        <f>(BE32-BF32)*Inputs!$C$15/12</f>
        <v/>
      </c>
      <c r="BH32" s="2">
        <f>IF(MAX(Inputs!$D$15-(A32-1),0)&lt;=0,0,(BE32-BF32)*((Inputs!$C$15/12)/(1-(1+Inputs!$C$15/12)^(-MAX(Inputs!$D$15-(A32-1),0)))-Inputs!$C$15/12))</f>
        <v/>
      </c>
      <c r="BI32" s="2">
        <f>(BE32-BF32-BH32)*Inputs!$B$32</f>
        <v/>
      </c>
      <c r="BJ32" s="2">
        <f>BE32-BF32-BH32-BI32</f>
        <v/>
      </c>
      <c r="BK32" s="2">
        <f>C32+I32+O32+U32+AA32+AG32+AM32+AS32+AY32+BE32</f>
        <v/>
      </c>
      <c r="BL32" s="2">
        <f>D32+J32+P32+V32+AB32+AH32+AN32+AT32+AZ32+BF32</f>
        <v/>
      </c>
      <c r="BM32" s="2">
        <f>E32+K32+Q32+W32+AC32+AI32+AO32+AU32+BA32+BG32</f>
        <v/>
      </c>
      <c r="BN32" s="2">
        <f>F32+L32+R32+X32+AD32+AJ32+AP32+AV32+BB32+BH32</f>
        <v/>
      </c>
      <c r="BO32" s="2">
        <f>G32+M32+S32+Y32+AE32+AK32+AQ32+AW32+BC32+BI32</f>
        <v/>
      </c>
      <c r="BP32" s="2">
        <f>H32+N32+T32+Z32+AF32+AL32+AR32+AX32+BD32+BJ32</f>
        <v/>
      </c>
      <c r="BQ32" s="2">
        <f>IF(A32-Inputs!$B$30&gt;=1,INDEX($BL$5:$BL$101,A32-Inputs!$B$30+1)*(1-Inputs!$B$29),0)</f>
        <v/>
      </c>
      <c r="BR32" s="2">
        <f>BR31+BL32</f>
        <v/>
      </c>
      <c r="BS32" s="2">
        <f>BS31+BQ32</f>
        <v/>
      </c>
      <c r="BT32" s="2">
        <f>BR32*Inputs!$B$29</f>
        <v/>
      </c>
      <c r="BU32" s="2">
        <f>BR32*(1-Inputs!$B$29)-BS32</f>
        <v/>
      </c>
      <c r="BV32" s="2">
        <f>BP32+BU32</f>
        <v/>
      </c>
      <c r="BW32" s="2">
        <f>BM32+BN32+BO32+BQ32</f>
        <v/>
      </c>
      <c r="BX32" s="8">
        <f>BK32-BL32-BN32-BO32-BP32</f>
        <v/>
      </c>
    </row>
    <row r="33">
      <c r="A33" s="7" t="n">
        <v>28</v>
      </c>
      <c r="B33" s="3">
        <f>Inputs!$B$36+(Inputs!$B$37-Inputs!$B$36)*(1-EXP(-A33/Inputs!$B$38))+Inputs!$B$31/10000</f>
        <v/>
      </c>
      <c r="C33" s="2">
        <f>H32</f>
        <v/>
      </c>
      <c r="D33" s="2">
        <f>C33*Inputs!$B$33</f>
        <v/>
      </c>
      <c r="E33" s="2">
        <f>(C33-D33)*Inputs!$C$6/12</f>
        <v/>
      </c>
      <c r="F33" s="2">
        <f>IF(MAX(Inputs!$D$6-(A33-1),0)&lt;=0,0,(C33-D33)*((Inputs!$C$6/12)/(1-(1+Inputs!$C$6/12)^(-MAX(Inputs!$D$6-(A33-1),0)))-Inputs!$C$6/12))</f>
        <v/>
      </c>
      <c r="G33" s="2">
        <f>(C33-D33-F33)*Inputs!$B$32</f>
        <v/>
      </c>
      <c r="H33" s="2">
        <f>C33-D33-F33-G33</f>
        <v/>
      </c>
      <c r="I33" s="2">
        <f>N32</f>
        <v/>
      </c>
      <c r="J33" s="2">
        <f>I33*Inputs!$B$33</f>
        <v/>
      </c>
      <c r="K33" s="2">
        <f>(I33-J33)*Inputs!$C$7/12</f>
        <v/>
      </c>
      <c r="L33" s="2">
        <f>IF(MAX(Inputs!$D$7-(A33-1),0)&lt;=0,0,(I33-J33)*((Inputs!$C$7/12)/(1-(1+Inputs!$C$7/12)^(-MAX(Inputs!$D$7-(A33-1),0)))-Inputs!$C$7/12))</f>
        <v/>
      </c>
      <c r="M33" s="2">
        <f>(I33-J33-L33)*Inputs!$B$32</f>
        <v/>
      </c>
      <c r="N33" s="2">
        <f>I33-J33-L33-M33</f>
        <v/>
      </c>
      <c r="O33" s="2">
        <f>T32</f>
        <v/>
      </c>
      <c r="P33" s="2">
        <f>O33*Inputs!$B$33</f>
        <v/>
      </c>
      <c r="Q33" s="2">
        <f>(O33-P33)*Inputs!$C$8/12</f>
        <v/>
      </c>
      <c r="R33" s="2">
        <f>IF(MAX(Inputs!$D$8-(A33-1),0)&lt;=0,0,(O33-P33)*((Inputs!$C$8/12)/(1-(1+Inputs!$C$8/12)^(-MAX(Inputs!$D$8-(A33-1),0)))-Inputs!$C$8/12))</f>
        <v/>
      </c>
      <c r="S33" s="2">
        <f>(O33-P33-R33)*Inputs!$B$32</f>
        <v/>
      </c>
      <c r="T33" s="2">
        <f>O33-P33-R33-S33</f>
        <v/>
      </c>
      <c r="U33" s="2">
        <f>Z32</f>
        <v/>
      </c>
      <c r="V33" s="2">
        <f>U33*Inputs!$B$33</f>
        <v/>
      </c>
      <c r="W33" s="2">
        <f>(U33-V33)*Inputs!$C$9/12</f>
        <v/>
      </c>
      <c r="X33" s="2">
        <f>IF(MAX(Inputs!$D$9-(A33-1),0)&lt;=0,0,(U33-V33)*((Inputs!$C$9/12)/(1-(1+Inputs!$C$9/12)^(-MAX(Inputs!$D$9-(A33-1),0)))-Inputs!$C$9/12))</f>
        <v/>
      </c>
      <c r="Y33" s="2">
        <f>(U33-V33-X33)*Inputs!$B$32</f>
        <v/>
      </c>
      <c r="Z33" s="2">
        <f>U33-V33-X33-Y33</f>
        <v/>
      </c>
      <c r="AA33" s="2">
        <f>AF32</f>
        <v/>
      </c>
      <c r="AB33" s="2">
        <f>AA33*Inputs!$B$33</f>
        <v/>
      </c>
      <c r="AC33" s="2">
        <f>(AA33-AB33)*Inputs!$C$10/12</f>
        <v/>
      </c>
      <c r="AD33" s="2">
        <f>IF(MAX(Inputs!$D$10-(A33-1),0)&lt;=0,0,(AA33-AB33)*((Inputs!$C$10/12)/(1-(1+Inputs!$C$10/12)^(-MAX(Inputs!$D$10-(A33-1),0)))-Inputs!$C$10/12))</f>
        <v/>
      </c>
      <c r="AE33" s="2">
        <f>(AA33-AB33-AD33)*Inputs!$B$32</f>
        <v/>
      </c>
      <c r="AF33" s="2">
        <f>AA33-AB33-AD33-AE33</f>
        <v/>
      </c>
      <c r="AG33" s="2">
        <f>AL32</f>
        <v/>
      </c>
      <c r="AH33" s="2">
        <f>AG33*Inputs!$B$33</f>
        <v/>
      </c>
      <c r="AI33" s="2">
        <f>(AG33-AH33)*Inputs!$C$11/12</f>
        <v/>
      </c>
      <c r="AJ33" s="2">
        <f>IF(MAX(Inputs!$D$11-(A33-1),0)&lt;=0,0,(AG33-AH33)*((Inputs!$C$11/12)/(1-(1+Inputs!$C$11/12)^(-MAX(Inputs!$D$11-(A33-1),0)))-Inputs!$C$11/12))</f>
        <v/>
      </c>
      <c r="AK33" s="2">
        <f>(AG33-AH33-AJ33)*Inputs!$B$32</f>
        <v/>
      </c>
      <c r="AL33" s="2">
        <f>AG33-AH33-AJ33-AK33</f>
        <v/>
      </c>
      <c r="AM33" s="2">
        <f>AR32</f>
        <v/>
      </c>
      <c r="AN33" s="2">
        <f>AM33*Inputs!$B$33</f>
        <v/>
      </c>
      <c r="AO33" s="2">
        <f>(AM33-AN33)*Inputs!$C$12/12</f>
        <v/>
      </c>
      <c r="AP33" s="2">
        <f>IF(MAX(Inputs!$D$12-(A33-1),0)&lt;=0,0,(AM33-AN33)*((Inputs!$C$12/12)/(1-(1+Inputs!$C$12/12)^(-MAX(Inputs!$D$12-(A33-1),0)))-Inputs!$C$12/12))</f>
        <v/>
      </c>
      <c r="AQ33" s="2">
        <f>(AM33-AN33-AP33)*Inputs!$B$32</f>
        <v/>
      </c>
      <c r="AR33" s="2">
        <f>AM33-AN33-AP33-AQ33</f>
        <v/>
      </c>
      <c r="AS33" s="2">
        <f>AX32</f>
        <v/>
      </c>
      <c r="AT33" s="2">
        <f>AS33*Inputs!$B$33</f>
        <v/>
      </c>
      <c r="AU33" s="2">
        <f>(AS33-AT33)*Inputs!$C$13/12</f>
        <v/>
      </c>
      <c r="AV33" s="2">
        <f>IF(MAX(Inputs!$D$13-(A33-1),0)&lt;=0,0,(AS33-AT33)*((Inputs!$C$13/12)/(1-(1+Inputs!$C$13/12)^(-MAX(Inputs!$D$13-(A33-1),0)))-Inputs!$C$13/12))</f>
        <v/>
      </c>
      <c r="AW33" s="2">
        <f>(AS33-AT33-AV33)*Inputs!$B$32</f>
        <v/>
      </c>
      <c r="AX33" s="2">
        <f>AS33-AT33-AV33-AW33</f>
        <v/>
      </c>
      <c r="AY33" s="2">
        <f>BD32</f>
        <v/>
      </c>
      <c r="AZ33" s="2">
        <f>AY33*Inputs!$B$33</f>
        <v/>
      </c>
      <c r="BA33" s="2">
        <f>(AY33-AZ33)*Inputs!$C$14/12</f>
        <v/>
      </c>
      <c r="BB33" s="2">
        <f>IF(MAX(Inputs!$D$14-(A33-1),0)&lt;=0,0,(AY33-AZ33)*((Inputs!$C$14/12)/(1-(1+Inputs!$C$14/12)^(-MAX(Inputs!$D$14-(A33-1),0)))-Inputs!$C$14/12))</f>
        <v/>
      </c>
      <c r="BC33" s="2">
        <f>(AY33-AZ33-BB33)*Inputs!$B$32</f>
        <v/>
      </c>
      <c r="BD33" s="2">
        <f>AY33-AZ33-BB33-BC33</f>
        <v/>
      </c>
      <c r="BE33" s="2">
        <f>BJ32</f>
        <v/>
      </c>
      <c r="BF33" s="2">
        <f>BE33*Inputs!$B$33</f>
        <v/>
      </c>
      <c r="BG33" s="2">
        <f>(BE33-BF33)*Inputs!$C$15/12</f>
        <v/>
      </c>
      <c r="BH33" s="2">
        <f>IF(MAX(Inputs!$D$15-(A33-1),0)&lt;=0,0,(BE33-BF33)*((Inputs!$C$15/12)/(1-(1+Inputs!$C$15/12)^(-MAX(Inputs!$D$15-(A33-1),0)))-Inputs!$C$15/12))</f>
        <v/>
      </c>
      <c r="BI33" s="2">
        <f>(BE33-BF33-BH33)*Inputs!$B$32</f>
        <v/>
      </c>
      <c r="BJ33" s="2">
        <f>BE33-BF33-BH33-BI33</f>
        <v/>
      </c>
      <c r="BK33" s="2">
        <f>C33+I33+O33+U33+AA33+AG33+AM33+AS33+AY33+BE33</f>
        <v/>
      </c>
      <c r="BL33" s="2">
        <f>D33+J33+P33+V33+AB33+AH33+AN33+AT33+AZ33+BF33</f>
        <v/>
      </c>
      <c r="BM33" s="2">
        <f>E33+K33+Q33+W33+AC33+AI33+AO33+AU33+BA33+BG33</f>
        <v/>
      </c>
      <c r="BN33" s="2">
        <f>F33+L33+R33+X33+AD33+AJ33+AP33+AV33+BB33+BH33</f>
        <v/>
      </c>
      <c r="BO33" s="2">
        <f>G33+M33+S33+Y33+AE33+AK33+AQ33+AW33+BC33+BI33</f>
        <v/>
      </c>
      <c r="BP33" s="2">
        <f>H33+N33+T33+Z33+AF33+AL33+AR33+AX33+BD33+BJ33</f>
        <v/>
      </c>
      <c r="BQ33" s="2">
        <f>IF(A33-Inputs!$B$30&gt;=1,INDEX($BL$5:$BL$101,A33-Inputs!$B$30+1)*(1-Inputs!$B$29),0)</f>
        <v/>
      </c>
      <c r="BR33" s="2">
        <f>BR32+BL33</f>
        <v/>
      </c>
      <c r="BS33" s="2">
        <f>BS32+BQ33</f>
        <v/>
      </c>
      <c r="BT33" s="2">
        <f>BR33*Inputs!$B$29</f>
        <v/>
      </c>
      <c r="BU33" s="2">
        <f>BR33*(1-Inputs!$B$29)-BS33</f>
        <v/>
      </c>
      <c r="BV33" s="2">
        <f>BP33+BU33</f>
        <v/>
      </c>
      <c r="BW33" s="2">
        <f>BM33+BN33+BO33+BQ33</f>
        <v/>
      </c>
      <c r="BX33" s="8">
        <f>BK33-BL33-BN33-BO33-BP33</f>
        <v/>
      </c>
    </row>
    <row r="34">
      <c r="A34" s="7" t="n">
        <v>29</v>
      </c>
      <c r="B34" s="3">
        <f>Inputs!$B$36+(Inputs!$B$37-Inputs!$B$36)*(1-EXP(-A34/Inputs!$B$38))+Inputs!$B$31/10000</f>
        <v/>
      </c>
      <c r="C34" s="2">
        <f>H33</f>
        <v/>
      </c>
      <c r="D34" s="2">
        <f>C34*Inputs!$B$33</f>
        <v/>
      </c>
      <c r="E34" s="2">
        <f>(C34-D34)*Inputs!$C$6/12</f>
        <v/>
      </c>
      <c r="F34" s="2">
        <f>IF(MAX(Inputs!$D$6-(A34-1),0)&lt;=0,0,(C34-D34)*((Inputs!$C$6/12)/(1-(1+Inputs!$C$6/12)^(-MAX(Inputs!$D$6-(A34-1),0)))-Inputs!$C$6/12))</f>
        <v/>
      </c>
      <c r="G34" s="2">
        <f>(C34-D34-F34)*Inputs!$B$32</f>
        <v/>
      </c>
      <c r="H34" s="2">
        <f>C34-D34-F34-G34</f>
        <v/>
      </c>
      <c r="I34" s="2">
        <f>N33</f>
        <v/>
      </c>
      <c r="J34" s="2">
        <f>I34*Inputs!$B$33</f>
        <v/>
      </c>
      <c r="K34" s="2">
        <f>(I34-J34)*Inputs!$C$7/12</f>
        <v/>
      </c>
      <c r="L34" s="2">
        <f>IF(MAX(Inputs!$D$7-(A34-1),0)&lt;=0,0,(I34-J34)*((Inputs!$C$7/12)/(1-(1+Inputs!$C$7/12)^(-MAX(Inputs!$D$7-(A34-1),0)))-Inputs!$C$7/12))</f>
        <v/>
      </c>
      <c r="M34" s="2">
        <f>(I34-J34-L34)*Inputs!$B$32</f>
        <v/>
      </c>
      <c r="N34" s="2">
        <f>I34-J34-L34-M34</f>
        <v/>
      </c>
      <c r="O34" s="2">
        <f>T33</f>
        <v/>
      </c>
      <c r="P34" s="2">
        <f>O34*Inputs!$B$33</f>
        <v/>
      </c>
      <c r="Q34" s="2">
        <f>(O34-P34)*Inputs!$C$8/12</f>
        <v/>
      </c>
      <c r="R34" s="2">
        <f>IF(MAX(Inputs!$D$8-(A34-1),0)&lt;=0,0,(O34-P34)*((Inputs!$C$8/12)/(1-(1+Inputs!$C$8/12)^(-MAX(Inputs!$D$8-(A34-1),0)))-Inputs!$C$8/12))</f>
        <v/>
      </c>
      <c r="S34" s="2">
        <f>(O34-P34-R34)*Inputs!$B$32</f>
        <v/>
      </c>
      <c r="T34" s="2">
        <f>O34-P34-R34-S34</f>
        <v/>
      </c>
      <c r="U34" s="2">
        <f>Z33</f>
        <v/>
      </c>
      <c r="V34" s="2">
        <f>U34*Inputs!$B$33</f>
        <v/>
      </c>
      <c r="W34" s="2">
        <f>(U34-V34)*Inputs!$C$9/12</f>
        <v/>
      </c>
      <c r="X34" s="2">
        <f>IF(MAX(Inputs!$D$9-(A34-1),0)&lt;=0,0,(U34-V34)*((Inputs!$C$9/12)/(1-(1+Inputs!$C$9/12)^(-MAX(Inputs!$D$9-(A34-1),0)))-Inputs!$C$9/12))</f>
        <v/>
      </c>
      <c r="Y34" s="2">
        <f>(U34-V34-X34)*Inputs!$B$32</f>
        <v/>
      </c>
      <c r="Z34" s="2">
        <f>U34-V34-X34-Y34</f>
        <v/>
      </c>
      <c r="AA34" s="2">
        <f>AF33</f>
        <v/>
      </c>
      <c r="AB34" s="2">
        <f>AA34*Inputs!$B$33</f>
        <v/>
      </c>
      <c r="AC34" s="2">
        <f>(AA34-AB34)*Inputs!$C$10/12</f>
        <v/>
      </c>
      <c r="AD34" s="2">
        <f>IF(MAX(Inputs!$D$10-(A34-1),0)&lt;=0,0,(AA34-AB34)*((Inputs!$C$10/12)/(1-(1+Inputs!$C$10/12)^(-MAX(Inputs!$D$10-(A34-1),0)))-Inputs!$C$10/12))</f>
        <v/>
      </c>
      <c r="AE34" s="2">
        <f>(AA34-AB34-AD34)*Inputs!$B$32</f>
        <v/>
      </c>
      <c r="AF34" s="2">
        <f>AA34-AB34-AD34-AE34</f>
        <v/>
      </c>
      <c r="AG34" s="2">
        <f>AL33</f>
        <v/>
      </c>
      <c r="AH34" s="2">
        <f>AG34*Inputs!$B$33</f>
        <v/>
      </c>
      <c r="AI34" s="2">
        <f>(AG34-AH34)*Inputs!$C$11/12</f>
        <v/>
      </c>
      <c r="AJ34" s="2">
        <f>IF(MAX(Inputs!$D$11-(A34-1),0)&lt;=0,0,(AG34-AH34)*((Inputs!$C$11/12)/(1-(1+Inputs!$C$11/12)^(-MAX(Inputs!$D$11-(A34-1),0)))-Inputs!$C$11/12))</f>
        <v/>
      </c>
      <c r="AK34" s="2">
        <f>(AG34-AH34-AJ34)*Inputs!$B$32</f>
        <v/>
      </c>
      <c r="AL34" s="2">
        <f>AG34-AH34-AJ34-AK34</f>
        <v/>
      </c>
      <c r="AM34" s="2">
        <f>AR33</f>
        <v/>
      </c>
      <c r="AN34" s="2">
        <f>AM34*Inputs!$B$33</f>
        <v/>
      </c>
      <c r="AO34" s="2">
        <f>(AM34-AN34)*Inputs!$C$12/12</f>
        <v/>
      </c>
      <c r="AP34" s="2">
        <f>IF(MAX(Inputs!$D$12-(A34-1),0)&lt;=0,0,(AM34-AN34)*((Inputs!$C$12/12)/(1-(1+Inputs!$C$12/12)^(-MAX(Inputs!$D$12-(A34-1),0)))-Inputs!$C$12/12))</f>
        <v/>
      </c>
      <c r="AQ34" s="2">
        <f>(AM34-AN34-AP34)*Inputs!$B$32</f>
        <v/>
      </c>
      <c r="AR34" s="2">
        <f>AM34-AN34-AP34-AQ34</f>
        <v/>
      </c>
      <c r="AS34" s="2">
        <f>AX33</f>
        <v/>
      </c>
      <c r="AT34" s="2">
        <f>AS34*Inputs!$B$33</f>
        <v/>
      </c>
      <c r="AU34" s="2">
        <f>(AS34-AT34)*Inputs!$C$13/12</f>
        <v/>
      </c>
      <c r="AV34" s="2">
        <f>IF(MAX(Inputs!$D$13-(A34-1),0)&lt;=0,0,(AS34-AT34)*((Inputs!$C$13/12)/(1-(1+Inputs!$C$13/12)^(-MAX(Inputs!$D$13-(A34-1),0)))-Inputs!$C$13/12))</f>
        <v/>
      </c>
      <c r="AW34" s="2">
        <f>(AS34-AT34-AV34)*Inputs!$B$32</f>
        <v/>
      </c>
      <c r="AX34" s="2">
        <f>AS34-AT34-AV34-AW34</f>
        <v/>
      </c>
      <c r="AY34" s="2">
        <f>BD33</f>
        <v/>
      </c>
      <c r="AZ34" s="2">
        <f>AY34*Inputs!$B$33</f>
        <v/>
      </c>
      <c r="BA34" s="2">
        <f>(AY34-AZ34)*Inputs!$C$14/12</f>
        <v/>
      </c>
      <c r="BB34" s="2">
        <f>IF(MAX(Inputs!$D$14-(A34-1),0)&lt;=0,0,(AY34-AZ34)*((Inputs!$C$14/12)/(1-(1+Inputs!$C$14/12)^(-MAX(Inputs!$D$14-(A34-1),0)))-Inputs!$C$14/12))</f>
        <v/>
      </c>
      <c r="BC34" s="2">
        <f>(AY34-AZ34-BB34)*Inputs!$B$32</f>
        <v/>
      </c>
      <c r="BD34" s="2">
        <f>AY34-AZ34-BB34-BC34</f>
        <v/>
      </c>
      <c r="BE34" s="2">
        <f>BJ33</f>
        <v/>
      </c>
      <c r="BF34" s="2">
        <f>BE34*Inputs!$B$33</f>
        <v/>
      </c>
      <c r="BG34" s="2">
        <f>(BE34-BF34)*Inputs!$C$15/12</f>
        <v/>
      </c>
      <c r="BH34" s="2">
        <f>IF(MAX(Inputs!$D$15-(A34-1),0)&lt;=0,0,(BE34-BF34)*((Inputs!$C$15/12)/(1-(1+Inputs!$C$15/12)^(-MAX(Inputs!$D$15-(A34-1),0)))-Inputs!$C$15/12))</f>
        <v/>
      </c>
      <c r="BI34" s="2">
        <f>(BE34-BF34-BH34)*Inputs!$B$32</f>
        <v/>
      </c>
      <c r="BJ34" s="2">
        <f>BE34-BF34-BH34-BI34</f>
        <v/>
      </c>
      <c r="BK34" s="2">
        <f>C34+I34+O34+U34+AA34+AG34+AM34+AS34+AY34+BE34</f>
        <v/>
      </c>
      <c r="BL34" s="2">
        <f>D34+J34+P34+V34+AB34+AH34+AN34+AT34+AZ34+BF34</f>
        <v/>
      </c>
      <c r="BM34" s="2">
        <f>E34+K34+Q34+W34+AC34+AI34+AO34+AU34+BA34+BG34</f>
        <v/>
      </c>
      <c r="BN34" s="2">
        <f>F34+L34+R34+X34+AD34+AJ34+AP34+AV34+BB34+BH34</f>
        <v/>
      </c>
      <c r="BO34" s="2">
        <f>G34+M34+S34+Y34+AE34+AK34+AQ34+AW34+BC34+BI34</f>
        <v/>
      </c>
      <c r="BP34" s="2">
        <f>H34+N34+T34+Z34+AF34+AL34+AR34+AX34+BD34+BJ34</f>
        <v/>
      </c>
      <c r="BQ34" s="2">
        <f>IF(A34-Inputs!$B$30&gt;=1,INDEX($BL$5:$BL$101,A34-Inputs!$B$30+1)*(1-Inputs!$B$29),0)</f>
        <v/>
      </c>
      <c r="BR34" s="2">
        <f>BR33+BL34</f>
        <v/>
      </c>
      <c r="BS34" s="2">
        <f>BS33+BQ34</f>
        <v/>
      </c>
      <c r="BT34" s="2">
        <f>BR34*Inputs!$B$29</f>
        <v/>
      </c>
      <c r="BU34" s="2">
        <f>BR34*(1-Inputs!$B$29)-BS34</f>
        <v/>
      </c>
      <c r="BV34" s="2">
        <f>BP34+BU34</f>
        <v/>
      </c>
      <c r="BW34" s="2">
        <f>BM34+BN34+BO34+BQ34</f>
        <v/>
      </c>
      <c r="BX34" s="8">
        <f>BK34-BL34-BN34-BO34-BP34</f>
        <v/>
      </c>
    </row>
    <row r="35">
      <c r="A35" s="7" t="n">
        <v>30</v>
      </c>
      <c r="B35" s="3">
        <f>Inputs!$B$36+(Inputs!$B$37-Inputs!$B$36)*(1-EXP(-A35/Inputs!$B$38))+Inputs!$B$31/10000</f>
        <v/>
      </c>
      <c r="C35" s="2">
        <f>H34</f>
        <v/>
      </c>
      <c r="D35" s="2">
        <f>C35*Inputs!$B$33</f>
        <v/>
      </c>
      <c r="E35" s="2">
        <f>(C35-D35)*Inputs!$C$6/12</f>
        <v/>
      </c>
      <c r="F35" s="2">
        <f>IF(MAX(Inputs!$D$6-(A35-1),0)&lt;=0,0,(C35-D35)*((Inputs!$C$6/12)/(1-(1+Inputs!$C$6/12)^(-MAX(Inputs!$D$6-(A35-1),0)))-Inputs!$C$6/12))</f>
        <v/>
      </c>
      <c r="G35" s="2">
        <f>(C35-D35-F35)*Inputs!$B$32</f>
        <v/>
      </c>
      <c r="H35" s="2">
        <f>C35-D35-F35-G35</f>
        <v/>
      </c>
      <c r="I35" s="2">
        <f>N34</f>
        <v/>
      </c>
      <c r="J35" s="2">
        <f>I35*Inputs!$B$33</f>
        <v/>
      </c>
      <c r="K35" s="2">
        <f>(I35-J35)*Inputs!$C$7/12</f>
        <v/>
      </c>
      <c r="L35" s="2">
        <f>IF(MAX(Inputs!$D$7-(A35-1),0)&lt;=0,0,(I35-J35)*((Inputs!$C$7/12)/(1-(1+Inputs!$C$7/12)^(-MAX(Inputs!$D$7-(A35-1),0)))-Inputs!$C$7/12))</f>
        <v/>
      </c>
      <c r="M35" s="2">
        <f>(I35-J35-L35)*Inputs!$B$32</f>
        <v/>
      </c>
      <c r="N35" s="2">
        <f>I35-J35-L35-M35</f>
        <v/>
      </c>
      <c r="O35" s="2">
        <f>T34</f>
        <v/>
      </c>
      <c r="P35" s="2">
        <f>O35*Inputs!$B$33</f>
        <v/>
      </c>
      <c r="Q35" s="2">
        <f>(O35-P35)*Inputs!$C$8/12</f>
        <v/>
      </c>
      <c r="R35" s="2">
        <f>IF(MAX(Inputs!$D$8-(A35-1),0)&lt;=0,0,(O35-P35)*((Inputs!$C$8/12)/(1-(1+Inputs!$C$8/12)^(-MAX(Inputs!$D$8-(A35-1),0)))-Inputs!$C$8/12))</f>
        <v/>
      </c>
      <c r="S35" s="2">
        <f>(O35-P35-R35)*Inputs!$B$32</f>
        <v/>
      </c>
      <c r="T35" s="2">
        <f>O35-P35-R35-S35</f>
        <v/>
      </c>
      <c r="U35" s="2">
        <f>Z34</f>
        <v/>
      </c>
      <c r="V35" s="2">
        <f>U35*Inputs!$B$33</f>
        <v/>
      </c>
      <c r="W35" s="2">
        <f>(U35-V35)*Inputs!$C$9/12</f>
        <v/>
      </c>
      <c r="X35" s="2">
        <f>IF(MAX(Inputs!$D$9-(A35-1),0)&lt;=0,0,(U35-V35)*((Inputs!$C$9/12)/(1-(1+Inputs!$C$9/12)^(-MAX(Inputs!$D$9-(A35-1),0)))-Inputs!$C$9/12))</f>
        <v/>
      </c>
      <c r="Y35" s="2">
        <f>(U35-V35-X35)*Inputs!$B$32</f>
        <v/>
      </c>
      <c r="Z35" s="2">
        <f>U35-V35-X35-Y35</f>
        <v/>
      </c>
      <c r="AA35" s="2">
        <f>AF34</f>
        <v/>
      </c>
      <c r="AB35" s="2">
        <f>AA35*Inputs!$B$33</f>
        <v/>
      </c>
      <c r="AC35" s="2">
        <f>(AA35-AB35)*Inputs!$C$10/12</f>
        <v/>
      </c>
      <c r="AD35" s="2">
        <f>IF(MAX(Inputs!$D$10-(A35-1),0)&lt;=0,0,(AA35-AB35)*((Inputs!$C$10/12)/(1-(1+Inputs!$C$10/12)^(-MAX(Inputs!$D$10-(A35-1),0)))-Inputs!$C$10/12))</f>
        <v/>
      </c>
      <c r="AE35" s="2">
        <f>(AA35-AB35-AD35)*Inputs!$B$32</f>
        <v/>
      </c>
      <c r="AF35" s="2">
        <f>AA35-AB35-AD35-AE35</f>
        <v/>
      </c>
      <c r="AG35" s="2">
        <f>AL34</f>
        <v/>
      </c>
      <c r="AH35" s="2">
        <f>AG35*Inputs!$B$33</f>
        <v/>
      </c>
      <c r="AI35" s="2">
        <f>(AG35-AH35)*Inputs!$C$11/12</f>
        <v/>
      </c>
      <c r="AJ35" s="2">
        <f>IF(MAX(Inputs!$D$11-(A35-1),0)&lt;=0,0,(AG35-AH35)*((Inputs!$C$11/12)/(1-(1+Inputs!$C$11/12)^(-MAX(Inputs!$D$11-(A35-1),0)))-Inputs!$C$11/12))</f>
        <v/>
      </c>
      <c r="AK35" s="2">
        <f>(AG35-AH35-AJ35)*Inputs!$B$32</f>
        <v/>
      </c>
      <c r="AL35" s="2">
        <f>AG35-AH35-AJ35-AK35</f>
        <v/>
      </c>
      <c r="AM35" s="2">
        <f>AR34</f>
        <v/>
      </c>
      <c r="AN35" s="2">
        <f>AM35*Inputs!$B$33</f>
        <v/>
      </c>
      <c r="AO35" s="2">
        <f>(AM35-AN35)*Inputs!$C$12/12</f>
        <v/>
      </c>
      <c r="AP35" s="2">
        <f>IF(MAX(Inputs!$D$12-(A35-1),0)&lt;=0,0,(AM35-AN35)*((Inputs!$C$12/12)/(1-(1+Inputs!$C$12/12)^(-MAX(Inputs!$D$12-(A35-1),0)))-Inputs!$C$12/12))</f>
        <v/>
      </c>
      <c r="AQ35" s="2">
        <f>(AM35-AN35-AP35)*Inputs!$B$32</f>
        <v/>
      </c>
      <c r="AR35" s="2">
        <f>AM35-AN35-AP35-AQ35</f>
        <v/>
      </c>
      <c r="AS35" s="2">
        <f>AX34</f>
        <v/>
      </c>
      <c r="AT35" s="2">
        <f>AS35*Inputs!$B$33</f>
        <v/>
      </c>
      <c r="AU35" s="2">
        <f>(AS35-AT35)*Inputs!$C$13/12</f>
        <v/>
      </c>
      <c r="AV35" s="2">
        <f>IF(MAX(Inputs!$D$13-(A35-1),0)&lt;=0,0,(AS35-AT35)*((Inputs!$C$13/12)/(1-(1+Inputs!$C$13/12)^(-MAX(Inputs!$D$13-(A35-1),0)))-Inputs!$C$13/12))</f>
        <v/>
      </c>
      <c r="AW35" s="2">
        <f>(AS35-AT35-AV35)*Inputs!$B$32</f>
        <v/>
      </c>
      <c r="AX35" s="2">
        <f>AS35-AT35-AV35-AW35</f>
        <v/>
      </c>
      <c r="AY35" s="2">
        <f>BD34</f>
        <v/>
      </c>
      <c r="AZ35" s="2">
        <f>AY35*Inputs!$B$33</f>
        <v/>
      </c>
      <c r="BA35" s="2">
        <f>(AY35-AZ35)*Inputs!$C$14/12</f>
        <v/>
      </c>
      <c r="BB35" s="2">
        <f>IF(MAX(Inputs!$D$14-(A35-1),0)&lt;=0,0,(AY35-AZ35)*((Inputs!$C$14/12)/(1-(1+Inputs!$C$14/12)^(-MAX(Inputs!$D$14-(A35-1),0)))-Inputs!$C$14/12))</f>
        <v/>
      </c>
      <c r="BC35" s="2">
        <f>(AY35-AZ35-BB35)*Inputs!$B$32</f>
        <v/>
      </c>
      <c r="BD35" s="2">
        <f>AY35-AZ35-BB35-BC35</f>
        <v/>
      </c>
      <c r="BE35" s="2">
        <f>BJ34</f>
        <v/>
      </c>
      <c r="BF35" s="2">
        <f>BE35*Inputs!$B$33</f>
        <v/>
      </c>
      <c r="BG35" s="2">
        <f>(BE35-BF35)*Inputs!$C$15/12</f>
        <v/>
      </c>
      <c r="BH35" s="2">
        <f>IF(MAX(Inputs!$D$15-(A35-1),0)&lt;=0,0,(BE35-BF35)*((Inputs!$C$15/12)/(1-(1+Inputs!$C$15/12)^(-MAX(Inputs!$D$15-(A35-1),0)))-Inputs!$C$15/12))</f>
        <v/>
      </c>
      <c r="BI35" s="2">
        <f>(BE35-BF35-BH35)*Inputs!$B$32</f>
        <v/>
      </c>
      <c r="BJ35" s="2">
        <f>BE35-BF35-BH35-BI35</f>
        <v/>
      </c>
      <c r="BK35" s="2">
        <f>C35+I35+O35+U35+AA35+AG35+AM35+AS35+AY35+BE35</f>
        <v/>
      </c>
      <c r="BL35" s="2">
        <f>D35+J35+P35+V35+AB35+AH35+AN35+AT35+AZ35+BF35</f>
        <v/>
      </c>
      <c r="BM35" s="2">
        <f>E35+K35+Q35+W35+AC35+AI35+AO35+AU35+BA35+BG35</f>
        <v/>
      </c>
      <c r="BN35" s="2">
        <f>F35+L35+R35+X35+AD35+AJ35+AP35+AV35+BB35+BH35</f>
        <v/>
      </c>
      <c r="BO35" s="2">
        <f>G35+M35+S35+Y35+AE35+AK35+AQ35+AW35+BC35+BI35</f>
        <v/>
      </c>
      <c r="BP35" s="2">
        <f>H35+N35+T35+Z35+AF35+AL35+AR35+AX35+BD35+BJ35</f>
        <v/>
      </c>
      <c r="BQ35" s="2">
        <f>IF(A35-Inputs!$B$30&gt;=1,INDEX($BL$5:$BL$101,A35-Inputs!$B$30+1)*(1-Inputs!$B$29),0)</f>
        <v/>
      </c>
      <c r="BR35" s="2">
        <f>BR34+BL35</f>
        <v/>
      </c>
      <c r="BS35" s="2">
        <f>BS34+BQ35</f>
        <v/>
      </c>
      <c r="BT35" s="2">
        <f>BR35*Inputs!$B$29</f>
        <v/>
      </c>
      <c r="BU35" s="2">
        <f>BR35*(1-Inputs!$B$29)-BS35</f>
        <v/>
      </c>
      <c r="BV35" s="2">
        <f>BP35+BU35</f>
        <v/>
      </c>
      <c r="BW35" s="2">
        <f>BM35+BN35+BO35+BQ35</f>
        <v/>
      </c>
      <c r="BX35" s="8">
        <f>BK35-BL35-BN35-BO35-BP35</f>
        <v/>
      </c>
    </row>
    <row r="36">
      <c r="A36" s="7" t="n">
        <v>31</v>
      </c>
      <c r="B36" s="3">
        <f>Inputs!$B$36+(Inputs!$B$37-Inputs!$B$36)*(1-EXP(-A36/Inputs!$B$38))+Inputs!$B$31/10000</f>
        <v/>
      </c>
      <c r="C36" s="2">
        <f>H35</f>
        <v/>
      </c>
      <c r="D36" s="2">
        <f>C36*Inputs!$B$33</f>
        <v/>
      </c>
      <c r="E36" s="2">
        <f>(C36-D36)*Inputs!$C$6/12</f>
        <v/>
      </c>
      <c r="F36" s="2">
        <f>IF(MAX(Inputs!$D$6-(A36-1),0)&lt;=0,0,(C36-D36)*((Inputs!$C$6/12)/(1-(1+Inputs!$C$6/12)^(-MAX(Inputs!$D$6-(A36-1),0)))-Inputs!$C$6/12))</f>
        <v/>
      </c>
      <c r="G36" s="2">
        <f>(C36-D36-F36)*Inputs!$B$32</f>
        <v/>
      </c>
      <c r="H36" s="2">
        <f>C36-D36-F36-G36</f>
        <v/>
      </c>
      <c r="I36" s="2">
        <f>N35</f>
        <v/>
      </c>
      <c r="J36" s="2">
        <f>I36*Inputs!$B$33</f>
        <v/>
      </c>
      <c r="K36" s="2">
        <f>(I36-J36)*Inputs!$C$7/12</f>
        <v/>
      </c>
      <c r="L36" s="2">
        <f>IF(MAX(Inputs!$D$7-(A36-1),0)&lt;=0,0,(I36-J36)*((Inputs!$C$7/12)/(1-(1+Inputs!$C$7/12)^(-MAX(Inputs!$D$7-(A36-1),0)))-Inputs!$C$7/12))</f>
        <v/>
      </c>
      <c r="M36" s="2">
        <f>(I36-J36-L36)*Inputs!$B$32</f>
        <v/>
      </c>
      <c r="N36" s="2">
        <f>I36-J36-L36-M36</f>
        <v/>
      </c>
      <c r="O36" s="2">
        <f>T35</f>
        <v/>
      </c>
      <c r="P36" s="2">
        <f>O36*Inputs!$B$33</f>
        <v/>
      </c>
      <c r="Q36" s="2">
        <f>(O36-P36)*Inputs!$C$8/12</f>
        <v/>
      </c>
      <c r="R36" s="2">
        <f>IF(MAX(Inputs!$D$8-(A36-1),0)&lt;=0,0,(O36-P36)*((Inputs!$C$8/12)/(1-(1+Inputs!$C$8/12)^(-MAX(Inputs!$D$8-(A36-1),0)))-Inputs!$C$8/12))</f>
        <v/>
      </c>
      <c r="S36" s="2">
        <f>(O36-P36-R36)*Inputs!$B$32</f>
        <v/>
      </c>
      <c r="T36" s="2">
        <f>O36-P36-R36-S36</f>
        <v/>
      </c>
      <c r="U36" s="2">
        <f>Z35</f>
        <v/>
      </c>
      <c r="V36" s="2">
        <f>U36*Inputs!$B$33</f>
        <v/>
      </c>
      <c r="W36" s="2">
        <f>(U36-V36)*Inputs!$C$9/12</f>
        <v/>
      </c>
      <c r="X36" s="2">
        <f>IF(MAX(Inputs!$D$9-(A36-1),0)&lt;=0,0,(U36-V36)*((Inputs!$C$9/12)/(1-(1+Inputs!$C$9/12)^(-MAX(Inputs!$D$9-(A36-1),0)))-Inputs!$C$9/12))</f>
        <v/>
      </c>
      <c r="Y36" s="2">
        <f>(U36-V36-X36)*Inputs!$B$32</f>
        <v/>
      </c>
      <c r="Z36" s="2">
        <f>U36-V36-X36-Y36</f>
        <v/>
      </c>
      <c r="AA36" s="2">
        <f>AF35</f>
        <v/>
      </c>
      <c r="AB36" s="2">
        <f>AA36*Inputs!$B$33</f>
        <v/>
      </c>
      <c r="AC36" s="2">
        <f>(AA36-AB36)*Inputs!$C$10/12</f>
        <v/>
      </c>
      <c r="AD36" s="2">
        <f>IF(MAX(Inputs!$D$10-(A36-1),0)&lt;=0,0,(AA36-AB36)*((Inputs!$C$10/12)/(1-(1+Inputs!$C$10/12)^(-MAX(Inputs!$D$10-(A36-1),0)))-Inputs!$C$10/12))</f>
        <v/>
      </c>
      <c r="AE36" s="2">
        <f>(AA36-AB36-AD36)*Inputs!$B$32</f>
        <v/>
      </c>
      <c r="AF36" s="2">
        <f>AA36-AB36-AD36-AE36</f>
        <v/>
      </c>
      <c r="AG36" s="2">
        <f>AL35</f>
        <v/>
      </c>
      <c r="AH36" s="2">
        <f>AG36*Inputs!$B$33</f>
        <v/>
      </c>
      <c r="AI36" s="2">
        <f>(AG36-AH36)*Inputs!$C$11/12</f>
        <v/>
      </c>
      <c r="AJ36" s="2">
        <f>IF(MAX(Inputs!$D$11-(A36-1),0)&lt;=0,0,(AG36-AH36)*((Inputs!$C$11/12)/(1-(1+Inputs!$C$11/12)^(-MAX(Inputs!$D$11-(A36-1),0)))-Inputs!$C$11/12))</f>
        <v/>
      </c>
      <c r="AK36" s="2">
        <f>(AG36-AH36-AJ36)*Inputs!$B$32</f>
        <v/>
      </c>
      <c r="AL36" s="2">
        <f>AG36-AH36-AJ36-AK36</f>
        <v/>
      </c>
      <c r="AM36" s="2">
        <f>AR35</f>
        <v/>
      </c>
      <c r="AN36" s="2">
        <f>AM36*Inputs!$B$33</f>
        <v/>
      </c>
      <c r="AO36" s="2">
        <f>(AM36-AN36)*Inputs!$C$12/12</f>
        <v/>
      </c>
      <c r="AP36" s="2">
        <f>IF(MAX(Inputs!$D$12-(A36-1),0)&lt;=0,0,(AM36-AN36)*((Inputs!$C$12/12)/(1-(1+Inputs!$C$12/12)^(-MAX(Inputs!$D$12-(A36-1),0)))-Inputs!$C$12/12))</f>
        <v/>
      </c>
      <c r="AQ36" s="2">
        <f>(AM36-AN36-AP36)*Inputs!$B$32</f>
        <v/>
      </c>
      <c r="AR36" s="2">
        <f>AM36-AN36-AP36-AQ36</f>
        <v/>
      </c>
      <c r="AS36" s="2">
        <f>AX35</f>
        <v/>
      </c>
      <c r="AT36" s="2">
        <f>AS36*Inputs!$B$33</f>
        <v/>
      </c>
      <c r="AU36" s="2">
        <f>(AS36-AT36)*Inputs!$C$13/12</f>
        <v/>
      </c>
      <c r="AV36" s="2">
        <f>IF(MAX(Inputs!$D$13-(A36-1),0)&lt;=0,0,(AS36-AT36)*((Inputs!$C$13/12)/(1-(1+Inputs!$C$13/12)^(-MAX(Inputs!$D$13-(A36-1),0)))-Inputs!$C$13/12))</f>
        <v/>
      </c>
      <c r="AW36" s="2">
        <f>(AS36-AT36-AV36)*Inputs!$B$32</f>
        <v/>
      </c>
      <c r="AX36" s="2">
        <f>AS36-AT36-AV36-AW36</f>
        <v/>
      </c>
      <c r="AY36" s="2">
        <f>BD35</f>
        <v/>
      </c>
      <c r="AZ36" s="2">
        <f>AY36*Inputs!$B$33</f>
        <v/>
      </c>
      <c r="BA36" s="2">
        <f>(AY36-AZ36)*Inputs!$C$14/12</f>
        <v/>
      </c>
      <c r="BB36" s="2">
        <f>IF(MAX(Inputs!$D$14-(A36-1),0)&lt;=0,0,(AY36-AZ36)*((Inputs!$C$14/12)/(1-(1+Inputs!$C$14/12)^(-MAX(Inputs!$D$14-(A36-1),0)))-Inputs!$C$14/12))</f>
        <v/>
      </c>
      <c r="BC36" s="2">
        <f>(AY36-AZ36-BB36)*Inputs!$B$32</f>
        <v/>
      </c>
      <c r="BD36" s="2">
        <f>AY36-AZ36-BB36-BC36</f>
        <v/>
      </c>
      <c r="BE36" s="2">
        <f>BJ35</f>
        <v/>
      </c>
      <c r="BF36" s="2">
        <f>BE36*Inputs!$B$33</f>
        <v/>
      </c>
      <c r="BG36" s="2">
        <f>(BE36-BF36)*Inputs!$C$15/12</f>
        <v/>
      </c>
      <c r="BH36" s="2">
        <f>IF(MAX(Inputs!$D$15-(A36-1),0)&lt;=0,0,(BE36-BF36)*((Inputs!$C$15/12)/(1-(1+Inputs!$C$15/12)^(-MAX(Inputs!$D$15-(A36-1),0)))-Inputs!$C$15/12))</f>
        <v/>
      </c>
      <c r="BI36" s="2">
        <f>(BE36-BF36-BH36)*Inputs!$B$32</f>
        <v/>
      </c>
      <c r="BJ36" s="2">
        <f>BE36-BF36-BH36-BI36</f>
        <v/>
      </c>
      <c r="BK36" s="2">
        <f>C36+I36+O36+U36+AA36+AG36+AM36+AS36+AY36+BE36</f>
        <v/>
      </c>
      <c r="BL36" s="2">
        <f>D36+J36+P36+V36+AB36+AH36+AN36+AT36+AZ36+BF36</f>
        <v/>
      </c>
      <c r="BM36" s="2">
        <f>E36+K36+Q36+W36+AC36+AI36+AO36+AU36+BA36+BG36</f>
        <v/>
      </c>
      <c r="BN36" s="2">
        <f>F36+L36+R36+X36+AD36+AJ36+AP36+AV36+BB36+BH36</f>
        <v/>
      </c>
      <c r="BO36" s="2">
        <f>G36+M36+S36+Y36+AE36+AK36+AQ36+AW36+BC36+BI36</f>
        <v/>
      </c>
      <c r="BP36" s="2">
        <f>H36+N36+T36+Z36+AF36+AL36+AR36+AX36+BD36+BJ36</f>
        <v/>
      </c>
      <c r="BQ36" s="2">
        <f>IF(A36-Inputs!$B$30&gt;=1,INDEX($BL$5:$BL$101,A36-Inputs!$B$30+1)*(1-Inputs!$B$29),0)</f>
        <v/>
      </c>
      <c r="BR36" s="2">
        <f>BR35+BL36</f>
        <v/>
      </c>
      <c r="BS36" s="2">
        <f>BS35+BQ36</f>
        <v/>
      </c>
      <c r="BT36" s="2">
        <f>BR36*Inputs!$B$29</f>
        <v/>
      </c>
      <c r="BU36" s="2">
        <f>BR36*(1-Inputs!$B$29)-BS36</f>
        <v/>
      </c>
      <c r="BV36" s="2">
        <f>BP36+BU36</f>
        <v/>
      </c>
      <c r="BW36" s="2">
        <f>BM36+BN36+BO36+BQ36</f>
        <v/>
      </c>
      <c r="BX36" s="8">
        <f>BK36-BL36-BN36-BO36-BP36</f>
        <v/>
      </c>
    </row>
    <row r="37">
      <c r="A37" s="7" t="n">
        <v>32</v>
      </c>
      <c r="B37" s="3">
        <f>Inputs!$B$36+(Inputs!$B$37-Inputs!$B$36)*(1-EXP(-A37/Inputs!$B$38))+Inputs!$B$31/10000</f>
        <v/>
      </c>
      <c r="C37" s="2">
        <f>H36</f>
        <v/>
      </c>
      <c r="D37" s="2">
        <f>C37*Inputs!$B$33</f>
        <v/>
      </c>
      <c r="E37" s="2">
        <f>(C37-D37)*Inputs!$C$6/12</f>
        <v/>
      </c>
      <c r="F37" s="2">
        <f>IF(MAX(Inputs!$D$6-(A37-1),0)&lt;=0,0,(C37-D37)*((Inputs!$C$6/12)/(1-(1+Inputs!$C$6/12)^(-MAX(Inputs!$D$6-(A37-1),0)))-Inputs!$C$6/12))</f>
        <v/>
      </c>
      <c r="G37" s="2">
        <f>(C37-D37-F37)*Inputs!$B$32</f>
        <v/>
      </c>
      <c r="H37" s="2">
        <f>C37-D37-F37-G37</f>
        <v/>
      </c>
      <c r="I37" s="2">
        <f>N36</f>
        <v/>
      </c>
      <c r="J37" s="2">
        <f>I37*Inputs!$B$33</f>
        <v/>
      </c>
      <c r="K37" s="2">
        <f>(I37-J37)*Inputs!$C$7/12</f>
        <v/>
      </c>
      <c r="L37" s="2">
        <f>IF(MAX(Inputs!$D$7-(A37-1),0)&lt;=0,0,(I37-J37)*((Inputs!$C$7/12)/(1-(1+Inputs!$C$7/12)^(-MAX(Inputs!$D$7-(A37-1),0)))-Inputs!$C$7/12))</f>
        <v/>
      </c>
      <c r="M37" s="2">
        <f>(I37-J37-L37)*Inputs!$B$32</f>
        <v/>
      </c>
      <c r="N37" s="2">
        <f>I37-J37-L37-M37</f>
        <v/>
      </c>
      <c r="O37" s="2">
        <f>T36</f>
        <v/>
      </c>
      <c r="P37" s="2">
        <f>O37*Inputs!$B$33</f>
        <v/>
      </c>
      <c r="Q37" s="2">
        <f>(O37-P37)*Inputs!$C$8/12</f>
        <v/>
      </c>
      <c r="R37" s="2">
        <f>IF(MAX(Inputs!$D$8-(A37-1),0)&lt;=0,0,(O37-P37)*((Inputs!$C$8/12)/(1-(1+Inputs!$C$8/12)^(-MAX(Inputs!$D$8-(A37-1),0)))-Inputs!$C$8/12))</f>
        <v/>
      </c>
      <c r="S37" s="2">
        <f>(O37-P37-R37)*Inputs!$B$32</f>
        <v/>
      </c>
      <c r="T37" s="2">
        <f>O37-P37-R37-S37</f>
        <v/>
      </c>
      <c r="U37" s="2">
        <f>Z36</f>
        <v/>
      </c>
      <c r="V37" s="2">
        <f>U37*Inputs!$B$33</f>
        <v/>
      </c>
      <c r="W37" s="2">
        <f>(U37-V37)*Inputs!$C$9/12</f>
        <v/>
      </c>
      <c r="X37" s="2">
        <f>IF(MAX(Inputs!$D$9-(A37-1),0)&lt;=0,0,(U37-V37)*((Inputs!$C$9/12)/(1-(1+Inputs!$C$9/12)^(-MAX(Inputs!$D$9-(A37-1),0)))-Inputs!$C$9/12))</f>
        <v/>
      </c>
      <c r="Y37" s="2">
        <f>(U37-V37-X37)*Inputs!$B$32</f>
        <v/>
      </c>
      <c r="Z37" s="2">
        <f>U37-V37-X37-Y37</f>
        <v/>
      </c>
      <c r="AA37" s="2">
        <f>AF36</f>
        <v/>
      </c>
      <c r="AB37" s="2">
        <f>AA37*Inputs!$B$33</f>
        <v/>
      </c>
      <c r="AC37" s="2">
        <f>(AA37-AB37)*Inputs!$C$10/12</f>
        <v/>
      </c>
      <c r="AD37" s="2">
        <f>IF(MAX(Inputs!$D$10-(A37-1),0)&lt;=0,0,(AA37-AB37)*((Inputs!$C$10/12)/(1-(1+Inputs!$C$10/12)^(-MAX(Inputs!$D$10-(A37-1),0)))-Inputs!$C$10/12))</f>
        <v/>
      </c>
      <c r="AE37" s="2">
        <f>(AA37-AB37-AD37)*Inputs!$B$32</f>
        <v/>
      </c>
      <c r="AF37" s="2">
        <f>AA37-AB37-AD37-AE37</f>
        <v/>
      </c>
      <c r="AG37" s="2">
        <f>AL36</f>
        <v/>
      </c>
      <c r="AH37" s="2">
        <f>AG37*Inputs!$B$33</f>
        <v/>
      </c>
      <c r="AI37" s="2">
        <f>(AG37-AH37)*Inputs!$C$11/12</f>
        <v/>
      </c>
      <c r="AJ37" s="2">
        <f>IF(MAX(Inputs!$D$11-(A37-1),0)&lt;=0,0,(AG37-AH37)*((Inputs!$C$11/12)/(1-(1+Inputs!$C$11/12)^(-MAX(Inputs!$D$11-(A37-1),0)))-Inputs!$C$11/12))</f>
        <v/>
      </c>
      <c r="AK37" s="2">
        <f>(AG37-AH37-AJ37)*Inputs!$B$32</f>
        <v/>
      </c>
      <c r="AL37" s="2">
        <f>AG37-AH37-AJ37-AK37</f>
        <v/>
      </c>
      <c r="AM37" s="2">
        <f>AR36</f>
        <v/>
      </c>
      <c r="AN37" s="2">
        <f>AM37*Inputs!$B$33</f>
        <v/>
      </c>
      <c r="AO37" s="2">
        <f>(AM37-AN37)*Inputs!$C$12/12</f>
        <v/>
      </c>
      <c r="AP37" s="2">
        <f>IF(MAX(Inputs!$D$12-(A37-1),0)&lt;=0,0,(AM37-AN37)*((Inputs!$C$12/12)/(1-(1+Inputs!$C$12/12)^(-MAX(Inputs!$D$12-(A37-1),0)))-Inputs!$C$12/12))</f>
        <v/>
      </c>
      <c r="AQ37" s="2">
        <f>(AM37-AN37-AP37)*Inputs!$B$32</f>
        <v/>
      </c>
      <c r="AR37" s="2">
        <f>AM37-AN37-AP37-AQ37</f>
        <v/>
      </c>
      <c r="AS37" s="2">
        <f>AX36</f>
        <v/>
      </c>
      <c r="AT37" s="2">
        <f>AS37*Inputs!$B$33</f>
        <v/>
      </c>
      <c r="AU37" s="2">
        <f>(AS37-AT37)*Inputs!$C$13/12</f>
        <v/>
      </c>
      <c r="AV37" s="2">
        <f>IF(MAX(Inputs!$D$13-(A37-1),0)&lt;=0,0,(AS37-AT37)*((Inputs!$C$13/12)/(1-(1+Inputs!$C$13/12)^(-MAX(Inputs!$D$13-(A37-1),0)))-Inputs!$C$13/12))</f>
        <v/>
      </c>
      <c r="AW37" s="2">
        <f>(AS37-AT37-AV37)*Inputs!$B$32</f>
        <v/>
      </c>
      <c r="AX37" s="2">
        <f>AS37-AT37-AV37-AW37</f>
        <v/>
      </c>
      <c r="AY37" s="2">
        <f>BD36</f>
        <v/>
      </c>
      <c r="AZ37" s="2">
        <f>AY37*Inputs!$B$33</f>
        <v/>
      </c>
      <c r="BA37" s="2">
        <f>(AY37-AZ37)*Inputs!$C$14/12</f>
        <v/>
      </c>
      <c r="BB37" s="2">
        <f>IF(MAX(Inputs!$D$14-(A37-1),0)&lt;=0,0,(AY37-AZ37)*((Inputs!$C$14/12)/(1-(1+Inputs!$C$14/12)^(-MAX(Inputs!$D$14-(A37-1),0)))-Inputs!$C$14/12))</f>
        <v/>
      </c>
      <c r="BC37" s="2">
        <f>(AY37-AZ37-BB37)*Inputs!$B$32</f>
        <v/>
      </c>
      <c r="BD37" s="2">
        <f>AY37-AZ37-BB37-BC37</f>
        <v/>
      </c>
      <c r="BE37" s="2">
        <f>BJ36</f>
        <v/>
      </c>
      <c r="BF37" s="2">
        <f>BE37*Inputs!$B$33</f>
        <v/>
      </c>
      <c r="BG37" s="2">
        <f>(BE37-BF37)*Inputs!$C$15/12</f>
        <v/>
      </c>
      <c r="BH37" s="2">
        <f>IF(MAX(Inputs!$D$15-(A37-1),0)&lt;=0,0,(BE37-BF37)*((Inputs!$C$15/12)/(1-(1+Inputs!$C$15/12)^(-MAX(Inputs!$D$15-(A37-1),0)))-Inputs!$C$15/12))</f>
        <v/>
      </c>
      <c r="BI37" s="2">
        <f>(BE37-BF37-BH37)*Inputs!$B$32</f>
        <v/>
      </c>
      <c r="BJ37" s="2">
        <f>BE37-BF37-BH37-BI37</f>
        <v/>
      </c>
      <c r="BK37" s="2">
        <f>C37+I37+O37+U37+AA37+AG37+AM37+AS37+AY37+BE37</f>
        <v/>
      </c>
      <c r="BL37" s="2">
        <f>D37+J37+P37+V37+AB37+AH37+AN37+AT37+AZ37+BF37</f>
        <v/>
      </c>
      <c r="BM37" s="2">
        <f>E37+K37+Q37+W37+AC37+AI37+AO37+AU37+BA37+BG37</f>
        <v/>
      </c>
      <c r="BN37" s="2">
        <f>F37+L37+R37+X37+AD37+AJ37+AP37+AV37+BB37+BH37</f>
        <v/>
      </c>
      <c r="BO37" s="2">
        <f>G37+M37+S37+Y37+AE37+AK37+AQ37+AW37+BC37+BI37</f>
        <v/>
      </c>
      <c r="BP37" s="2">
        <f>H37+N37+T37+Z37+AF37+AL37+AR37+AX37+BD37+BJ37</f>
        <v/>
      </c>
      <c r="BQ37" s="2">
        <f>IF(A37-Inputs!$B$30&gt;=1,INDEX($BL$5:$BL$101,A37-Inputs!$B$30+1)*(1-Inputs!$B$29),0)</f>
        <v/>
      </c>
      <c r="BR37" s="2">
        <f>BR36+BL37</f>
        <v/>
      </c>
      <c r="BS37" s="2">
        <f>BS36+BQ37</f>
        <v/>
      </c>
      <c r="BT37" s="2">
        <f>BR37*Inputs!$B$29</f>
        <v/>
      </c>
      <c r="BU37" s="2">
        <f>BR37*(1-Inputs!$B$29)-BS37</f>
        <v/>
      </c>
      <c r="BV37" s="2">
        <f>BP37+BU37</f>
        <v/>
      </c>
      <c r="BW37" s="2">
        <f>BM37+BN37+BO37+BQ37</f>
        <v/>
      </c>
      <c r="BX37" s="8">
        <f>BK37-BL37-BN37-BO37-BP37</f>
        <v/>
      </c>
    </row>
    <row r="38">
      <c r="A38" s="7" t="n">
        <v>33</v>
      </c>
      <c r="B38" s="3">
        <f>Inputs!$B$36+(Inputs!$B$37-Inputs!$B$36)*(1-EXP(-A38/Inputs!$B$38))+Inputs!$B$31/10000</f>
        <v/>
      </c>
      <c r="C38" s="2">
        <f>H37</f>
        <v/>
      </c>
      <c r="D38" s="2">
        <f>C38*Inputs!$B$33</f>
        <v/>
      </c>
      <c r="E38" s="2">
        <f>(C38-D38)*Inputs!$C$6/12</f>
        <v/>
      </c>
      <c r="F38" s="2">
        <f>IF(MAX(Inputs!$D$6-(A38-1),0)&lt;=0,0,(C38-D38)*((Inputs!$C$6/12)/(1-(1+Inputs!$C$6/12)^(-MAX(Inputs!$D$6-(A38-1),0)))-Inputs!$C$6/12))</f>
        <v/>
      </c>
      <c r="G38" s="2">
        <f>(C38-D38-F38)*Inputs!$B$32</f>
        <v/>
      </c>
      <c r="H38" s="2">
        <f>C38-D38-F38-G38</f>
        <v/>
      </c>
      <c r="I38" s="2">
        <f>N37</f>
        <v/>
      </c>
      <c r="J38" s="2">
        <f>I38*Inputs!$B$33</f>
        <v/>
      </c>
      <c r="K38" s="2">
        <f>(I38-J38)*Inputs!$C$7/12</f>
        <v/>
      </c>
      <c r="L38" s="2">
        <f>IF(MAX(Inputs!$D$7-(A38-1),0)&lt;=0,0,(I38-J38)*((Inputs!$C$7/12)/(1-(1+Inputs!$C$7/12)^(-MAX(Inputs!$D$7-(A38-1),0)))-Inputs!$C$7/12))</f>
        <v/>
      </c>
      <c r="M38" s="2">
        <f>(I38-J38-L38)*Inputs!$B$32</f>
        <v/>
      </c>
      <c r="N38" s="2">
        <f>I38-J38-L38-M38</f>
        <v/>
      </c>
      <c r="O38" s="2">
        <f>T37</f>
        <v/>
      </c>
      <c r="P38" s="2">
        <f>O38*Inputs!$B$33</f>
        <v/>
      </c>
      <c r="Q38" s="2">
        <f>(O38-P38)*Inputs!$C$8/12</f>
        <v/>
      </c>
      <c r="R38" s="2">
        <f>IF(MAX(Inputs!$D$8-(A38-1),0)&lt;=0,0,(O38-P38)*((Inputs!$C$8/12)/(1-(1+Inputs!$C$8/12)^(-MAX(Inputs!$D$8-(A38-1),0)))-Inputs!$C$8/12))</f>
        <v/>
      </c>
      <c r="S38" s="2">
        <f>(O38-P38-R38)*Inputs!$B$32</f>
        <v/>
      </c>
      <c r="T38" s="2">
        <f>O38-P38-R38-S38</f>
        <v/>
      </c>
      <c r="U38" s="2">
        <f>Z37</f>
        <v/>
      </c>
      <c r="V38" s="2">
        <f>U38*Inputs!$B$33</f>
        <v/>
      </c>
      <c r="W38" s="2">
        <f>(U38-V38)*Inputs!$C$9/12</f>
        <v/>
      </c>
      <c r="X38" s="2">
        <f>IF(MAX(Inputs!$D$9-(A38-1),0)&lt;=0,0,(U38-V38)*((Inputs!$C$9/12)/(1-(1+Inputs!$C$9/12)^(-MAX(Inputs!$D$9-(A38-1),0)))-Inputs!$C$9/12))</f>
        <v/>
      </c>
      <c r="Y38" s="2">
        <f>(U38-V38-X38)*Inputs!$B$32</f>
        <v/>
      </c>
      <c r="Z38" s="2">
        <f>U38-V38-X38-Y38</f>
        <v/>
      </c>
      <c r="AA38" s="2">
        <f>AF37</f>
        <v/>
      </c>
      <c r="AB38" s="2">
        <f>AA38*Inputs!$B$33</f>
        <v/>
      </c>
      <c r="AC38" s="2">
        <f>(AA38-AB38)*Inputs!$C$10/12</f>
        <v/>
      </c>
      <c r="AD38" s="2">
        <f>IF(MAX(Inputs!$D$10-(A38-1),0)&lt;=0,0,(AA38-AB38)*((Inputs!$C$10/12)/(1-(1+Inputs!$C$10/12)^(-MAX(Inputs!$D$10-(A38-1),0)))-Inputs!$C$10/12))</f>
        <v/>
      </c>
      <c r="AE38" s="2">
        <f>(AA38-AB38-AD38)*Inputs!$B$32</f>
        <v/>
      </c>
      <c r="AF38" s="2">
        <f>AA38-AB38-AD38-AE38</f>
        <v/>
      </c>
      <c r="AG38" s="2">
        <f>AL37</f>
        <v/>
      </c>
      <c r="AH38" s="2">
        <f>AG38*Inputs!$B$33</f>
        <v/>
      </c>
      <c r="AI38" s="2">
        <f>(AG38-AH38)*Inputs!$C$11/12</f>
        <v/>
      </c>
      <c r="AJ38" s="2">
        <f>IF(MAX(Inputs!$D$11-(A38-1),0)&lt;=0,0,(AG38-AH38)*((Inputs!$C$11/12)/(1-(1+Inputs!$C$11/12)^(-MAX(Inputs!$D$11-(A38-1),0)))-Inputs!$C$11/12))</f>
        <v/>
      </c>
      <c r="AK38" s="2">
        <f>(AG38-AH38-AJ38)*Inputs!$B$32</f>
        <v/>
      </c>
      <c r="AL38" s="2">
        <f>AG38-AH38-AJ38-AK38</f>
        <v/>
      </c>
      <c r="AM38" s="2">
        <f>AR37</f>
        <v/>
      </c>
      <c r="AN38" s="2">
        <f>AM38*Inputs!$B$33</f>
        <v/>
      </c>
      <c r="AO38" s="2">
        <f>(AM38-AN38)*Inputs!$C$12/12</f>
        <v/>
      </c>
      <c r="AP38" s="2">
        <f>IF(MAX(Inputs!$D$12-(A38-1),0)&lt;=0,0,(AM38-AN38)*((Inputs!$C$12/12)/(1-(1+Inputs!$C$12/12)^(-MAX(Inputs!$D$12-(A38-1),0)))-Inputs!$C$12/12))</f>
        <v/>
      </c>
      <c r="AQ38" s="2">
        <f>(AM38-AN38-AP38)*Inputs!$B$32</f>
        <v/>
      </c>
      <c r="AR38" s="2">
        <f>AM38-AN38-AP38-AQ38</f>
        <v/>
      </c>
      <c r="AS38" s="2">
        <f>AX37</f>
        <v/>
      </c>
      <c r="AT38" s="2">
        <f>AS38*Inputs!$B$33</f>
        <v/>
      </c>
      <c r="AU38" s="2">
        <f>(AS38-AT38)*Inputs!$C$13/12</f>
        <v/>
      </c>
      <c r="AV38" s="2">
        <f>IF(MAX(Inputs!$D$13-(A38-1),0)&lt;=0,0,(AS38-AT38)*((Inputs!$C$13/12)/(1-(1+Inputs!$C$13/12)^(-MAX(Inputs!$D$13-(A38-1),0)))-Inputs!$C$13/12))</f>
        <v/>
      </c>
      <c r="AW38" s="2">
        <f>(AS38-AT38-AV38)*Inputs!$B$32</f>
        <v/>
      </c>
      <c r="AX38" s="2">
        <f>AS38-AT38-AV38-AW38</f>
        <v/>
      </c>
      <c r="AY38" s="2">
        <f>BD37</f>
        <v/>
      </c>
      <c r="AZ38" s="2">
        <f>AY38*Inputs!$B$33</f>
        <v/>
      </c>
      <c r="BA38" s="2">
        <f>(AY38-AZ38)*Inputs!$C$14/12</f>
        <v/>
      </c>
      <c r="BB38" s="2">
        <f>IF(MAX(Inputs!$D$14-(A38-1),0)&lt;=0,0,(AY38-AZ38)*((Inputs!$C$14/12)/(1-(1+Inputs!$C$14/12)^(-MAX(Inputs!$D$14-(A38-1),0)))-Inputs!$C$14/12))</f>
        <v/>
      </c>
      <c r="BC38" s="2">
        <f>(AY38-AZ38-BB38)*Inputs!$B$32</f>
        <v/>
      </c>
      <c r="BD38" s="2">
        <f>AY38-AZ38-BB38-BC38</f>
        <v/>
      </c>
      <c r="BE38" s="2">
        <f>BJ37</f>
        <v/>
      </c>
      <c r="BF38" s="2">
        <f>BE38*Inputs!$B$33</f>
        <v/>
      </c>
      <c r="BG38" s="2">
        <f>(BE38-BF38)*Inputs!$C$15/12</f>
        <v/>
      </c>
      <c r="BH38" s="2">
        <f>IF(MAX(Inputs!$D$15-(A38-1),0)&lt;=0,0,(BE38-BF38)*((Inputs!$C$15/12)/(1-(1+Inputs!$C$15/12)^(-MAX(Inputs!$D$15-(A38-1),0)))-Inputs!$C$15/12))</f>
        <v/>
      </c>
      <c r="BI38" s="2">
        <f>(BE38-BF38-BH38)*Inputs!$B$32</f>
        <v/>
      </c>
      <c r="BJ38" s="2">
        <f>BE38-BF38-BH38-BI38</f>
        <v/>
      </c>
      <c r="BK38" s="2">
        <f>C38+I38+O38+U38+AA38+AG38+AM38+AS38+AY38+BE38</f>
        <v/>
      </c>
      <c r="BL38" s="2">
        <f>D38+J38+P38+V38+AB38+AH38+AN38+AT38+AZ38+BF38</f>
        <v/>
      </c>
      <c r="BM38" s="2">
        <f>E38+K38+Q38+W38+AC38+AI38+AO38+AU38+BA38+BG38</f>
        <v/>
      </c>
      <c r="BN38" s="2">
        <f>F38+L38+R38+X38+AD38+AJ38+AP38+AV38+BB38+BH38</f>
        <v/>
      </c>
      <c r="BO38" s="2">
        <f>G38+M38+S38+Y38+AE38+AK38+AQ38+AW38+BC38+BI38</f>
        <v/>
      </c>
      <c r="BP38" s="2">
        <f>H38+N38+T38+Z38+AF38+AL38+AR38+AX38+BD38+BJ38</f>
        <v/>
      </c>
      <c r="BQ38" s="2">
        <f>IF(A38-Inputs!$B$30&gt;=1,INDEX($BL$5:$BL$101,A38-Inputs!$B$30+1)*(1-Inputs!$B$29),0)</f>
        <v/>
      </c>
      <c r="BR38" s="2">
        <f>BR37+BL38</f>
        <v/>
      </c>
      <c r="BS38" s="2">
        <f>BS37+BQ38</f>
        <v/>
      </c>
      <c r="BT38" s="2">
        <f>BR38*Inputs!$B$29</f>
        <v/>
      </c>
      <c r="BU38" s="2">
        <f>BR38*(1-Inputs!$B$29)-BS38</f>
        <v/>
      </c>
      <c r="BV38" s="2">
        <f>BP38+BU38</f>
        <v/>
      </c>
      <c r="BW38" s="2">
        <f>BM38+BN38+BO38+BQ38</f>
        <v/>
      </c>
      <c r="BX38" s="8">
        <f>BK38-BL38-BN38-BO38-BP38</f>
        <v/>
      </c>
    </row>
    <row r="39">
      <c r="A39" s="7" t="n">
        <v>34</v>
      </c>
      <c r="B39" s="3">
        <f>Inputs!$B$36+(Inputs!$B$37-Inputs!$B$36)*(1-EXP(-A39/Inputs!$B$38))+Inputs!$B$31/10000</f>
        <v/>
      </c>
      <c r="C39" s="2">
        <f>H38</f>
        <v/>
      </c>
      <c r="D39" s="2">
        <f>C39*Inputs!$B$33</f>
        <v/>
      </c>
      <c r="E39" s="2">
        <f>(C39-D39)*Inputs!$C$6/12</f>
        <v/>
      </c>
      <c r="F39" s="2">
        <f>IF(MAX(Inputs!$D$6-(A39-1),0)&lt;=0,0,(C39-D39)*((Inputs!$C$6/12)/(1-(1+Inputs!$C$6/12)^(-MAX(Inputs!$D$6-(A39-1),0)))-Inputs!$C$6/12))</f>
        <v/>
      </c>
      <c r="G39" s="2">
        <f>(C39-D39-F39)*Inputs!$B$32</f>
        <v/>
      </c>
      <c r="H39" s="2">
        <f>C39-D39-F39-G39</f>
        <v/>
      </c>
      <c r="I39" s="2">
        <f>N38</f>
        <v/>
      </c>
      <c r="J39" s="2">
        <f>I39*Inputs!$B$33</f>
        <v/>
      </c>
      <c r="K39" s="2">
        <f>(I39-J39)*Inputs!$C$7/12</f>
        <v/>
      </c>
      <c r="L39" s="2">
        <f>IF(MAX(Inputs!$D$7-(A39-1),0)&lt;=0,0,(I39-J39)*((Inputs!$C$7/12)/(1-(1+Inputs!$C$7/12)^(-MAX(Inputs!$D$7-(A39-1),0)))-Inputs!$C$7/12))</f>
        <v/>
      </c>
      <c r="M39" s="2">
        <f>(I39-J39-L39)*Inputs!$B$32</f>
        <v/>
      </c>
      <c r="N39" s="2">
        <f>I39-J39-L39-M39</f>
        <v/>
      </c>
      <c r="O39" s="2">
        <f>T38</f>
        <v/>
      </c>
      <c r="P39" s="2">
        <f>O39*Inputs!$B$33</f>
        <v/>
      </c>
      <c r="Q39" s="2">
        <f>(O39-P39)*Inputs!$C$8/12</f>
        <v/>
      </c>
      <c r="R39" s="2">
        <f>IF(MAX(Inputs!$D$8-(A39-1),0)&lt;=0,0,(O39-P39)*((Inputs!$C$8/12)/(1-(1+Inputs!$C$8/12)^(-MAX(Inputs!$D$8-(A39-1),0)))-Inputs!$C$8/12))</f>
        <v/>
      </c>
      <c r="S39" s="2">
        <f>(O39-P39-R39)*Inputs!$B$32</f>
        <v/>
      </c>
      <c r="T39" s="2">
        <f>O39-P39-R39-S39</f>
        <v/>
      </c>
      <c r="U39" s="2">
        <f>Z38</f>
        <v/>
      </c>
      <c r="V39" s="2">
        <f>U39*Inputs!$B$33</f>
        <v/>
      </c>
      <c r="W39" s="2">
        <f>(U39-V39)*Inputs!$C$9/12</f>
        <v/>
      </c>
      <c r="X39" s="2">
        <f>IF(MAX(Inputs!$D$9-(A39-1),0)&lt;=0,0,(U39-V39)*((Inputs!$C$9/12)/(1-(1+Inputs!$C$9/12)^(-MAX(Inputs!$D$9-(A39-1),0)))-Inputs!$C$9/12))</f>
        <v/>
      </c>
      <c r="Y39" s="2">
        <f>(U39-V39-X39)*Inputs!$B$32</f>
        <v/>
      </c>
      <c r="Z39" s="2">
        <f>U39-V39-X39-Y39</f>
        <v/>
      </c>
      <c r="AA39" s="2">
        <f>AF38</f>
        <v/>
      </c>
      <c r="AB39" s="2">
        <f>AA39*Inputs!$B$33</f>
        <v/>
      </c>
      <c r="AC39" s="2">
        <f>(AA39-AB39)*Inputs!$C$10/12</f>
        <v/>
      </c>
      <c r="AD39" s="2">
        <f>IF(MAX(Inputs!$D$10-(A39-1),0)&lt;=0,0,(AA39-AB39)*((Inputs!$C$10/12)/(1-(1+Inputs!$C$10/12)^(-MAX(Inputs!$D$10-(A39-1),0)))-Inputs!$C$10/12))</f>
        <v/>
      </c>
      <c r="AE39" s="2">
        <f>(AA39-AB39-AD39)*Inputs!$B$32</f>
        <v/>
      </c>
      <c r="AF39" s="2">
        <f>AA39-AB39-AD39-AE39</f>
        <v/>
      </c>
      <c r="AG39" s="2">
        <f>AL38</f>
        <v/>
      </c>
      <c r="AH39" s="2">
        <f>AG39*Inputs!$B$33</f>
        <v/>
      </c>
      <c r="AI39" s="2">
        <f>(AG39-AH39)*Inputs!$C$11/12</f>
        <v/>
      </c>
      <c r="AJ39" s="2">
        <f>IF(MAX(Inputs!$D$11-(A39-1),0)&lt;=0,0,(AG39-AH39)*((Inputs!$C$11/12)/(1-(1+Inputs!$C$11/12)^(-MAX(Inputs!$D$11-(A39-1),0)))-Inputs!$C$11/12))</f>
        <v/>
      </c>
      <c r="AK39" s="2">
        <f>(AG39-AH39-AJ39)*Inputs!$B$32</f>
        <v/>
      </c>
      <c r="AL39" s="2">
        <f>AG39-AH39-AJ39-AK39</f>
        <v/>
      </c>
      <c r="AM39" s="2">
        <f>AR38</f>
        <v/>
      </c>
      <c r="AN39" s="2">
        <f>AM39*Inputs!$B$33</f>
        <v/>
      </c>
      <c r="AO39" s="2">
        <f>(AM39-AN39)*Inputs!$C$12/12</f>
        <v/>
      </c>
      <c r="AP39" s="2">
        <f>IF(MAX(Inputs!$D$12-(A39-1),0)&lt;=0,0,(AM39-AN39)*((Inputs!$C$12/12)/(1-(1+Inputs!$C$12/12)^(-MAX(Inputs!$D$12-(A39-1),0)))-Inputs!$C$12/12))</f>
        <v/>
      </c>
      <c r="AQ39" s="2">
        <f>(AM39-AN39-AP39)*Inputs!$B$32</f>
        <v/>
      </c>
      <c r="AR39" s="2">
        <f>AM39-AN39-AP39-AQ39</f>
        <v/>
      </c>
      <c r="AS39" s="2">
        <f>AX38</f>
        <v/>
      </c>
      <c r="AT39" s="2">
        <f>AS39*Inputs!$B$33</f>
        <v/>
      </c>
      <c r="AU39" s="2">
        <f>(AS39-AT39)*Inputs!$C$13/12</f>
        <v/>
      </c>
      <c r="AV39" s="2">
        <f>IF(MAX(Inputs!$D$13-(A39-1),0)&lt;=0,0,(AS39-AT39)*((Inputs!$C$13/12)/(1-(1+Inputs!$C$13/12)^(-MAX(Inputs!$D$13-(A39-1),0)))-Inputs!$C$13/12))</f>
        <v/>
      </c>
      <c r="AW39" s="2">
        <f>(AS39-AT39-AV39)*Inputs!$B$32</f>
        <v/>
      </c>
      <c r="AX39" s="2">
        <f>AS39-AT39-AV39-AW39</f>
        <v/>
      </c>
      <c r="AY39" s="2">
        <f>BD38</f>
        <v/>
      </c>
      <c r="AZ39" s="2">
        <f>AY39*Inputs!$B$33</f>
        <v/>
      </c>
      <c r="BA39" s="2">
        <f>(AY39-AZ39)*Inputs!$C$14/12</f>
        <v/>
      </c>
      <c r="BB39" s="2">
        <f>IF(MAX(Inputs!$D$14-(A39-1),0)&lt;=0,0,(AY39-AZ39)*((Inputs!$C$14/12)/(1-(1+Inputs!$C$14/12)^(-MAX(Inputs!$D$14-(A39-1),0)))-Inputs!$C$14/12))</f>
        <v/>
      </c>
      <c r="BC39" s="2">
        <f>(AY39-AZ39-BB39)*Inputs!$B$32</f>
        <v/>
      </c>
      <c r="BD39" s="2">
        <f>AY39-AZ39-BB39-BC39</f>
        <v/>
      </c>
      <c r="BE39" s="2">
        <f>BJ38</f>
        <v/>
      </c>
      <c r="BF39" s="2">
        <f>BE39*Inputs!$B$33</f>
        <v/>
      </c>
      <c r="BG39" s="2">
        <f>(BE39-BF39)*Inputs!$C$15/12</f>
        <v/>
      </c>
      <c r="BH39" s="2">
        <f>IF(MAX(Inputs!$D$15-(A39-1),0)&lt;=0,0,(BE39-BF39)*((Inputs!$C$15/12)/(1-(1+Inputs!$C$15/12)^(-MAX(Inputs!$D$15-(A39-1),0)))-Inputs!$C$15/12))</f>
        <v/>
      </c>
      <c r="BI39" s="2">
        <f>(BE39-BF39-BH39)*Inputs!$B$32</f>
        <v/>
      </c>
      <c r="BJ39" s="2">
        <f>BE39-BF39-BH39-BI39</f>
        <v/>
      </c>
      <c r="BK39" s="2">
        <f>C39+I39+O39+U39+AA39+AG39+AM39+AS39+AY39+BE39</f>
        <v/>
      </c>
      <c r="BL39" s="2">
        <f>D39+J39+P39+V39+AB39+AH39+AN39+AT39+AZ39+BF39</f>
        <v/>
      </c>
      <c r="BM39" s="2">
        <f>E39+K39+Q39+W39+AC39+AI39+AO39+AU39+BA39+BG39</f>
        <v/>
      </c>
      <c r="BN39" s="2">
        <f>F39+L39+R39+X39+AD39+AJ39+AP39+AV39+BB39+BH39</f>
        <v/>
      </c>
      <c r="BO39" s="2">
        <f>G39+M39+S39+Y39+AE39+AK39+AQ39+AW39+BC39+BI39</f>
        <v/>
      </c>
      <c r="BP39" s="2">
        <f>H39+N39+T39+Z39+AF39+AL39+AR39+AX39+BD39+BJ39</f>
        <v/>
      </c>
      <c r="BQ39" s="2">
        <f>IF(A39-Inputs!$B$30&gt;=1,INDEX($BL$5:$BL$101,A39-Inputs!$B$30+1)*(1-Inputs!$B$29),0)</f>
        <v/>
      </c>
      <c r="BR39" s="2">
        <f>BR38+BL39</f>
        <v/>
      </c>
      <c r="BS39" s="2">
        <f>BS38+BQ39</f>
        <v/>
      </c>
      <c r="BT39" s="2">
        <f>BR39*Inputs!$B$29</f>
        <v/>
      </c>
      <c r="BU39" s="2">
        <f>BR39*(1-Inputs!$B$29)-BS39</f>
        <v/>
      </c>
      <c r="BV39" s="2">
        <f>BP39+BU39</f>
        <v/>
      </c>
      <c r="BW39" s="2">
        <f>BM39+BN39+BO39+BQ39</f>
        <v/>
      </c>
      <c r="BX39" s="8">
        <f>BK39-BL39-BN39-BO39-BP39</f>
        <v/>
      </c>
    </row>
    <row r="40">
      <c r="A40" s="7" t="n">
        <v>35</v>
      </c>
      <c r="B40" s="3">
        <f>Inputs!$B$36+(Inputs!$B$37-Inputs!$B$36)*(1-EXP(-A40/Inputs!$B$38))+Inputs!$B$31/10000</f>
        <v/>
      </c>
      <c r="C40" s="2">
        <f>H39</f>
        <v/>
      </c>
      <c r="D40" s="2">
        <f>C40*Inputs!$B$33</f>
        <v/>
      </c>
      <c r="E40" s="2">
        <f>(C40-D40)*Inputs!$C$6/12</f>
        <v/>
      </c>
      <c r="F40" s="2">
        <f>IF(MAX(Inputs!$D$6-(A40-1),0)&lt;=0,0,(C40-D40)*((Inputs!$C$6/12)/(1-(1+Inputs!$C$6/12)^(-MAX(Inputs!$D$6-(A40-1),0)))-Inputs!$C$6/12))</f>
        <v/>
      </c>
      <c r="G40" s="2">
        <f>(C40-D40-F40)*Inputs!$B$32</f>
        <v/>
      </c>
      <c r="H40" s="2">
        <f>C40-D40-F40-G40</f>
        <v/>
      </c>
      <c r="I40" s="2">
        <f>N39</f>
        <v/>
      </c>
      <c r="J40" s="2">
        <f>I40*Inputs!$B$33</f>
        <v/>
      </c>
      <c r="K40" s="2">
        <f>(I40-J40)*Inputs!$C$7/12</f>
        <v/>
      </c>
      <c r="L40" s="2">
        <f>IF(MAX(Inputs!$D$7-(A40-1),0)&lt;=0,0,(I40-J40)*((Inputs!$C$7/12)/(1-(1+Inputs!$C$7/12)^(-MAX(Inputs!$D$7-(A40-1),0)))-Inputs!$C$7/12))</f>
        <v/>
      </c>
      <c r="M40" s="2">
        <f>(I40-J40-L40)*Inputs!$B$32</f>
        <v/>
      </c>
      <c r="N40" s="2">
        <f>I40-J40-L40-M40</f>
        <v/>
      </c>
      <c r="O40" s="2">
        <f>T39</f>
        <v/>
      </c>
      <c r="P40" s="2">
        <f>O40*Inputs!$B$33</f>
        <v/>
      </c>
      <c r="Q40" s="2">
        <f>(O40-P40)*Inputs!$C$8/12</f>
        <v/>
      </c>
      <c r="R40" s="2">
        <f>IF(MAX(Inputs!$D$8-(A40-1),0)&lt;=0,0,(O40-P40)*((Inputs!$C$8/12)/(1-(1+Inputs!$C$8/12)^(-MAX(Inputs!$D$8-(A40-1),0)))-Inputs!$C$8/12))</f>
        <v/>
      </c>
      <c r="S40" s="2">
        <f>(O40-P40-R40)*Inputs!$B$32</f>
        <v/>
      </c>
      <c r="T40" s="2">
        <f>O40-P40-R40-S40</f>
        <v/>
      </c>
      <c r="U40" s="2">
        <f>Z39</f>
        <v/>
      </c>
      <c r="V40" s="2">
        <f>U40*Inputs!$B$33</f>
        <v/>
      </c>
      <c r="W40" s="2">
        <f>(U40-V40)*Inputs!$C$9/12</f>
        <v/>
      </c>
      <c r="X40" s="2">
        <f>IF(MAX(Inputs!$D$9-(A40-1),0)&lt;=0,0,(U40-V40)*((Inputs!$C$9/12)/(1-(1+Inputs!$C$9/12)^(-MAX(Inputs!$D$9-(A40-1),0)))-Inputs!$C$9/12))</f>
        <v/>
      </c>
      <c r="Y40" s="2">
        <f>(U40-V40-X40)*Inputs!$B$32</f>
        <v/>
      </c>
      <c r="Z40" s="2">
        <f>U40-V40-X40-Y40</f>
        <v/>
      </c>
      <c r="AA40" s="2">
        <f>AF39</f>
        <v/>
      </c>
      <c r="AB40" s="2">
        <f>AA40*Inputs!$B$33</f>
        <v/>
      </c>
      <c r="AC40" s="2">
        <f>(AA40-AB40)*Inputs!$C$10/12</f>
        <v/>
      </c>
      <c r="AD40" s="2">
        <f>IF(MAX(Inputs!$D$10-(A40-1),0)&lt;=0,0,(AA40-AB40)*((Inputs!$C$10/12)/(1-(1+Inputs!$C$10/12)^(-MAX(Inputs!$D$10-(A40-1),0)))-Inputs!$C$10/12))</f>
        <v/>
      </c>
      <c r="AE40" s="2">
        <f>(AA40-AB40-AD40)*Inputs!$B$32</f>
        <v/>
      </c>
      <c r="AF40" s="2">
        <f>AA40-AB40-AD40-AE40</f>
        <v/>
      </c>
      <c r="AG40" s="2">
        <f>AL39</f>
        <v/>
      </c>
      <c r="AH40" s="2">
        <f>AG40*Inputs!$B$33</f>
        <v/>
      </c>
      <c r="AI40" s="2">
        <f>(AG40-AH40)*Inputs!$C$11/12</f>
        <v/>
      </c>
      <c r="AJ40" s="2">
        <f>IF(MAX(Inputs!$D$11-(A40-1),0)&lt;=0,0,(AG40-AH40)*((Inputs!$C$11/12)/(1-(1+Inputs!$C$11/12)^(-MAX(Inputs!$D$11-(A40-1),0)))-Inputs!$C$11/12))</f>
        <v/>
      </c>
      <c r="AK40" s="2">
        <f>(AG40-AH40-AJ40)*Inputs!$B$32</f>
        <v/>
      </c>
      <c r="AL40" s="2">
        <f>AG40-AH40-AJ40-AK40</f>
        <v/>
      </c>
      <c r="AM40" s="2">
        <f>AR39</f>
        <v/>
      </c>
      <c r="AN40" s="2">
        <f>AM40*Inputs!$B$33</f>
        <v/>
      </c>
      <c r="AO40" s="2">
        <f>(AM40-AN40)*Inputs!$C$12/12</f>
        <v/>
      </c>
      <c r="AP40" s="2">
        <f>IF(MAX(Inputs!$D$12-(A40-1),0)&lt;=0,0,(AM40-AN40)*((Inputs!$C$12/12)/(1-(1+Inputs!$C$12/12)^(-MAX(Inputs!$D$12-(A40-1),0)))-Inputs!$C$12/12))</f>
        <v/>
      </c>
      <c r="AQ40" s="2">
        <f>(AM40-AN40-AP40)*Inputs!$B$32</f>
        <v/>
      </c>
      <c r="AR40" s="2">
        <f>AM40-AN40-AP40-AQ40</f>
        <v/>
      </c>
      <c r="AS40" s="2">
        <f>AX39</f>
        <v/>
      </c>
      <c r="AT40" s="2">
        <f>AS40*Inputs!$B$33</f>
        <v/>
      </c>
      <c r="AU40" s="2">
        <f>(AS40-AT40)*Inputs!$C$13/12</f>
        <v/>
      </c>
      <c r="AV40" s="2">
        <f>IF(MAX(Inputs!$D$13-(A40-1),0)&lt;=0,0,(AS40-AT40)*((Inputs!$C$13/12)/(1-(1+Inputs!$C$13/12)^(-MAX(Inputs!$D$13-(A40-1),0)))-Inputs!$C$13/12))</f>
        <v/>
      </c>
      <c r="AW40" s="2">
        <f>(AS40-AT40-AV40)*Inputs!$B$32</f>
        <v/>
      </c>
      <c r="AX40" s="2">
        <f>AS40-AT40-AV40-AW40</f>
        <v/>
      </c>
      <c r="AY40" s="2">
        <f>BD39</f>
        <v/>
      </c>
      <c r="AZ40" s="2">
        <f>AY40*Inputs!$B$33</f>
        <v/>
      </c>
      <c r="BA40" s="2">
        <f>(AY40-AZ40)*Inputs!$C$14/12</f>
        <v/>
      </c>
      <c r="BB40" s="2">
        <f>IF(MAX(Inputs!$D$14-(A40-1),0)&lt;=0,0,(AY40-AZ40)*((Inputs!$C$14/12)/(1-(1+Inputs!$C$14/12)^(-MAX(Inputs!$D$14-(A40-1),0)))-Inputs!$C$14/12))</f>
        <v/>
      </c>
      <c r="BC40" s="2">
        <f>(AY40-AZ40-BB40)*Inputs!$B$32</f>
        <v/>
      </c>
      <c r="BD40" s="2">
        <f>AY40-AZ40-BB40-BC40</f>
        <v/>
      </c>
      <c r="BE40" s="2">
        <f>BJ39</f>
        <v/>
      </c>
      <c r="BF40" s="2">
        <f>BE40*Inputs!$B$33</f>
        <v/>
      </c>
      <c r="BG40" s="2">
        <f>(BE40-BF40)*Inputs!$C$15/12</f>
        <v/>
      </c>
      <c r="BH40" s="2">
        <f>IF(MAX(Inputs!$D$15-(A40-1),0)&lt;=0,0,(BE40-BF40)*((Inputs!$C$15/12)/(1-(1+Inputs!$C$15/12)^(-MAX(Inputs!$D$15-(A40-1),0)))-Inputs!$C$15/12))</f>
        <v/>
      </c>
      <c r="BI40" s="2">
        <f>(BE40-BF40-BH40)*Inputs!$B$32</f>
        <v/>
      </c>
      <c r="BJ40" s="2">
        <f>BE40-BF40-BH40-BI40</f>
        <v/>
      </c>
      <c r="BK40" s="2">
        <f>C40+I40+O40+U40+AA40+AG40+AM40+AS40+AY40+BE40</f>
        <v/>
      </c>
      <c r="BL40" s="2">
        <f>D40+J40+P40+V40+AB40+AH40+AN40+AT40+AZ40+BF40</f>
        <v/>
      </c>
      <c r="BM40" s="2">
        <f>E40+K40+Q40+W40+AC40+AI40+AO40+AU40+BA40+BG40</f>
        <v/>
      </c>
      <c r="BN40" s="2">
        <f>F40+L40+R40+X40+AD40+AJ40+AP40+AV40+BB40+BH40</f>
        <v/>
      </c>
      <c r="BO40" s="2">
        <f>G40+M40+S40+Y40+AE40+AK40+AQ40+AW40+BC40+BI40</f>
        <v/>
      </c>
      <c r="BP40" s="2">
        <f>H40+N40+T40+Z40+AF40+AL40+AR40+AX40+BD40+BJ40</f>
        <v/>
      </c>
      <c r="BQ40" s="2">
        <f>IF(A40-Inputs!$B$30&gt;=1,INDEX($BL$5:$BL$101,A40-Inputs!$B$30+1)*(1-Inputs!$B$29),0)</f>
        <v/>
      </c>
      <c r="BR40" s="2">
        <f>BR39+BL40</f>
        <v/>
      </c>
      <c r="BS40" s="2">
        <f>BS39+BQ40</f>
        <v/>
      </c>
      <c r="BT40" s="2">
        <f>BR40*Inputs!$B$29</f>
        <v/>
      </c>
      <c r="BU40" s="2">
        <f>BR40*(1-Inputs!$B$29)-BS40</f>
        <v/>
      </c>
      <c r="BV40" s="2">
        <f>BP40+BU40</f>
        <v/>
      </c>
      <c r="BW40" s="2">
        <f>BM40+BN40+BO40+BQ40</f>
        <v/>
      </c>
      <c r="BX40" s="8">
        <f>BK40-BL40-BN40-BO40-BP40</f>
        <v/>
      </c>
    </row>
    <row r="41">
      <c r="A41" s="7" t="n">
        <v>36</v>
      </c>
      <c r="B41" s="3">
        <f>Inputs!$B$36+(Inputs!$B$37-Inputs!$B$36)*(1-EXP(-A41/Inputs!$B$38))+Inputs!$B$31/10000</f>
        <v/>
      </c>
      <c r="C41" s="2">
        <f>H40</f>
        <v/>
      </c>
      <c r="D41" s="2">
        <f>C41*Inputs!$B$33</f>
        <v/>
      </c>
      <c r="E41" s="2">
        <f>(C41-D41)*Inputs!$C$6/12</f>
        <v/>
      </c>
      <c r="F41" s="2">
        <f>IF(MAX(Inputs!$D$6-(A41-1),0)&lt;=0,0,(C41-D41)*((Inputs!$C$6/12)/(1-(1+Inputs!$C$6/12)^(-MAX(Inputs!$D$6-(A41-1),0)))-Inputs!$C$6/12))</f>
        <v/>
      </c>
      <c r="G41" s="2">
        <f>(C41-D41-F41)*Inputs!$B$32</f>
        <v/>
      </c>
      <c r="H41" s="2">
        <f>C41-D41-F41-G41</f>
        <v/>
      </c>
      <c r="I41" s="2">
        <f>N40</f>
        <v/>
      </c>
      <c r="J41" s="2">
        <f>I41*Inputs!$B$33</f>
        <v/>
      </c>
      <c r="K41" s="2">
        <f>(I41-J41)*Inputs!$C$7/12</f>
        <v/>
      </c>
      <c r="L41" s="2">
        <f>IF(MAX(Inputs!$D$7-(A41-1),0)&lt;=0,0,(I41-J41)*((Inputs!$C$7/12)/(1-(1+Inputs!$C$7/12)^(-MAX(Inputs!$D$7-(A41-1),0)))-Inputs!$C$7/12))</f>
        <v/>
      </c>
      <c r="M41" s="2">
        <f>(I41-J41-L41)*Inputs!$B$32</f>
        <v/>
      </c>
      <c r="N41" s="2">
        <f>I41-J41-L41-M41</f>
        <v/>
      </c>
      <c r="O41" s="2">
        <f>T40</f>
        <v/>
      </c>
      <c r="P41" s="2">
        <f>O41*Inputs!$B$33</f>
        <v/>
      </c>
      <c r="Q41" s="2">
        <f>(O41-P41)*Inputs!$C$8/12</f>
        <v/>
      </c>
      <c r="R41" s="2">
        <f>IF(MAX(Inputs!$D$8-(A41-1),0)&lt;=0,0,(O41-P41)*((Inputs!$C$8/12)/(1-(1+Inputs!$C$8/12)^(-MAX(Inputs!$D$8-(A41-1),0)))-Inputs!$C$8/12))</f>
        <v/>
      </c>
      <c r="S41" s="2">
        <f>(O41-P41-R41)*Inputs!$B$32</f>
        <v/>
      </c>
      <c r="T41" s="2">
        <f>O41-P41-R41-S41</f>
        <v/>
      </c>
      <c r="U41" s="2">
        <f>Z40</f>
        <v/>
      </c>
      <c r="V41" s="2">
        <f>U41*Inputs!$B$33</f>
        <v/>
      </c>
      <c r="W41" s="2">
        <f>(U41-V41)*Inputs!$C$9/12</f>
        <v/>
      </c>
      <c r="X41" s="2">
        <f>IF(MAX(Inputs!$D$9-(A41-1),0)&lt;=0,0,(U41-V41)*((Inputs!$C$9/12)/(1-(1+Inputs!$C$9/12)^(-MAX(Inputs!$D$9-(A41-1),0)))-Inputs!$C$9/12))</f>
        <v/>
      </c>
      <c r="Y41" s="2">
        <f>(U41-V41-X41)*Inputs!$B$32</f>
        <v/>
      </c>
      <c r="Z41" s="2">
        <f>U41-V41-X41-Y41</f>
        <v/>
      </c>
      <c r="AA41" s="2">
        <f>AF40</f>
        <v/>
      </c>
      <c r="AB41" s="2">
        <f>AA41*Inputs!$B$33</f>
        <v/>
      </c>
      <c r="AC41" s="2">
        <f>(AA41-AB41)*Inputs!$C$10/12</f>
        <v/>
      </c>
      <c r="AD41" s="2">
        <f>IF(MAX(Inputs!$D$10-(A41-1),0)&lt;=0,0,(AA41-AB41)*((Inputs!$C$10/12)/(1-(1+Inputs!$C$10/12)^(-MAX(Inputs!$D$10-(A41-1),0)))-Inputs!$C$10/12))</f>
        <v/>
      </c>
      <c r="AE41" s="2">
        <f>(AA41-AB41-AD41)*Inputs!$B$32</f>
        <v/>
      </c>
      <c r="AF41" s="2">
        <f>AA41-AB41-AD41-AE41</f>
        <v/>
      </c>
      <c r="AG41" s="2">
        <f>AL40</f>
        <v/>
      </c>
      <c r="AH41" s="2">
        <f>AG41*Inputs!$B$33</f>
        <v/>
      </c>
      <c r="AI41" s="2">
        <f>(AG41-AH41)*Inputs!$C$11/12</f>
        <v/>
      </c>
      <c r="AJ41" s="2">
        <f>IF(MAX(Inputs!$D$11-(A41-1),0)&lt;=0,0,(AG41-AH41)*((Inputs!$C$11/12)/(1-(1+Inputs!$C$11/12)^(-MAX(Inputs!$D$11-(A41-1),0)))-Inputs!$C$11/12))</f>
        <v/>
      </c>
      <c r="AK41" s="2">
        <f>(AG41-AH41-AJ41)*Inputs!$B$32</f>
        <v/>
      </c>
      <c r="AL41" s="2">
        <f>AG41-AH41-AJ41-AK41</f>
        <v/>
      </c>
      <c r="AM41" s="2">
        <f>AR40</f>
        <v/>
      </c>
      <c r="AN41" s="2">
        <f>AM41*Inputs!$B$33</f>
        <v/>
      </c>
      <c r="AO41" s="2">
        <f>(AM41-AN41)*Inputs!$C$12/12</f>
        <v/>
      </c>
      <c r="AP41" s="2">
        <f>IF(MAX(Inputs!$D$12-(A41-1),0)&lt;=0,0,(AM41-AN41)*((Inputs!$C$12/12)/(1-(1+Inputs!$C$12/12)^(-MAX(Inputs!$D$12-(A41-1),0)))-Inputs!$C$12/12))</f>
        <v/>
      </c>
      <c r="AQ41" s="2">
        <f>(AM41-AN41-AP41)*Inputs!$B$32</f>
        <v/>
      </c>
      <c r="AR41" s="2">
        <f>AM41-AN41-AP41-AQ41</f>
        <v/>
      </c>
      <c r="AS41" s="2">
        <f>AX40</f>
        <v/>
      </c>
      <c r="AT41" s="2">
        <f>AS41*Inputs!$B$33</f>
        <v/>
      </c>
      <c r="AU41" s="2">
        <f>(AS41-AT41)*Inputs!$C$13/12</f>
        <v/>
      </c>
      <c r="AV41" s="2">
        <f>IF(MAX(Inputs!$D$13-(A41-1),0)&lt;=0,0,(AS41-AT41)*((Inputs!$C$13/12)/(1-(1+Inputs!$C$13/12)^(-MAX(Inputs!$D$13-(A41-1),0)))-Inputs!$C$13/12))</f>
        <v/>
      </c>
      <c r="AW41" s="2">
        <f>(AS41-AT41-AV41)*Inputs!$B$32</f>
        <v/>
      </c>
      <c r="AX41" s="2">
        <f>AS41-AT41-AV41-AW41</f>
        <v/>
      </c>
      <c r="AY41" s="2">
        <f>BD40</f>
        <v/>
      </c>
      <c r="AZ41" s="2">
        <f>AY41*Inputs!$B$33</f>
        <v/>
      </c>
      <c r="BA41" s="2">
        <f>(AY41-AZ41)*Inputs!$C$14/12</f>
        <v/>
      </c>
      <c r="BB41" s="2">
        <f>IF(MAX(Inputs!$D$14-(A41-1),0)&lt;=0,0,(AY41-AZ41)*((Inputs!$C$14/12)/(1-(1+Inputs!$C$14/12)^(-MAX(Inputs!$D$14-(A41-1),0)))-Inputs!$C$14/12))</f>
        <v/>
      </c>
      <c r="BC41" s="2">
        <f>(AY41-AZ41-BB41)*Inputs!$B$32</f>
        <v/>
      </c>
      <c r="BD41" s="2">
        <f>AY41-AZ41-BB41-BC41</f>
        <v/>
      </c>
      <c r="BE41" s="2">
        <f>BJ40</f>
        <v/>
      </c>
      <c r="BF41" s="2">
        <f>BE41*Inputs!$B$33</f>
        <v/>
      </c>
      <c r="BG41" s="2">
        <f>(BE41-BF41)*Inputs!$C$15/12</f>
        <v/>
      </c>
      <c r="BH41" s="2">
        <f>IF(MAX(Inputs!$D$15-(A41-1),0)&lt;=0,0,(BE41-BF41)*((Inputs!$C$15/12)/(1-(1+Inputs!$C$15/12)^(-MAX(Inputs!$D$15-(A41-1),0)))-Inputs!$C$15/12))</f>
        <v/>
      </c>
      <c r="BI41" s="2">
        <f>(BE41-BF41-BH41)*Inputs!$B$32</f>
        <v/>
      </c>
      <c r="BJ41" s="2">
        <f>BE41-BF41-BH41-BI41</f>
        <v/>
      </c>
      <c r="BK41" s="2">
        <f>C41+I41+O41+U41+AA41+AG41+AM41+AS41+AY41+BE41</f>
        <v/>
      </c>
      <c r="BL41" s="2">
        <f>D41+J41+P41+V41+AB41+AH41+AN41+AT41+AZ41+BF41</f>
        <v/>
      </c>
      <c r="BM41" s="2">
        <f>E41+K41+Q41+W41+AC41+AI41+AO41+AU41+BA41+BG41</f>
        <v/>
      </c>
      <c r="BN41" s="2">
        <f>F41+L41+R41+X41+AD41+AJ41+AP41+AV41+BB41+BH41</f>
        <v/>
      </c>
      <c r="BO41" s="2">
        <f>G41+M41+S41+Y41+AE41+AK41+AQ41+AW41+BC41+BI41</f>
        <v/>
      </c>
      <c r="BP41" s="2">
        <f>H41+N41+T41+Z41+AF41+AL41+AR41+AX41+BD41+BJ41</f>
        <v/>
      </c>
      <c r="BQ41" s="2">
        <f>IF(A41-Inputs!$B$30&gt;=1,INDEX($BL$5:$BL$101,A41-Inputs!$B$30+1)*(1-Inputs!$B$29),0)</f>
        <v/>
      </c>
      <c r="BR41" s="2">
        <f>BR40+BL41</f>
        <v/>
      </c>
      <c r="BS41" s="2">
        <f>BS40+BQ41</f>
        <v/>
      </c>
      <c r="BT41" s="2">
        <f>BR41*Inputs!$B$29</f>
        <v/>
      </c>
      <c r="BU41" s="2">
        <f>BR41*(1-Inputs!$B$29)-BS41</f>
        <v/>
      </c>
      <c r="BV41" s="2">
        <f>BP41+BU41</f>
        <v/>
      </c>
      <c r="BW41" s="2">
        <f>BM41+BN41+BO41+BQ41</f>
        <v/>
      </c>
      <c r="BX41" s="8">
        <f>BK41-BL41-BN41-BO41-BP41</f>
        <v/>
      </c>
    </row>
    <row r="42">
      <c r="A42" s="7" t="n">
        <v>37</v>
      </c>
      <c r="B42" s="3">
        <f>Inputs!$B$36+(Inputs!$B$37-Inputs!$B$36)*(1-EXP(-A42/Inputs!$B$38))+Inputs!$B$31/10000</f>
        <v/>
      </c>
      <c r="C42" s="2">
        <f>H41</f>
        <v/>
      </c>
      <c r="D42" s="2">
        <f>C42*Inputs!$B$33</f>
        <v/>
      </c>
      <c r="E42" s="2">
        <f>(C42-D42)*Inputs!$C$6/12</f>
        <v/>
      </c>
      <c r="F42" s="2">
        <f>IF(MAX(Inputs!$D$6-(A42-1),0)&lt;=0,0,(C42-D42)*((Inputs!$C$6/12)/(1-(1+Inputs!$C$6/12)^(-MAX(Inputs!$D$6-(A42-1),0)))-Inputs!$C$6/12))</f>
        <v/>
      </c>
      <c r="G42" s="2">
        <f>(C42-D42-F42)*Inputs!$B$32</f>
        <v/>
      </c>
      <c r="H42" s="2">
        <f>C42-D42-F42-G42</f>
        <v/>
      </c>
      <c r="I42" s="2">
        <f>N41</f>
        <v/>
      </c>
      <c r="J42" s="2">
        <f>I42*Inputs!$B$33</f>
        <v/>
      </c>
      <c r="K42" s="2">
        <f>(I42-J42)*Inputs!$C$7/12</f>
        <v/>
      </c>
      <c r="L42" s="2">
        <f>IF(MAX(Inputs!$D$7-(A42-1),0)&lt;=0,0,(I42-J42)*((Inputs!$C$7/12)/(1-(1+Inputs!$C$7/12)^(-MAX(Inputs!$D$7-(A42-1),0)))-Inputs!$C$7/12))</f>
        <v/>
      </c>
      <c r="M42" s="2">
        <f>(I42-J42-L42)*Inputs!$B$32</f>
        <v/>
      </c>
      <c r="N42" s="2">
        <f>I42-J42-L42-M42</f>
        <v/>
      </c>
      <c r="O42" s="2">
        <f>T41</f>
        <v/>
      </c>
      <c r="P42" s="2">
        <f>O42*Inputs!$B$33</f>
        <v/>
      </c>
      <c r="Q42" s="2">
        <f>(O42-P42)*Inputs!$C$8/12</f>
        <v/>
      </c>
      <c r="R42" s="2">
        <f>IF(MAX(Inputs!$D$8-(A42-1),0)&lt;=0,0,(O42-P42)*((Inputs!$C$8/12)/(1-(1+Inputs!$C$8/12)^(-MAX(Inputs!$D$8-(A42-1),0)))-Inputs!$C$8/12))</f>
        <v/>
      </c>
      <c r="S42" s="2">
        <f>(O42-P42-R42)*Inputs!$B$32</f>
        <v/>
      </c>
      <c r="T42" s="2">
        <f>O42-P42-R42-S42</f>
        <v/>
      </c>
      <c r="U42" s="2">
        <f>Z41</f>
        <v/>
      </c>
      <c r="V42" s="2">
        <f>U42*Inputs!$B$33</f>
        <v/>
      </c>
      <c r="W42" s="2">
        <f>(U42-V42)*Inputs!$C$9/12</f>
        <v/>
      </c>
      <c r="X42" s="2">
        <f>IF(MAX(Inputs!$D$9-(A42-1),0)&lt;=0,0,(U42-V42)*((Inputs!$C$9/12)/(1-(1+Inputs!$C$9/12)^(-MAX(Inputs!$D$9-(A42-1),0)))-Inputs!$C$9/12))</f>
        <v/>
      </c>
      <c r="Y42" s="2">
        <f>(U42-V42-X42)*Inputs!$B$32</f>
        <v/>
      </c>
      <c r="Z42" s="2">
        <f>U42-V42-X42-Y42</f>
        <v/>
      </c>
      <c r="AA42" s="2">
        <f>AF41</f>
        <v/>
      </c>
      <c r="AB42" s="2">
        <f>AA42*Inputs!$B$33</f>
        <v/>
      </c>
      <c r="AC42" s="2">
        <f>(AA42-AB42)*Inputs!$C$10/12</f>
        <v/>
      </c>
      <c r="AD42" s="2">
        <f>IF(MAX(Inputs!$D$10-(A42-1),0)&lt;=0,0,(AA42-AB42)*((Inputs!$C$10/12)/(1-(1+Inputs!$C$10/12)^(-MAX(Inputs!$D$10-(A42-1),0)))-Inputs!$C$10/12))</f>
        <v/>
      </c>
      <c r="AE42" s="2">
        <f>(AA42-AB42-AD42)*Inputs!$B$32</f>
        <v/>
      </c>
      <c r="AF42" s="2">
        <f>AA42-AB42-AD42-AE42</f>
        <v/>
      </c>
      <c r="AG42" s="2">
        <f>AL41</f>
        <v/>
      </c>
      <c r="AH42" s="2">
        <f>AG42*Inputs!$B$33</f>
        <v/>
      </c>
      <c r="AI42" s="2">
        <f>(AG42-AH42)*Inputs!$C$11/12</f>
        <v/>
      </c>
      <c r="AJ42" s="2">
        <f>IF(MAX(Inputs!$D$11-(A42-1),0)&lt;=0,0,(AG42-AH42)*((Inputs!$C$11/12)/(1-(1+Inputs!$C$11/12)^(-MAX(Inputs!$D$11-(A42-1),0)))-Inputs!$C$11/12))</f>
        <v/>
      </c>
      <c r="AK42" s="2">
        <f>(AG42-AH42-AJ42)*Inputs!$B$32</f>
        <v/>
      </c>
      <c r="AL42" s="2">
        <f>AG42-AH42-AJ42-AK42</f>
        <v/>
      </c>
      <c r="AM42" s="2">
        <f>AR41</f>
        <v/>
      </c>
      <c r="AN42" s="2">
        <f>AM42*Inputs!$B$33</f>
        <v/>
      </c>
      <c r="AO42" s="2">
        <f>(AM42-AN42)*Inputs!$C$12/12</f>
        <v/>
      </c>
      <c r="AP42" s="2">
        <f>IF(MAX(Inputs!$D$12-(A42-1),0)&lt;=0,0,(AM42-AN42)*((Inputs!$C$12/12)/(1-(1+Inputs!$C$12/12)^(-MAX(Inputs!$D$12-(A42-1),0)))-Inputs!$C$12/12))</f>
        <v/>
      </c>
      <c r="AQ42" s="2">
        <f>(AM42-AN42-AP42)*Inputs!$B$32</f>
        <v/>
      </c>
      <c r="AR42" s="2">
        <f>AM42-AN42-AP42-AQ42</f>
        <v/>
      </c>
      <c r="AS42" s="2">
        <f>AX41</f>
        <v/>
      </c>
      <c r="AT42" s="2">
        <f>AS42*Inputs!$B$33</f>
        <v/>
      </c>
      <c r="AU42" s="2">
        <f>(AS42-AT42)*Inputs!$C$13/12</f>
        <v/>
      </c>
      <c r="AV42" s="2">
        <f>IF(MAX(Inputs!$D$13-(A42-1),0)&lt;=0,0,(AS42-AT42)*((Inputs!$C$13/12)/(1-(1+Inputs!$C$13/12)^(-MAX(Inputs!$D$13-(A42-1),0)))-Inputs!$C$13/12))</f>
        <v/>
      </c>
      <c r="AW42" s="2">
        <f>(AS42-AT42-AV42)*Inputs!$B$32</f>
        <v/>
      </c>
      <c r="AX42" s="2">
        <f>AS42-AT42-AV42-AW42</f>
        <v/>
      </c>
      <c r="AY42" s="2">
        <f>BD41</f>
        <v/>
      </c>
      <c r="AZ42" s="2">
        <f>AY42*Inputs!$B$33</f>
        <v/>
      </c>
      <c r="BA42" s="2">
        <f>(AY42-AZ42)*Inputs!$C$14/12</f>
        <v/>
      </c>
      <c r="BB42" s="2">
        <f>IF(MAX(Inputs!$D$14-(A42-1),0)&lt;=0,0,(AY42-AZ42)*((Inputs!$C$14/12)/(1-(1+Inputs!$C$14/12)^(-MAX(Inputs!$D$14-(A42-1),0)))-Inputs!$C$14/12))</f>
        <v/>
      </c>
      <c r="BC42" s="2">
        <f>(AY42-AZ42-BB42)*Inputs!$B$32</f>
        <v/>
      </c>
      <c r="BD42" s="2">
        <f>AY42-AZ42-BB42-BC42</f>
        <v/>
      </c>
      <c r="BE42" s="2">
        <f>BJ41</f>
        <v/>
      </c>
      <c r="BF42" s="2">
        <f>BE42*Inputs!$B$33</f>
        <v/>
      </c>
      <c r="BG42" s="2">
        <f>(BE42-BF42)*Inputs!$C$15/12</f>
        <v/>
      </c>
      <c r="BH42" s="2">
        <f>IF(MAX(Inputs!$D$15-(A42-1),0)&lt;=0,0,(BE42-BF42)*((Inputs!$C$15/12)/(1-(1+Inputs!$C$15/12)^(-MAX(Inputs!$D$15-(A42-1),0)))-Inputs!$C$15/12))</f>
        <v/>
      </c>
      <c r="BI42" s="2">
        <f>(BE42-BF42-BH42)*Inputs!$B$32</f>
        <v/>
      </c>
      <c r="BJ42" s="2">
        <f>BE42-BF42-BH42-BI42</f>
        <v/>
      </c>
      <c r="BK42" s="2">
        <f>C42+I42+O42+U42+AA42+AG42+AM42+AS42+AY42+BE42</f>
        <v/>
      </c>
      <c r="BL42" s="2">
        <f>D42+J42+P42+V42+AB42+AH42+AN42+AT42+AZ42+BF42</f>
        <v/>
      </c>
      <c r="BM42" s="2">
        <f>E42+K42+Q42+W42+AC42+AI42+AO42+AU42+BA42+BG42</f>
        <v/>
      </c>
      <c r="BN42" s="2">
        <f>F42+L42+R42+X42+AD42+AJ42+AP42+AV42+BB42+BH42</f>
        <v/>
      </c>
      <c r="BO42" s="2">
        <f>G42+M42+S42+Y42+AE42+AK42+AQ42+AW42+BC42+BI42</f>
        <v/>
      </c>
      <c r="BP42" s="2">
        <f>H42+N42+T42+Z42+AF42+AL42+AR42+AX42+BD42+BJ42</f>
        <v/>
      </c>
      <c r="BQ42" s="2">
        <f>IF(A42-Inputs!$B$30&gt;=1,INDEX($BL$5:$BL$101,A42-Inputs!$B$30+1)*(1-Inputs!$B$29),0)</f>
        <v/>
      </c>
      <c r="BR42" s="2">
        <f>BR41+BL42</f>
        <v/>
      </c>
      <c r="BS42" s="2">
        <f>BS41+BQ42</f>
        <v/>
      </c>
      <c r="BT42" s="2">
        <f>BR42*Inputs!$B$29</f>
        <v/>
      </c>
      <c r="BU42" s="2">
        <f>BR42*(1-Inputs!$B$29)-BS42</f>
        <v/>
      </c>
      <c r="BV42" s="2">
        <f>BP42+BU42</f>
        <v/>
      </c>
      <c r="BW42" s="2">
        <f>BM42+BN42+BO42+BQ42</f>
        <v/>
      </c>
      <c r="BX42" s="8">
        <f>BK42-BL42-BN42-BO42-BP42</f>
        <v/>
      </c>
    </row>
    <row r="43">
      <c r="A43" s="7" t="n">
        <v>38</v>
      </c>
      <c r="B43" s="3">
        <f>Inputs!$B$36+(Inputs!$B$37-Inputs!$B$36)*(1-EXP(-A43/Inputs!$B$38))+Inputs!$B$31/10000</f>
        <v/>
      </c>
      <c r="C43" s="2">
        <f>H42</f>
        <v/>
      </c>
      <c r="D43" s="2">
        <f>C43*Inputs!$B$33</f>
        <v/>
      </c>
      <c r="E43" s="2">
        <f>(C43-D43)*Inputs!$C$6/12</f>
        <v/>
      </c>
      <c r="F43" s="2">
        <f>IF(MAX(Inputs!$D$6-(A43-1),0)&lt;=0,0,(C43-D43)*((Inputs!$C$6/12)/(1-(1+Inputs!$C$6/12)^(-MAX(Inputs!$D$6-(A43-1),0)))-Inputs!$C$6/12))</f>
        <v/>
      </c>
      <c r="G43" s="2">
        <f>(C43-D43-F43)*Inputs!$B$32</f>
        <v/>
      </c>
      <c r="H43" s="2">
        <f>C43-D43-F43-G43</f>
        <v/>
      </c>
      <c r="I43" s="2">
        <f>N42</f>
        <v/>
      </c>
      <c r="J43" s="2">
        <f>I43*Inputs!$B$33</f>
        <v/>
      </c>
      <c r="K43" s="2">
        <f>(I43-J43)*Inputs!$C$7/12</f>
        <v/>
      </c>
      <c r="L43" s="2">
        <f>IF(MAX(Inputs!$D$7-(A43-1),0)&lt;=0,0,(I43-J43)*((Inputs!$C$7/12)/(1-(1+Inputs!$C$7/12)^(-MAX(Inputs!$D$7-(A43-1),0)))-Inputs!$C$7/12))</f>
        <v/>
      </c>
      <c r="M43" s="2">
        <f>(I43-J43-L43)*Inputs!$B$32</f>
        <v/>
      </c>
      <c r="N43" s="2">
        <f>I43-J43-L43-M43</f>
        <v/>
      </c>
      <c r="O43" s="2">
        <f>T42</f>
        <v/>
      </c>
      <c r="P43" s="2">
        <f>O43*Inputs!$B$33</f>
        <v/>
      </c>
      <c r="Q43" s="2">
        <f>(O43-P43)*Inputs!$C$8/12</f>
        <v/>
      </c>
      <c r="R43" s="2">
        <f>IF(MAX(Inputs!$D$8-(A43-1),0)&lt;=0,0,(O43-P43)*((Inputs!$C$8/12)/(1-(1+Inputs!$C$8/12)^(-MAX(Inputs!$D$8-(A43-1),0)))-Inputs!$C$8/12))</f>
        <v/>
      </c>
      <c r="S43" s="2">
        <f>(O43-P43-R43)*Inputs!$B$32</f>
        <v/>
      </c>
      <c r="T43" s="2">
        <f>O43-P43-R43-S43</f>
        <v/>
      </c>
      <c r="U43" s="2">
        <f>Z42</f>
        <v/>
      </c>
      <c r="V43" s="2">
        <f>U43*Inputs!$B$33</f>
        <v/>
      </c>
      <c r="W43" s="2">
        <f>(U43-V43)*Inputs!$C$9/12</f>
        <v/>
      </c>
      <c r="X43" s="2">
        <f>IF(MAX(Inputs!$D$9-(A43-1),0)&lt;=0,0,(U43-V43)*((Inputs!$C$9/12)/(1-(1+Inputs!$C$9/12)^(-MAX(Inputs!$D$9-(A43-1),0)))-Inputs!$C$9/12))</f>
        <v/>
      </c>
      <c r="Y43" s="2">
        <f>(U43-V43-X43)*Inputs!$B$32</f>
        <v/>
      </c>
      <c r="Z43" s="2">
        <f>U43-V43-X43-Y43</f>
        <v/>
      </c>
      <c r="AA43" s="2">
        <f>AF42</f>
        <v/>
      </c>
      <c r="AB43" s="2">
        <f>AA43*Inputs!$B$33</f>
        <v/>
      </c>
      <c r="AC43" s="2">
        <f>(AA43-AB43)*Inputs!$C$10/12</f>
        <v/>
      </c>
      <c r="AD43" s="2">
        <f>IF(MAX(Inputs!$D$10-(A43-1),0)&lt;=0,0,(AA43-AB43)*((Inputs!$C$10/12)/(1-(1+Inputs!$C$10/12)^(-MAX(Inputs!$D$10-(A43-1),0)))-Inputs!$C$10/12))</f>
        <v/>
      </c>
      <c r="AE43" s="2">
        <f>(AA43-AB43-AD43)*Inputs!$B$32</f>
        <v/>
      </c>
      <c r="AF43" s="2">
        <f>AA43-AB43-AD43-AE43</f>
        <v/>
      </c>
      <c r="AG43" s="2">
        <f>AL42</f>
        <v/>
      </c>
      <c r="AH43" s="2">
        <f>AG43*Inputs!$B$33</f>
        <v/>
      </c>
      <c r="AI43" s="2">
        <f>(AG43-AH43)*Inputs!$C$11/12</f>
        <v/>
      </c>
      <c r="AJ43" s="2">
        <f>IF(MAX(Inputs!$D$11-(A43-1),0)&lt;=0,0,(AG43-AH43)*((Inputs!$C$11/12)/(1-(1+Inputs!$C$11/12)^(-MAX(Inputs!$D$11-(A43-1),0)))-Inputs!$C$11/12))</f>
        <v/>
      </c>
      <c r="AK43" s="2">
        <f>(AG43-AH43-AJ43)*Inputs!$B$32</f>
        <v/>
      </c>
      <c r="AL43" s="2">
        <f>AG43-AH43-AJ43-AK43</f>
        <v/>
      </c>
      <c r="AM43" s="2">
        <f>AR42</f>
        <v/>
      </c>
      <c r="AN43" s="2">
        <f>AM43*Inputs!$B$33</f>
        <v/>
      </c>
      <c r="AO43" s="2">
        <f>(AM43-AN43)*Inputs!$C$12/12</f>
        <v/>
      </c>
      <c r="AP43" s="2">
        <f>IF(MAX(Inputs!$D$12-(A43-1),0)&lt;=0,0,(AM43-AN43)*((Inputs!$C$12/12)/(1-(1+Inputs!$C$12/12)^(-MAX(Inputs!$D$12-(A43-1),0)))-Inputs!$C$12/12))</f>
        <v/>
      </c>
      <c r="AQ43" s="2">
        <f>(AM43-AN43-AP43)*Inputs!$B$32</f>
        <v/>
      </c>
      <c r="AR43" s="2">
        <f>AM43-AN43-AP43-AQ43</f>
        <v/>
      </c>
      <c r="AS43" s="2">
        <f>AX42</f>
        <v/>
      </c>
      <c r="AT43" s="2">
        <f>AS43*Inputs!$B$33</f>
        <v/>
      </c>
      <c r="AU43" s="2">
        <f>(AS43-AT43)*Inputs!$C$13/12</f>
        <v/>
      </c>
      <c r="AV43" s="2">
        <f>IF(MAX(Inputs!$D$13-(A43-1),0)&lt;=0,0,(AS43-AT43)*((Inputs!$C$13/12)/(1-(1+Inputs!$C$13/12)^(-MAX(Inputs!$D$13-(A43-1),0)))-Inputs!$C$13/12))</f>
        <v/>
      </c>
      <c r="AW43" s="2">
        <f>(AS43-AT43-AV43)*Inputs!$B$32</f>
        <v/>
      </c>
      <c r="AX43" s="2">
        <f>AS43-AT43-AV43-AW43</f>
        <v/>
      </c>
      <c r="AY43" s="2">
        <f>BD42</f>
        <v/>
      </c>
      <c r="AZ43" s="2">
        <f>AY43*Inputs!$B$33</f>
        <v/>
      </c>
      <c r="BA43" s="2">
        <f>(AY43-AZ43)*Inputs!$C$14/12</f>
        <v/>
      </c>
      <c r="BB43" s="2">
        <f>IF(MAX(Inputs!$D$14-(A43-1),0)&lt;=0,0,(AY43-AZ43)*((Inputs!$C$14/12)/(1-(1+Inputs!$C$14/12)^(-MAX(Inputs!$D$14-(A43-1),0)))-Inputs!$C$14/12))</f>
        <v/>
      </c>
      <c r="BC43" s="2">
        <f>(AY43-AZ43-BB43)*Inputs!$B$32</f>
        <v/>
      </c>
      <c r="BD43" s="2">
        <f>AY43-AZ43-BB43-BC43</f>
        <v/>
      </c>
      <c r="BE43" s="2">
        <f>BJ42</f>
        <v/>
      </c>
      <c r="BF43" s="2">
        <f>BE43*Inputs!$B$33</f>
        <v/>
      </c>
      <c r="BG43" s="2">
        <f>(BE43-BF43)*Inputs!$C$15/12</f>
        <v/>
      </c>
      <c r="BH43" s="2">
        <f>IF(MAX(Inputs!$D$15-(A43-1),0)&lt;=0,0,(BE43-BF43)*((Inputs!$C$15/12)/(1-(1+Inputs!$C$15/12)^(-MAX(Inputs!$D$15-(A43-1),0)))-Inputs!$C$15/12))</f>
        <v/>
      </c>
      <c r="BI43" s="2">
        <f>(BE43-BF43-BH43)*Inputs!$B$32</f>
        <v/>
      </c>
      <c r="BJ43" s="2">
        <f>BE43-BF43-BH43-BI43</f>
        <v/>
      </c>
      <c r="BK43" s="2">
        <f>C43+I43+O43+U43+AA43+AG43+AM43+AS43+AY43+BE43</f>
        <v/>
      </c>
      <c r="BL43" s="2">
        <f>D43+J43+P43+V43+AB43+AH43+AN43+AT43+AZ43+BF43</f>
        <v/>
      </c>
      <c r="BM43" s="2">
        <f>E43+K43+Q43+W43+AC43+AI43+AO43+AU43+BA43+BG43</f>
        <v/>
      </c>
      <c r="BN43" s="2">
        <f>F43+L43+R43+X43+AD43+AJ43+AP43+AV43+BB43+BH43</f>
        <v/>
      </c>
      <c r="BO43" s="2">
        <f>G43+M43+S43+Y43+AE43+AK43+AQ43+AW43+BC43+BI43</f>
        <v/>
      </c>
      <c r="BP43" s="2">
        <f>H43+N43+T43+Z43+AF43+AL43+AR43+AX43+BD43+BJ43</f>
        <v/>
      </c>
      <c r="BQ43" s="2">
        <f>IF(A43-Inputs!$B$30&gt;=1,INDEX($BL$5:$BL$101,A43-Inputs!$B$30+1)*(1-Inputs!$B$29),0)</f>
        <v/>
      </c>
      <c r="BR43" s="2">
        <f>BR42+BL43</f>
        <v/>
      </c>
      <c r="BS43" s="2">
        <f>BS42+BQ43</f>
        <v/>
      </c>
      <c r="BT43" s="2">
        <f>BR43*Inputs!$B$29</f>
        <v/>
      </c>
      <c r="BU43" s="2">
        <f>BR43*(1-Inputs!$B$29)-BS43</f>
        <v/>
      </c>
      <c r="BV43" s="2">
        <f>BP43+BU43</f>
        <v/>
      </c>
      <c r="BW43" s="2">
        <f>BM43+BN43+BO43+BQ43</f>
        <v/>
      </c>
      <c r="BX43" s="8">
        <f>BK43-BL43-BN43-BO43-BP43</f>
        <v/>
      </c>
    </row>
    <row r="44">
      <c r="A44" s="7" t="n">
        <v>39</v>
      </c>
      <c r="B44" s="3">
        <f>Inputs!$B$36+(Inputs!$B$37-Inputs!$B$36)*(1-EXP(-A44/Inputs!$B$38))+Inputs!$B$31/10000</f>
        <v/>
      </c>
      <c r="C44" s="2">
        <f>H43</f>
        <v/>
      </c>
      <c r="D44" s="2">
        <f>C44*Inputs!$B$33</f>
        <v/>
      </c>
      <c r="E44" s="2">
        <f>(C44-D44)*Inputs!$C$6/12</f>
        <v/>
      </c>
      <c r="F44" s="2">
        <f>IF(MAX(Inputs!$D$6-(A44-1),0)&lt;=0,0,(C44-D44)*((Inputs!$C$6/12)/(1-(1+Inputs!$C$6/12)^(-MAX(Inputs!$D$6-(A44-1),0)))-Inputs!$C$6/12))</f>
        <v/>
      </c>
      <c r="G44" s="2">
        <f>(C44-D44-F44)*Inputs!$B$32</f>
        <v/>
      </c>
      <c r="H44" s="2">
        <f>C44-D44-F44-G44</f>
        <v/>
      </c>
      <c r="I44" s="2">
        <f>N43</f>
        <v/>
      </c>
      <c r="J44" s="2">
        <f>I44*Inputs!$B$33</f>
        <v/>
      </c>
      <c r="K44" s="2">
        <f>(I44-J44)*Inputs!$C$7/12</f>
        <v/>
      </c>
      <c r="L44" s="2">
        <f>IF(MAX(Inputs!$D$7-(A44-1),0)&lt;=0,0,(I44-J44)*((Inputs!$C$7/12)/(1-(1+Inputs!$C$7/12)^(-MAX(Inputs!$D$7-(A44-1),0)))-Inputs!$C$7/12))</f>
        <v/>
      </c>
      <c r="M44" s="2">
        <f>(I44-J44-L44)*Inputs!$B$32</f>
        <v/>
      </c>
      <c r="N44" s="2">
        <f>I44-J44-L44-M44</f>
        <v/>
      </c>
      <c r="O44" s="2">
        <f>T43</f>
        <v/>
      </c>
      <c r="P44" s="2">
        <f>O44*Inputs!$B$33</f>
        <v/>
      </c>
      <c r="Q44" s="2">
        <f>(O44-P44)*Inputs!$C$8/12</f>
        <v/>
      </c>
      <c r="R44" s="2">
        <f>IF(MAX(Inputs!$D$8-(A44-1),0)&lt;=0,0,(O44-P44)*((Inputs!$C$8/12)/(1-(1+Inputs!$C$8/12)^(-MAX(Inputs!$D$8-(A44-1),0)))-Inputs!$C$8/12))</f>
        <v/>
      </c>
      <c r="S44" s="2">
        <f>(O44-P44-R44)*Inputs!$B$32</f>
        <v/>
      </c>
      <c r="T44" s="2">
        <f>O44-P44-R44-S44</f>
        <v/>
      </c>
      <c r="U44" s="2">
        <f>Z43</f>
        <v/>
      </c>
      <c r="V44" s="2">
        <f>U44*Inputs!$B$33</f>
        <v/>
      </c>
      <c r="W44" s="2">
        <f>(U44-V44)*Inputs!$C$9/12</f>
        <v/>
      </c>
      <c r="X44" s="2">
        <f>IF(MAX(Inputs!$D$9-(A44-1),0)&lt;=0,0,(U44-V44)*((Inputs!$C$9/12)/(1-(1+Inputs!$C$9/12)^(-MAX(Inputs!$D$9-(A44-1),0)))-Inputs!$C$9/12))</f>
        <v/>
      </c>
      <c r="Y44" s="2">
        <f>(U44-V44-X44)*Inputs!$B$32</f>
        <v/>
      </c>
      <c r="Z44" s="2">
        <f>U44-V44-X44-Y44</f>
        <v/>
      </c>
      <c r="AA44" s="2">
        <f>AF43</f>
        <v/>
      </c>
      <c r="AB44" s="2">
        <f>AA44*Inputs!$B$33</f>
        <v/>
      </c>
      <c r="AC44" s="2">
        <f>(AA44-AB44)*Inputs!$C$10/12</f>
        <v/>
      </c>
      <c r="AD44" s="2">
        <f>IF(MAX(Inputs!$D$10-(A44-1),0)&lt;=0,0,(AA44-AB44)*((Inputs!$C$10/12)/(1-(1+Inputs!$C$10/12)^(-MAX(Inputs!$D$10-(A44-1),0)))-Inputs!$C$10/12))</f>
        <v/>
      </c>
      <c r="AE44" s="2">
        <f>(AA44-AB44-AD44)*Inputs!$B$32</f>
        <v/>
      </c>
      <c r="AF44" s="2">
        <f>AA44-AB44-AD44-AE44</f>
        <v/>
      </c>
      <c r="AG44" s="2">
        <f>AL43</f>
        <v/>
      </c>
      <c r="AH44" s="2">
        <f>AG44*Inputs!$B$33</f>
        <v/>
      </c>
      <c r="AI44" s="2">
        <f>(AG44-AH44)*Inputs!$C$11/12</f>
        <v/>
      </c>
      <c r="AJ44" s="2">
        <f>IF(MAX(Inputs!$D$11-(A44-1),0)&lt;=0,0,(AG44-AH44)*((Inputs!$C$11/12)/(1-(1+Inputs!$C$11/12)^(-MAX(Inputs!$D$11-(A44-1),0)))-Inputs!$C$11/12))</f>
        <v/>
      </c>
      <c r="AK44" s="2">
        <f>(AG44-AH44-AJ44)*Inputs!$B$32</f>
        <v/>
      </c>
      <c r="AL44" s="2">
        <f>AG44-AH44-AJ44-AK44</f>
        <v/>
      </c>
      <c r="AM44" s="2">
        <f>AR43</f>
        <v/>
      </c>
      <c r="AN44" s="2">
        <f>AM44*Inputs!$B$33</f>
        <v/>
      </c>
      <c r="AO44" s="2">
        <f>(AM44-AN44)*Inputs!$C$12/12</f>
        <v/>
      </c>
      <c r="AP44" s="2">
        <f>IF(MAX(Inputs!$D$12-(A44-1),0)&lt;=0,0,(AM44-AN44)*((Inputs!$C$12/12)/(1-(1+Inputs!$C$12/12)^(-MAX(Inputs!$D$12-(A44-1),0)))-Inputs!$C$12/12))</f>
        <v/>
      </c>
      <c r="AQ44" s="2">
        <f>(AM44-AN44-AP44)*Inputs!$B$32</f>
        <v/>
      </c>
      <c r="AR44" s="2">
        <f>AM44-AN44-AP44-AQ44</f>
        <v/>
      </c>
      <c r="AS44" s="2">
        <f>AX43</f>
        <v/>
      </c>
      <c r="AT44" s="2">
        <f>AS44*Inputs!$B$33</f>
        <v/>
      </c>
      <c r="AU44" s="2">
        <f>(AS44-AT44)*Inputs!$C$13/12</f>
        <v/>
      </c>
      <c r="AV44" s="2">
        <f>IF(MAX(Inputs!$D$13-(A44-1),0)&lt;=0,0,(AS44-AT44)*((Inputs!$C$13/12)/(1-(1+Inputs!$C$13/12)^(-MAX(Inputs!$D$13-(A44-1),0)))-Inputs!$C$13/12))</f>
        <v/>
      </c>
      <c r="AW44" s="2">
        <f>(AS44-AT44-AV44)*Inputs!$B$32</f>
        <v/>
      </c>
      <c r="AX44" s="2">
        <f>AS44-AT44-AV44-AW44</f>
        <v/>
      </c>
      <c r="AY44" s="2">
        <f>BD43</f>
        <v/>
      </c>
      <c r="AZ44" s="2">
        <f>AY44*Inputs!$B$33</f>
        <v/>
      </c>
      <c r="BA44" s="2">
        <f>(AY44-AZ44)*Inputs!$C$14/12</f>
        <v/>
      </c>
      <c r="BB44" s="2">
        <f>IF(MAX(Inputs!$D$14-(A44-1),0)&lt;=0,0,(AY44-AZ44)*((Inputs!$C$14/12)/(1-(1+Inputs!$C$14/12)^(-MAX(Inputs!$D$14-(A44-1),0)))-Inputs!$C$14/12))</f>
        <v/>
      </c>
      <c r="BC44" s="2">
        <f>(AY44-AZ44-BB44)*Inputs!$B$32</f>
        <v/>
      </c>
      <c r="BD44" s="2">
        <f>AY44-AZ44-BB44-BC44</f>
        <v/>
      </c>
      <c r="BE44" s="2">
        <f>BJ43</f>
        <v/>
      </c>
      <c r="BF44" s="2">
        <f>BE44*Inputs!$B$33</f>
        <v/>
      </c>
      <c r="BG44" s="2">
        <f>(BE44-BF44)*Inputs!$C$15/12</f>
        <v/>
      </c>
      <c r="BH44" s="2">
        <f>IF(MAX(Inputs!$D$15-(A44-1),0)&lt;=0,0,(BE44-BF44)*((Inputs!$C$15/12)/(1-(1+Inputs!$C$15/12)^(-MAX(Inputs!$D$15-(A44-1),0)))-Inputs!$C$15/12))</f>
        <v/>
      </c>
      <c r="BI44" s="2">
        <f>(BE44-BF44-BH44)*Inputs!$B$32</f>
        <v/>
      </c>
      <c r="BJ44" s="2">
        <f>BE44-BF44-BH44-BI44</f>
        <v/>
      </c>
      <c r="BK44" s="2">
        <f>C44+I44+O44+U44+AA44+AG44+AM44+AS44+AY44+BE44</f>
        <v/>
      </c>
      <c r="BL44" s="2">
        <f>D44+J44+P44+V44+AB44+AH44+AN44+AT44+AZ44+BF44</f>
        <v/>
      </c>
      <c r="BM44" s="2">
        <f>E44+K44+Q44+W44+AC44+AI44+AO44+AU44+BA44+BG44</f>
        <v/>
      </c>
      <c r="BN44" s="2">
        <f>F44+L44+R44+X44+AD44+AJ44+AP44+AV44+BB44+BH44</f>
        <v/>
      </c>
      <c r="BO44" s="2">
        <f>G44+M44+S44+Y44+AE44+AK44+AQ44+AW44+BC44+BI44</f>
        <v/>
      </c>
      <c r="BP44" s="2">
        <f>H44+N44+T44+Z44+AF44+AL44+AR44+AX44+BD44+BJ44</f>
        <v/>
      </c>
      <c r="BQ44" s="2">
        <f>IF(A44-Inputs!$B$30&gt;=1,INDEX($BL$5:$BL$101,A44-Inputs!$B$30+1)*(1-Inputs!$B$29),0)</f>
        <v/>
      </c>
      <c r="BR44" s="2">
        <f>BR43+BL44</f>
        <v/>
      </c>
      <c r="BS44" s="2">
        <f>BS43+BQ44</f>
        <v/>
      </c>
      <c r="BT44" s="2">
        <f>BR44*Inputs!$B$29</f>
        <v/>
      </c>
      <c r="BU44" s="2">
        <f>BR44*(1-Inputs!$B$29)-BS44</f>
        <v/>
      </c>
      <c r="BV44" s="2">
        <f>BP44+BU44</f>
        <v/>
      </c>
      <c r="BW44" s="2">
        <f>BM44+BN44+BO44+BQ44</f>
        <v/>
      </c>
      <c r="BX44" s="8">
        <f>BK44-BL44-BN44-BO44-BP44</f>
        <v/>
      </c>
    </row>
    <row r="45">
      <c r="A45" s="7" t="n">
        <v>40</v>
      </c>
      <c r="B45" s="3">
        <f>Inputs!$B$36+(Inputs!$B$37-Inputs!$B$36)*(1-EXP(-A45/Inputs!$B$38))+Inputs!$B$31/10000</f>
        <v/>
      </c>
      <c r="C45" s="2">
        <f>H44</f>
        <v/>
      </c>
      <c r="D45" s="2">
        <f>C45*Inputs!$B$33</f>
        <v/>
      </c>
      <c r="E45" s="2">
        <f>(C45-D45)*Inputs!$C$6/12</f>
        <v/>
      </c>
      <c r="F45" s="2">
        <f>IF(MAX(Inputs!$D$6-(A45-1),0)&lt;=0,0,(C45-D45)*((Inputs!$C$6/12)/(1-(1+Inputs!$C$6/12)^(-MAX(Inputs!$D$6-(A45-1),0)))-Inputs!$C$6/12))</f>
        <v/>
      </c>
      <c r="G45" s="2">
        <f>(C45-D45-F45)*Inputs!$B$32</f>
        <v/>
      </c>
      <c r="H45" s="2">
        <f>C45-D45-F45-G45</f>
        <v/>
      </c>
      <c r="I45" s="2">
        <f>N44</f>
        <v/>
      </c>
      <c r="J45" s="2">
        <f>I45*Inputs!$B$33</f>
        <v/>
      </c>
      <c r="K45" s="2">
        <f>(I45-J45)*Inputs!$C$7/12</f>
        <v/>
      </c>
      <c r="L45" s="2">
        <f>IF(MAX(Inputs!$D$7-(A45-1),0)&lt;=0,0,(I45-J45)*((Inputs!$C$7/12)/(1-(1+Inputs!$C$7/12)^(-MAX(Inputs!$D$7-(A45-1),0)))-Inputs!$C$7/12))</f>
        <v/>
      </c>
      <c r="M45" s="2">
        <f>(I45-J45-L45)*Inputs!$B$32</f>
        <v/>
      </c>
      <c r="N45" s="2">
        <f>I45-J45-L45-M45</f>
        <v/>
      </c>
      <c r="O45" s="2">
        <f>T44</f>
        <v/>
      </c>
      <c r="P45" s="2">
        <f>O45*Inputs!$B$33</f>
        <v/>
      </c>
      <c r="Q45" s="2">
        <f>(O45-P45)*Inputs!$C$8/12</f>
        <v/>
      </c>
      <c r="R45" s="2">
        <f>IF(MAX(Inputs!$D$8-(A45-1),0)&lt;=0,0,(O45-P45)*((Inputs!$C$8/12)/(1-(1+Inputs!$C$8/12)^(-MAX(Inputs!$D$8-(A45-1),0)))-Inputs!$C$8/12))</f>
        <v/>
      </c>
      <c r="S45" s="2">
        <f>(O45-P45-R45)*Inputs!$B$32</f>
        <v/>
      </c>
      <c r="T45" s="2">
        <f>O45-P45-R45-S45</f>
        <v/>
      </c>
      <c r="U45" s="2">
        <f>Z44</f>
        <v/>
      </c>
      <c r="V45" s="2">
        <f>U45*Inputs!$B$33</f>
        <v/>
      </c>
      <c r="W45" s="2">
        <f>(U45-V45)*Inputs!$C$9/12</f>
        <v/>
      </c>
      <c r="X45" s="2">
        <f>IF(MAX(Inputs!$D$9-(A45-1),0)&lt;=0,0,(U45-V45)*((Inputs!$C$9/12)/(1-(1+Inputs!$C$9/12)^(-MAX(Inputs!$D$9-(A45-1),0)))-Inputs!$C$9/12))</f>
        <v/>
      </c>
      <c r="Y45" s="2">
        <f>(U45-V45-X45)*Inputs!$B$32</f>
        <v/>
      </c>
      <c r="Z45" s="2">
        <f>U45-V45-X45-Y45</f>
        <v/>
      </c>
      <c r="AA45" s="2">
        <f>AF44</f>
        <v/>
      </c>
      <c r="AB45" s="2">
        <f>AA45*Inputs!$B$33</f>
        <v/>
      </c>
      <c r="AC45" s="2">
        <f>(AA45-AB45)*Inputs!$C$10/12</f>
        <v/>
      </c>
      <c r="AD45" s="2">
        <f>IF(MAX(Inputs!$D$10-(A45-1),0)&lt;=0,0,(AA45-AB45)*((Inputs!$C$10/12)/(1-(1+Inputs!$C$10/12)^(-MAX(Inputs!$D$10-(A45-1),0)))-Inputs!$C$10/12))</f>
        <v/>
      </c>
      <c r="AE45" s="2">
        <f>(AA45-AB45-AD45)*Inputs!$B$32</f>
        <v/>
      </c>
      <c r="AF45" s="2">
        <f>AA45-AB45-AD45-AE45</f>
        <v/>
      </c>
      <c r="AG45" s="2">
        <f>AL44</f>
        <v/>
      </c>
      <c r="AH45" s="2">
        <f>AG45*Inputs!$B$33</f>
        <v/>
      </c>
      <c r="AI45" s="2">
        <f>(AG45-AH45)*Inputs!$C$11/12</f>
        <v/>
      </c>
      <c r="AJ45" s="2">
        <f>IF(MAX(Inputs!$D$11-(A45-1),0)&lt;=0,0,(AG45-AH45)*((Inputs!$C$11/12)/(1-(1+Inputs!$C$11/12)^(-MAX(Inputs!$D$11-(A45-1),0)))-Inputs!$C$11/12))</f>
        <v/>
      </c>
      <c r="AK45" s="2">
        <f>(AG45-AH45-AJ45)*Inputs!$B$32</f>
        <v/>
      </c>
      <c r="AL45" s="2">
        <f>AG45-AH45-AJ45-AK45</f>
        <v/>
      </c>
      <c r="AM45" s="2">
        <f>AR44</f>
        <v/>
      </c>
      <c r="AN45" s="2">
        <f>AM45*Inputs!$B$33</f>
        <v/>
      </c>
      <c r="AO45" s="2">
        <f>(AM45-AN45)*Inputs!$C$12/12</f>
        <v/>
      </c>
      <c r="AP45" s="2">
        <f>IF(MAX(Inputs!$D$12-(A45-1),0)&lt;=0,0,(AM45-AN45)*((Inputs!$C$12/12)/(1-(1+Inputs!$C$12/12)^(-MAX(Inputs!$D$12-(A45-1),0)))-Inputs!$C$12/12))</f>
        <v/>
      </c>
      <c r="AQ45" s="2">
        <f>(AM45-AN45-AP45)*Inputs!$B$32</f>
        <v/>
      </c>
      <c r="AR45" s="2">
        <f>AM45-AN45-AP45-AQ45</f>
        <v/>
      </c>
      <c r="AS45" s="2">
        <f>AX44</f>
        <v/>
      </c>
      <c r="AT45" s="2">
        <f>AS45*Inputs!$B$33</f>
        <v/>
      </c>
      <c r="AU45" s="2">
        <f>(AS45-AT45)*Inputs!$C$13/12</f>
        <v/>
      </c>
      <c r="AV45" s="2">
        <f>IF(MAX(Inputs!$D$13-(A45-1),0)&lt;=0,0,(AS45-AT45)*((Inputs!$C$13/12)/(1-(1+Inputs!$C$13/12)^(-MAX(Inputs!$D$13-(A45-1),0)))-Inputs!$C$13/12))</f>
        <v/>
      </c>
      <c r="AW45" s="2">
        <f>(AS45-AT45-AV45)*Inputs!$B$32</f>
        <v/>
      </c>
      <c r="AX45" s="2">
        <f>AS45-AT45-AV45-AW45</f>
        <v/>
      </c>
      <c r="AY45" s="2">
        <f>BD44</f>
        <v/>
      </c>
      <c r="AZ45" s="2">
        <f>AY45*Inputs!$B$33</f>
        <v/>
      </c>
      <c r="BA45" s="2">
        <f>(AY45-AZ45)*Inputs!$C$14/12</f>
        <v/>
      </c>
      <c r="BB45" s="2">
        <f>IF(MAX(Inputs!$D$14-(A45-1),0)&lt;=0,0,(AY45-AZ45)*((Inputs!$C$14/12)/(1-(1+Inputs!$C$14/12)^(-MAX(Inputs!$D$14-(A45-1),0)))-Inputs!$C$14/12))</f>
        <v/>
      </c>
      <c r="BC45" s="2">
        <f>(AY45-AZ45-BB45)*Inputs!$B$32</f>
        <v/>
      </c>
      <c r="BD45" s="2">
        <f>AY45-AZ45-BB45-BC45</f>
        <v/>
      </c>
      <c r="BE45" s="2">
        <f>BJ44</f>
        <v/>
      </c>
      <c r="BF45" s="2">
        <f>BE45*Inputs!$B$33</f>
        <v/>
      </c>
      <c r="BG45" s="2">
        <f>(BE45-BF45)*Inputs!$C$15/12</f>
        <v/>
      </c>
      <c r="BH45" s="2">
        <f>IF(MAX(Inputs!$D$15-(A45-1),0)&lt;=0,0,(BE45-BF45)*((Inputs!$C$15/12)/(1-(1+Inputs!$C$15/12)^(-MAX(Inputs!$D$15-(A45-1),0)))-Inputs!$C$15/12))</f>
        <v/>
      </c>
      <c r="BI45" s="2">
        <f>(BE45-BF45-BH45)*Inputs!$B$32</f>
        <v/>
      </c>
      <c r="BJ45" s="2">
        <f>BE45-BF45-BH45-BI45</f>
        <v/>
      </c>
      <c r="BK45" s="2">
        <f>C45+I45+O45+U45+AA45+AG45+AM45+AS45+AY45+BE45</f>
        <v/>
      </c>
      <c r="BL45" s="2">
        <f>D45+J45+P45+V45+AB45+AH45+AN45+AT45+AZ45+BF45</f>
        <v/>
      </c>
      <c r="BM45" s="2">
        <f>E45+K45+Q45+W45+AC45+AI45+AO45+AU45+BA45+BG45</f>
        <v/>
      </c>
      <c r="BN45" s="2">
        <f>F45+L45+R45+X45+AD45+AJ45+AP45+AV45+BB45+BH45</f>
        <v/>
      </c>
      <c r="BO45" s="2">
        <f>G45+M45+S45+Y45+AE45+AK45+AQ45+AW45+BC45+BI45</f>
        <v/>
      </c>
      <c r="BP45" s="2">
        <f>H45+N45+T45+Z45+AF45+AL45+AR45+AX45+BD45+BJ45</f>
        <v/>
      </c>
      <c r="BQ45" s="2">
        <f>IF(A45-Inputs!$B$30&gt;=1,INDEX($BL$5:$BL$101,A45-Inputs!$B$30+1)*(1-Inputs!$B$29),0)</f>
        <v/>
      </c>
      <c r="BR45" s="2">
        <f>BR44+BL45</f>
        <v/>
      </c>
      <c r="BS45" s="2">
        <f>BS44+BQ45</f>
        <v/>
      </c>
      <c r="BT45" s="2">
        <f>BR45*Inputs!$B$29</f>
        <v/>
      </c>
      <c r="BU45" s="2">
        <f>BR45*(1-Inputs!$B$29)-BS45</f>
        <v/>
      </c>
      <c r="BV45" s="2">
        <f>BP45+BU45</f>
        <v/>
      </c>
      <c r="BW45" s="2">
        <f>BM45+BN45+BO45+BQ45</f>
        <v/>
      </c>
      <c r="BX45" s="8">
        <f>BK45-BL45-BN45-BO45-BP45</f>
        <v/>
      </c>
    </row>
    <row r="46">
      <c r="A46" s="7" t="n">
        <v>41</v>
      </c>
      <c r="B46" s="3">
        <f>Inputs!$B$36+(Inputs!$B$37-Inputs!$B$36)*(1-EXP(-A46/Inputs!$B$38))+Inputs!$B$31/10000</f>
        <v/>
      </c>
      <c r="C46" s="2">
        <f>H45</f>
        <v/>
      </c>
      <c r="D46" s="2">
        <f>C46*Inputs!$B$33</f>
        <v/>
      </c>
      <c r="E46" s="2">
        <f>(C46-D46)*Inputs!$C$6/12</f>
        <v/>
      </c>
      <c r="F46" s="2">
        <f>IF(MAX(Inputs!$D$6-(A46-1),0)&lt;=0,0,(C46-D46)*((Inputs!$C$6/12)/(1-(1+Inputs!$C$6/12)^(-MAX(Inputs!$D$6-(A46-1),0)))-Inputs!$C$6/12))</f>
        <v/>
      </c>
      <c r="G46" s="2">
        <f>(C46-D46-F46)*Inputs!$B$32</f>
        <v/>
      </c>
      <c r="H46" s="2">
        <f>C46-D46-F46-G46</f>
        <v/>
      </c>
      <c r="I46" s="2">
        <f>N45</f>
        <v/>
      </c>
      <c r="J46" s="2">
        <f>I46*Inputs!$B$33</f>
        <v/>
      </c>
      <c r="K46" s="2">
        <f>(I46-J46)*Inputs!$C$7/12</f>
        <v/>
      </c>
      <c r="L46" s="2">
        <f>IF(MAX(Inputs!$D$7-(A46-1),0)&lt;=0,0,(I46-J46)*((Inputs!$C$7/12)/(1-(1+Inputs!$C$7/12)^(-MAX(Inputs!$D$7-(A46-1),0)))-Inputs!$C$7/12))</f>
        <v/>
      </c>
      <c r="M46" s="2">
        <f>(I46-J46-L46)*Inputs!$B$32</f>
        <v/>
      </c>
      <c r="N46" s="2">
        <f>I46-J46-L46-M46</f>
        <v/>
      </c>
      <c r="O46" s="2">
        <f>T45</f>
        <v/>
      </c>
      <c r="P46" s="2">
        <f>O46*Inputs!$B$33</f>
        <v/>
      </c>
      <c r="Q46" s="2">
        <f>(O46-P46)*Inputs!$C$8/12</f>
        <v/>
      </c>
      <c r="R46" s="2">
        <f>IF(MAX(Inputs!$D$8-(A46-1),0)&lt;=0,0,(O46-P46)*((Inputs!$C$8/12)/(1-(1+Inputs!$C$8/12)^(-MAX(Inputs!$D$8-(A46-1),0)))-Inputs!$C$8/12))</f>
        <v/>
      </c>
      <c r="S46" s="2">
        <f>(O46-P46-R46)*Inputs!$B$32</f>
        <v/>
      </c>
      <c r="T46" s="2">
        <f>O46-P46-R46-S46</f>
        <v/>
      </c>
      <c r="U46" s="2">
        <f>Z45</f>
        <v/>
      </c>
      <c r="V46" s="2">
        <f>U46*Inputs!$B$33</f>
        <v/>
      </c>
      <c r="W46" s="2">
        <f>(U46-V46)*Inputs!$C$9/12</f>
        <v/>
      </c>
      <c r="X46" s="2">
        <f>IF(MAX(Inputs!$D$9-(A46-1),0)&lt;=0,0,(U46-V46)*((Inputs!$C$9/12)/(1-(1+Inputs!$C$9/12)^(-MAX(Inputs!$D$9-(A46-1),0)))-Inputs!$C$9/12))</f>
        <v/>
      </c>
      <c r="Y46" s="2">
        <f>(U46-V46-X46)*Inputs!$B$32</f>
        <v/>
      </c>
      <c r="Z46" s="2">
        <f>U46-V46-X46-Y46</f>
        <v/>
      </c>
      <c r="AA46" s="2">
        <f>AF45</f>
        <v/>
      </c>
      <c r="AB46" s="2">
        <f>AA46*Inputs!$B$33</f>
        <v/>
      </c>
      <c r="AC46" s="2">
        <f>(AA46-AB46)*Inputs!$C$10/12</f>
        <v/>
      </c>
      <c r="AD46" s="2">
        <f>IF(MAX(Inputs!$D$10-(A46-1),0)&lt;=0,0,(AA46-AB46)*((Inputs!$C$10/12)/(1-(1+Inputs!$C$10/12)^(-MAX(Inputs!$D$10-(A46-1),0)))-Inputs!$C$10/12))</f>
        <v/>
      </c>
      <c r="AE46" s="2">
        <f>(AA46-AB46-AD46)*Inputs!$B$32</f>
        <v/>
      </c>
      <c r="AF46" s="2">
        <f>AA46-AB46-AD46-AE46</f>
        <v/>
      </c>
      <c r="AG46" s="2">
        <f>AL45</f>
        <v/>
      </c>
      <c r="AH46" s="2">
        <f>AG46*Inputs!$B$33</f>
        <v/>
      </c>
      <c r="AI46" s="2">
        <f>(AG46-AH46)*Inputs!$C$11/12</f>
        <v/>
      </c>
      <c r="AJ46" s="2">
        <f>IF(MAX(Inputs!$D$11-(A46-1),0)&lt;=0,0,(AG46-AH46)*((Inputs!$C$11/12)/(1-(1+Inputs!$C$11/12)^(-MAX(Inputs!$D$11-(A46-1),0)))-Inputs!$C$11/12))</f>
        <v/>
      </c>
      <c r="AK46" s="2">
        <f>(AG46-AH46-AJ46)*Inputs!$B$32</f>
        <v/>
      </c>
      <c r="AL46" s="2">
        <f>AG46-AH46-AJ46-AK46</f>
        <v/>
      </c>
      <c r="AM46" s="2">
        <f>AR45</f>
        <v/>
      </c>
      <c r="AN46" s="2">
        <f>AM46*Inputs!$B$33</f>
        <v/>
      </c>
      <c r="AO46" s="2">
        <f>(AM46-AN46)*Inputs!$C$12/12</f>
        <v/>
      </c>
      <c r="AP46" s="2">
        <f>IF(MAX(Inputs!$D$12-(A46-1),0)&lt;=0,0,(AM46-AN46)*((Inputs!$C$12/12)/(1-(1+Inputs!$C$12/12)^(-MAX(Inputs!$D$12-(A46-1),0)))-Inputs!$C$12/12))</f>
        <v/>
      </c>
      <c r="AQ46" s="2">
        <f>(AM46-AN46-AP46)*Inputs!$B$32</f>
        <v/>
      </c>
      <c r="AR46" s="2">
        <f>AM46-AN46-AP46-AQ46</f>
        <v/>
      </c>
      <c r="AS46" s="2">
        <f>AX45</f>
        <v/>
      </c>
      <c r="AT46" s="2">
        <f>AS46*Inputs!$B$33</f>
        <v/>
      </c>
      <c r="AU46" s="2">
        <f>(AS46-AT46)*Inputs!$C$13/12</f>
        <v/>
      </c>
      <c r="AV46" s="2">
        <f>IF(MAX(Inputs!$D$13-(A46-1),0)&lt;=0,0,(AS46-AT46)*((Inputs!$C$13/12)/(1-(1+Inputs!$C$13/12)^(-MAX(Inputs!$D$13-(A46-1),0)))-Inputs!$C$13/12))</f>
        <v/>
      </c>
      <c r="AW46" s="2">
        <f>(AS46-AT46-AV46)*Inputs!$B$32</f>
        <v/>
      </c>
      <c r="AX46" s="2">
        <f>AS46-AT46-AV46-AW46</f>
        <v/>
      </c>
      <c r="AY46" s="2">
        <f>BD45</f>
        <v/>
      </c>
      <c r="AZ46" s="2">
        <f>AY46*Inputs!$B$33</f>
        <v/>
      </c>
      <c r="BA46" s="2">
        <f>(AY46-AZ46)*Inputs!$C$14/12</f>
        <v/>
      </c>
      <c r="BB46" s="2">
        <f>IF(MAX(Inputs!$D$14-(A46-1),0)&lt;=0,0,(AY46-AZ46)*((Inputs!$C$14/12)/(1-(1+Inputs!$C$14/12)^(-MAX(Inputs!$D$14-(A46-1),0)))-Inputs!$C$14/12))</f>
        <v/>
      </c>
      <c r="BC46" s="2">
        <f>(AY46-AZ46-BB46)*Inputs!$B$32</f>
        <v/>
      </c>
      <c r="BD46" s="2">
        <f>AY46-AZ46-BB46-BC46</f>
        <v/>
      </c>
      <c r="BE46" s="2">
        <f>BJ45</f>
        <v/>
      </c>
      <c r="BF46" s="2">
        <f>BE46*Inputs!$B$33</f>
        <v/>
      </c>
      <c r="BG46" s="2">
        <f>(BE46-BF46)*Inputs!$C$15/12</f>
        <v/>
      </c>
      <c r="BH46" s="2">
        <f>IF(MAX(Inputs!$D$15-(A46-1),0)&lt;=0,0,(BE46-BF46)*((Inputs!$C$15/12)/(1-(1+Inputs!$C$15/12)^(-MAX(Inputs!$D$15-(A46-1),0)))-Inputs!$C$15/12))</f>
        <v/>
      </c>
      <c r="BI46" s="2">
        <f>(BE46-BF46-BH46)*Inputs!$B$32</f>
        <v/>
      </c>
      <c r="BJ46" s="2">
        <f>BE46-BF46-BH46-BI46</f>
        <v/>
      </c>
      <c r="BK46" s="2">
        <f>C46+I46+O46+U46+AA46+AG46+AM46+AS46+AY46+BE46</f>
        <v/>
      </c>
      <c r="BL46" s="2">
        <f>D46+J46+P46+V46+AB46+AH46+AN46+AT46+AZ46+BF46</f>
        <v/>
      </c>
      <c r="BM46" s="2">
        <f>E46+K46+Q46+W46+AC46+AI46+AO46+AU46+BA46+BG46</f>
        <v/>
      </c>
      <c r="BN46" s="2">
        <f>F46+L46+R46+X46+AD46+AJ46+AP46+AV46+BB46+BH46</f>
        <v/>
      </c>
      <c r="BO46" s="2">
        <f>G46+M46+S46+Y46+AE46+AK46+AQ46+AW46+BC46+BI46</f>
        <v/>
      </c>
      <c r="BP46" s="2">
        <f>H46+N46+T46+Z46+AF46+AL46+AR46+AX46+BD46+BJ46</f>
        <v/>
      </c>
      <c r="BQ46" s="2">
        <f>IF(A46-Inputs!$B$30&gt;=1,INDEX($BL$5:$BL$101,A46-Inputs!$B$30+1)*(1-Inputs!$B$29),0)</f>
        <v/>
      </c>
      <c r="BR46" s="2">
        <f>BR45+BL46</f>
        <v/>
      </c>
      <c r="BS46" s="2">
        <f>BS45+BQ46</f>
        <v/>
      </c>
      <c r="BT46" s="2">
        <f>BR46*Inputs!$B$29</f>
        <v/>
      </c>
      <c r="BU46" s="2">
        <f>BR46*(1-Inputs!$B$29)-BS46</f>
        <v/>
      </c>
      <c r="BV46" s="2">
        <f>BP46+BU46</f>
        <v/>
      </c>
      <c r="BW46" s="2">
        <f>BM46+BN46+BO46+BQ46</f>
        <v/>
      </c>
      <c r="BX46" s="8">
        <f>BK46-BL46-BN46-BO46-BP46</f>
        <v/>
      </c>
    </row>
    <row r="47">
      <c r="A47" s="7" t="n">
        <v>42</v>
      </c>
      <c r="B47" s="3">
        <f>Inputs!$B$36+(Inputs!$B$37-Inputs!$B$36)*(1-EXP(-A47/Inputs!$B$38))+Inputs!$B$31/10000</f>
        <v/>
      </c>
      <c r="C47" s="2">
        <f>H46</f>
        <v/>
      </c>
      <c r="D47" s="2">
        <f>C47*Inputs!$B$33</f>
        <v/>
      </c>
      <c r="E47" s="2">
        <f>(C47-D47)*Inputs!$C$6/12</f>
        <v/>
      </c>
      <c r="F47" s="2">
        <f>IF(MAX(Inputs!$D$6-(A47-1),0)&lt;=0,0,(C47-D47)*((Inputs!$C$6/12)/(1-(1+Inputs!$C$6/12)^(-MAX(Inputs!$D$6-(A47-1),0)))-Inputs!$C$6/12))</f>
        <v/>
      </c>
      <c r="G47" s="2">
        <f>(C47-D47-F47)*Inputs!$B$32</f>
        <v/>
      </c>
      <c r="H47" s="2">
        <f>C47-D47-F47-G47</f>
        <v/>
      </c>
      <c r="I47" s="2">
        <f>N46</f>
        <v/>
      </c>
      <c r="J47" s="2">
        <f>I47*Inputs!$B$33</f>
        <v/>
      </c>
      <c r="K47" s="2">
        <f>(I47-J47)*Inputs!$C$7/12</f>
        <v/>
      </c>
      <c r="L47" s="2">
        <f>IF(MAX(Inputs!$D$7-(A47-1),0)&lt;=0,0,(I47-J47)*((Inputs!$C$7/12)/(1-(1+Inputs!$C$7/12)^(-MAX(Inputs!$D$7-(A47-1),0)))-Inputs!$C$7/12))</f>
        <v/>
      </c>
      <c r="M47" s="2">
        <f>(I47-J47-L47)*Inputs!$B$32</f>
        <v/>
      </c>
      <c r="N47" s="2">
        <f>I47-J47-L47-M47</f>
        <v/>
      </c>
      <c r="O47" s="2">
        <f>T46</f>
        <v/>
      </c>
      <c r="P47" s="2">
        <f>O47*Inputs!$B$33</f>
        <v/>
      </c>
      <c r="Q47" s="2">
        <f>(O47-P47)*Inputs!$C$8/12</f>
        <v/>
      </c>
      <c r="R47" s="2">
        <f>IF(MAX(Inputs!$D$8-(A47-1),0)&lt;=0,0,(O47-P47)*((Inputs!$C$8/12)/(1-(1+Inputs!$C$8/12)^(-MAX(Inputs!$D$8-(A47-1),0)))-Inputs!$C$8/12))</f>
        <v/>
      </c>
      <c r="S47" s="2">
        <f>(O47-P47-R47)*Inputs!$B$32</f>
        <v/>
      </c>
      <c r="T47" s="2">
        <f>O47-P47-R47-S47</f>
        <v/>
      </c>
      <c r="U47" s="2">
        <f>Z46</f>
        <v/>
      </c>
      <c r="V47" s="2">
        <f>U47*Inputs!$B$33</f>
        <v/>
      </c>
      <c r="W47" s="2">
        <f>(U47-V47)*Inputs!$C$9/12</f>
        <v/>
      </c>
      <c r="X47" s="2">
        <f>IF(MAX(Inputs!$D$9-(A47-1),0)&lt;=0,0,(U47-V47)*((Inputs!$C$9/12)/(1-(1+Inputs!$C$9/12)^(-MAX(Inputs!$D$9-(A47-1),0)))-Inputs!$C$9/12))</f>
        <v/>
      </c>
      <c r="Y47" s="2">
        <f>(U47-V47-X47)*Inputs!$B$32</f>
        <v/>
      </c>
      <c r="Z47" s="2">
        <f>U47-V47-X47-Y47</f>
        <v/>
      </c>
      <c r="AA47" s="2">
        <f>AF46</f>
        <v/>
      </c>
      <c r="AB47" s="2">
        <f>AA47*Inputs!$B$33</f>
        <v/>
      </c>
      <c r="AC47" s="2">
        <f>(AA47-AB47)*Inputs!$C$10/12</f>
        <v/>
      </c>
      <c r="AD47" s="2">
        <f>IF(MAX(Inputs!$D$10-(A47-1),0)&lt;=0,0,(AA47-AB47)*((Inputs!$C$10/12)/(1-(1+Inputs!$C$10/12)^(-MAX(Inputs!$D$10-(A47-1),0)))-Inputs!$C$10/12))</f>
        <v/>
      </c>
      <c r="AE47" s="2">
        <f>(AA47-AB47-AD47)*Inputs!$B$32</f>
        <v/>
      </c>
      <c r="AF47" s="2">
        <f>AA47-AB47-AD47-AE47</f>
        <v/>
      </c>
      <c r="AG47" s="2">
        <f>AL46</f>
        <v/>
      </c>
      <c r="AH47" s="2">
        <f>AG47*Inputs!$B$33</f>
        <v/>
      </c>
      <c r="AI47" s="2">
        <f>(AG47-AH47)*Inputs!$C$11/12</f>
        <v/>
      </c>
      <c r="AJ47" s="2">
        <f>IF(MAX(Inputs!$D$11-(A47-1),0)&lt;=0,0,(AG47-AH47)*((Inputs!$C$11/12)/(1-(1+Inputs!$C$11/12)^(-MAX(Inputs!$D$11-(A47-1),0)))-Inputs!$C$11/12))</f>
        <v/>
      </c>
      <c r="AK47" s="2">
        <f>(AG47-AH47-AJ47)*Inputs!$B$32</f>
        <v/>
      </c>
      <c r="AL47" s="2">
        <f>AG47-AH47-AJ47-AK47</f>
        <v/>
      </c>
      <c r="AM47" s="2">
        <f>AR46</f>
        <v/>
      </c>
      <c r="AN47" s="2">
        <f>AM47*Inputs!$B$33</f>
        <v/>
      </c>
      <c r="AO47" s="2">
        <f>(AM47-AN47)*Inputs!$C$12/12</f>
        <v/>
      </c>
      <c r="AP47" s="2">
        <f>IF(MAX(Inputs!$D$12-(A47-1),0)&lt;=0,0,(AM47-AN47)*((Inputs!$C$12/12)/(1-(1+Inputs!$C$12/12)^(-MAX(Inputs!$D$12-(A47-1),0)))-Inputs!$C$12/12))</f>
        <v/>
      </c>
      <c r="AQ47" s="2">
        <f>(AM47-AN47-AP47)*Inputs!$B$32</f>
        <v/>
      </c>
      <c r="AR47" s="2">
        <f>AM47-AN47-AP47-AQ47</f>
        <v/>
      </c>
      <c r="AS47" s="2">
        <f>AX46</f>
        <v/>
      </c>
      <c r="AT47" s="2">
        <f>AS47*Inputs!$B$33</f>
        <v/>
      </c>
      <c r="AU47" s="2">
        <f>(AS47-AT47)*Inputs!$C$13/12</f>
        <v/>
      </c>
      <c r="AV47" s="2">
        <f>IF(MAX(Inputs!$D$13-(A47-1),0)&lt;=0,0,(AS47-AT47)*((Inputs!$C$13/12)/(1-(1+Inputs!$C$13/12)^(-MAX(Inputs!$D$13-(A47-1),0)))-Inputs!$C$13/12))</f>
        <v/>
      </c>
      <c r="AW47" s="2">
        <f>(AS47-AT47-AV47)*Inputs!$B$32</f>
        <v/>
      </c>
      <c r="AX47" s="2">
        <f>AS47-AT47-AV47-AW47</f>
        <v/>
      </c>
      <c r="AY47" s="2">
        <f>BD46</f>
        <v/>
      </c>
      <c r="AZ47" s="2">
        <f>AY47*Inputs!$B$33</f>
        <v/>
      </c>
      <c r="BA47" s="2">
        <f>(AY47-AZ47)*Inputs!$C$14/12</f>
        <v/>
      </c>
      <c r="BB47" s="2">
        <f>IF(MAX(Inputs!$D$14-(A47-1),0)&lt;=0,0,(AY47-AZ47)*((Inputs!$C$14/12)/(1-(1+Inputs!$C$14/12)^(-MAX(Inputs!$D$14-(A47-1),0)))-Inputs!$C$14/12))</f>
        <v/>
      </c>
      <c r="BC47" s="2">
        <f>(AY47-AZ47-BB47)*Inputs!$B$32</f>
        <v/>
      </c>
      <c r="BD47" s="2">
        <f>AY47-AZ47-BB47-BC47</f>
        <v/>
      </c>
      <c r="BE47" s="2">
        <f>BJ46</f>
        <v/>
      </c>
      <c r="BF47" s="2">
        <f>BE47*Inputs!$B$33</f>
        <v/>
      </c>
      <c r="BG47" s="2">
        <f>(BE47-BF47)*Inputs!$C$15/12</f>
        <v/>
      </c>
      <c r="BH47" s="2">
        <f>IF(MAX(Inputs!$D$15-(A47-1),0)&lt;=0,0,(BE47-BF47)*((Inputs!$C$15/12)/(1-(1+Inputs!$C$15/12)^(-MAX(Inputs!$D$15-(A47-1),0)))-Inputs!$C$15/12))</f>
        <v/>
      </c>
      <c r="BI47" s="2">
        <f>(BE47-BF47-BH47)*Inputs!$B$32</f>
        <v/>
      </c>
      <c r="BJ47" s="2">
        <f>BE47-BF47-BH47-BI47</f>
        <v/>
      </c>
      <c r="BK47" s="2">
        <f>C47+I47+O47+U47+AA47+AG47+AM47+AS47+AY47+BE47</f>
        <v/>
      </c>
      <c r="BL47" s="2">
        <f>D47+J47+P47+V47+AB47+AH47+AN47+AT47+AZ47+BF47</f>
        <v/>
      </c>
      <c r="BM47" s="2">
        <f>E47+K47+Q47+W47+AC47+AI47+AO47+AU47+BA47+BG47</f>
        <v/>
      </c>
      <c r="BN47" s="2">
        <f>F47+L47+R47+X47+AD47+AJ47+AP47+AV47+BB47+BH47</f>
        <v/>
      </c>
      <c r="BO47" s="2">
        <f>G47+M47+S47+Y47+AE47+AK47+AQ47+AW47+BC47+BI47</f>
        <v/>
      </c>
      <c r="BP47" s="2">
        <f>H47+N47+T47+Z47+AF47+AL47+AR47+AX47+BD47+BJ47</f>
        <v/>
      </c>
      <c r="BQ47" s="2">
        <f>IF(A47-Inputs!$B$30&gt;=1,INDEX($BL$5:$BL$101,A47-Inputs!$B$30+1)*(1-Inputs!$B$29),0)</f>
        <v/>
      </c>
      <c r="BR47" s="2">
        <f>BR46+BL47</f>
        <v/>
      </c>
      <c r="BS47" s="2">
        <f>BS46+BQ47</f>
        <v/>
      </c>
      <c r="BT47" s="2">
        <f>BR47*Inputs!$B$29</f>
        <v/>
      </c>
      <c r="BU47" s="2">
        <f>BR47*(1-Inputs!$B$29)-BS47</f>
        <v/>
      </c>
      <c r="BV47" s="2">
        <f>BP47+BU47</f>
        <v/>
      </c>
      <c r="BW47" s="2">
        <f>BM47+BN47+BO47+BQ47</f>
        <v/>
      </c>
      <c r="BX47" s="8">
        <f>BK47-BL47-BN47-BO47-BP47</f>
        <v/>
      </c>
    </row>
    <row r="48">
      <c r="A48" s="7" t="n">
        <v>43</v>
      </c>
      <c r="B48" s="3">
        <f>Inputs!$B$36+(Inputs!$B$37-Inputs!$B$36)*(1-EXP(-A48/Inputs!$B$38))+Inputs!$B$31/10000</f>
        <v/>
      </c>
      <c r="C48" s="2">
        <f>H47</f>
        <v/>
      </c>
      <c r="D48" s="2">
        <f>C48*Inputs!$B$33</f>
        <v/>
      </c>
      <c r="E48" s="2">
        <f>(C48-D48)*Inputs!$C$6/12</f>
        <v/>
      </c>
      <c r="F48" s="2">
        <f>IF(MAX(Inputs!$D$6-(A48-1),0)&lt;=0,0,(C48-D48)*((Inputs!$C$6/12)/(1-(1+Inputs!$C$6/12)^(-MAX(Inputs!$D$6-(A48-1),0)))-Inputs!$C$6/12))</f>
        <v/>
      </c>
      <c r="G48" s="2">
        <f>(C48-D48-F48)*Inputs!$B$32</f>
        <v/>
      </c>
      <c r="H48" s="2">
        <f>C48-D48-F48-G48</f>
        <v/>
      </c>
      <c r="I48" s="2">
        <f>N47</f>
        <v/>
      </c>
      <c r="J48" s="2">
        <f>I48*Inputs!$B$33</f>
        <v/>
      </c>
      <c r="K48" s="2">
        <f>(I48-J48)*Inputs!$C$7/12</f>
        <v/>
      </c>
      <c r="L48" s="2">
        <f>IF(MAX(Inputs!$D$7-(A48-1),0)&lt;=0,0,(I48-J48)*((Inputs!$C$7/12)/(1-(1+Inputs!$C$7/12)^(-MAX(Inputs!$D$7-(A48-1),0)))-Inputs!$C$7/12))</f>
        <v/>
      </c>
      <c r="M48" s="2">
        <f>(I48-J48-L48)*Inputs!$B$32</f>
        <v/>
      </c>
      <c r="N48" s="2">
        <f>I48-J48-L48-M48</f>
        <v/>
      </c>
      <c r="O48" s="2">
        <f>T47</f>
        <v/>
      </c>
      <c r="P48" s="2">
        <f>O48*Inputs!$B$33</f>
        <v/>
      </c>
      <c r="Q48" s="2">
        <f>(O48-P48)*Inputs!$C$8/12</f>
        <v/>
      </c>
      <c r="R48" s="2">
        <f>IF(MAX(Inputs!$D$8-(A48-1),0)&lt;=0,0,(O48-P48)*((Inputs!$C$8/12)/(1-(1+Inputs!$C$8/12)^(-MAX(Inputs!$D$8-(A48-1),0)))-Inputs!$C$8/12))</f>
        <v/>
      </c>
      <c r="S48" s="2">
        <f>(O48-P48-R48)*Inputs!$B$32</f>
        <v/>
      </c>
      <c r="T48" s="2">
        <f>O48-P48-R48-S48</f>
        <v/>
      </c>
      <c r="U48" s="2">
        <f>Z47</f>
        <v/>
      </c>
      <c r="V48" s="2">
        <f>U48*Inputs!$B$33</f>
        <v/>
      </c>
      <c r="W48" s="2">
        <f>(U48-V48)*Inputs!$C$9/12</f>
        <v/>
      </c>
      <c r="X48" s="2">
        <f>IF(MAX(Inputs!$D$9-(A48-1),0)&lt;=0,0,(U48-V48)*((Inputs!$C$9/12)/(1-(1+Inputs!$C$9/12)^(-MAX(Inputs!$D$9-(A48-1),0)))-Inputs!$C$9/12))</f>
        <v/>
      </c>
      <c r="Y48" s="2">
        <f>(U48-V48-X48)*Inputs!$B$32</f>
        <v/>
      </c>
      <c r="Z48" s="2">
        <f>U48-V48-X48-Y48</f>
        <v/>
      </c>
      <c r="AA48" s="2">
        <f>AF47</f>
        <v/>
      </c>
      <c r="AB48" s="2">
        <f>AA48*Inputs!$B$33</f>
        <v/>
      </c>
      <c r="AC48" s="2">
        <f>(AA48-AB48)*Inputs!$C$10/12</f>
        <v/>
      </c>
      <c r="AD48" s="2">
        <f>IF(MAX(Inputs!$D$10-(A48-1),0)&lt;=0,0,(AA48-AB48)*((Inputs!$C$10/12)/(1-(1+Inputs!$C$10/12)^(-MAX(Inputs!$D$10-(A48-1),0)))-Inputs!$C$10/12))</f>
        <v/>
      </c>
      <c r="AE48" s="2">
        <f>(AA48-AB48-AD48)*Inputs!$B$32</f>
        <v/>
      </c>
      <c r="AF48" s="2">
        <f>AA48-AB48-AD48-AE48</f>
        <v/>
      </c>
      <c r="AG48" s="2">
        <f>AL47</f>
        <v/>
      </c>
      <c r="AH48" s="2">
        <f>AG48*Inputs!$B$33</f>
        <v/>
      </c>
      <c r="AI48" s="2">
        <f>(AG48-AH48)*Inputs!$C$11/12</f>
        <v/>
      </c>
      <c r="AJ48" s="2">
        <f>IF(MAX(Inputs!$D$11-(A48-1),0)&lt;=0,0,(AG48-AH48)*((Inputs!$C$11/12)/(1-(1+Inputs!$C$11/12)^(-MAX(Inputs!$D$11-(A48-1),0)))-Inputs!$C$11/12))</f>
        <v/>
      </c>
      <c r="AK48" s="2">
        <f>(AG48-AH48-AJ48)*Inputs!$B$32</f>
        <v/>
      </c>
      <c r="AL48" s="2">
        <f>AG48-AH48-AJ48-AK48</f>
        <v/>
      </c>
      <c r="AM48" s="2">
        <f>AR47</f>
        <v/>
      </c>
      <c r="AN48" s="2">
        <f>AM48*Inputs!$B$33</f>
        <v/>
      </c>
      <c r="AO48" s="2">
        <f>(AM48-AN48)*Inputs!$C$12/12</f>
        <v/>
      </c>
      <c r="AP48" s="2">
        <f>IF(MAX(Inputs!$D$12-(A48-1),0)&lt;=0,0,(AM48-AN48)*((Inputs!$C$12/12)/(1-(1+Inputs!$C$12/12)^(-MAX(Inputs!$D$12-(A48-1),0)))-Inputs!$C$12/12))</f>
        <v/>
      </c>
      <c r="AQ48" s="2">
        <f>(AM48-AN48-AP48)*Inputs!$B$32</f>
        <v/>
      </c>
      <c r="AR48" s="2">
        <f>AM48-AN48-AP48-AQ48</f>
        <v/>
      </c>
      <c r="AS48" s="2">
        <f>AX47</f>
        <v/>
      </c>
      <c r="AT48" s="2">
        <f>AS48*Inputs!$B$33</f>
        <v/>
      </c>
      <c r="AU48" s="2">
        <f>(AS48-AT48)*Inputs!$C$13/12</f>
        <v/>
      </c>
      <c r="AV48" s="2">
        <f>IF(MAX(Inputs!$D$13-(A48-1),0)&lt;=0,0,(AS48-AT48)*((Inputs!$C$13/12)/(1-(1+Inputs!$C$13/12)^(-MAX(Inputs!$D$13-(A48-1),0)))-Inputs!$C$13/12))</f>
        <v/>
      </c>
      <c r="AW48" s="2">
        <f>(AS48-AT48-AV48)*Inputs!$B$32</f>
        <v/>
      </c>
      <c r="AX48" s="2">
        <f>AS48-AT48-AV48-AW48</f>
        <v/>
      </c>
      <c r="AY48" s="2">
        <f>BD47</f>
        <v/>
      </c>
      <c r="AZ48" s="2">
        <f>AY48*Inputs!$B$33</f>
        <v/>
      </c>
      <c r="BA48" s="2">
        <f>(AY48-AZ48)*Inputs!$C$14/12</f>
        <v/>
      </c>
      <c r="BB48" s="2">
        <f>IF(MAX(Inputs!$D$14-(A48-1),0)&lt;=0,0,(AY48-AZ48)*((Inputs!$C$14/12)/(1-(1+Inputs!$C$14/12)^(-MAX(Inputs!$D$14-(A48-1),0)))-Inputs!$C$14/12))</f>
        <v/>
      </c>
      <c r="BC48" s="2">
        <f>(AY48-AZ48-BB48)*Inputs!$B$32</f>
        <v/>
      </c>
      <c r="BD48" s="2">
        <f>AY48-AZ48-BB48-BC48</f>
        <v/>
      </c>
      <c r="BE48" s="2">
        <f>BJ47</f>
        <v/>
      </c>
      <c r="BF48" s="2">
        <f>BE48*Inputs!$B$33</f>
        <v/>
      </c>
      <c r="BG48" s="2">
        <f>(BE48-BF48)*Inputs!$C$15/12</f>
        <v/>
      </c>
      <c r="BH48" s="2">
        <f>IF(MAX(Inputs!$D$15-(A48-1),0)&lt;=0,0,(BE48-BF48)*((Inputs!$C$15/12)/(1-(1+Inputs!$C$15/12)^(-MAX(Inputs!$D$15-(A48-1),0)))-Inputs!$C$15/12))</f>
        <v/>
      </c>
      <c r="BI48" s="2">
        <f>(BE48-BF48-BH48)*Inputs!$B$32</f>
        <v/>
      </c>
      <c r="BJ48" s="2">
        <f>BE48-BF48-BH48-BI48</f>
        <v/>
      </c>
      <c r="BK48" s="2">
        <f>C48+I48+O48+U48+AA48+AG48+AM48+AS48+AY48+BE48</f>
        <v/>
      </c>
      <c r="BL48" s="2">
        <f>D48+J48+P48+V48+AB48+AH48+AN48+AT48+AZ48+BF48</f>
        <v/>
      </c>
      <c r="BM48" s="2">
        <f>E48+K48+Q48+W48+AC48+AI48+AO48+AU48+BA48+BG48</f>
        <v/>
      </c>
      <c r="BN48" s="2">
        <f>F48+L48+R48+X48+AD48+AJ48+AP48+AV48+BB48+BH48</f>
        <v/>
      </c>
      <c r="BO48" s="2">
        <f>G48+M48+S48+Y48+AE48+AK48+AQ48+AW48+BC48+BI48</f>
        <v/>
      </c>
      <c r="BP48" s="2">
        <f>H48+N48+T48+Z48+AF48+AL48+AR48+AX48+BD48+BJ48</f>
        <v/>
      </c>
      <c r="BQ48" s="2">
        <f>IF(A48-Inputs!$B$30&gt;=1,INDEX($BL$5:$BL$101,A48-Inputs!$B$30+1)*(1-Inputs!$B$29),0)</f>
        <v/>
      </c>
      <c r="BR48" s="2">
        <f>BR47+BL48</f>
        <v/>
      </c>
      <c r="BS48" s="2">
        <f>BS47+BQ48</f>
        <v/>
      </c>
      <c r="BT48" s="2">
        <f>BR48*Inputs!$B$29</f>
        <v/>
      </c>
      <c r="BU48" s="2">
        <f>BR48*(1-Inputs!$B$29)-BS48</f>
        <v/>
      </c>
      <c r="BV48" s="2">
        <f>BP48+BU48</f>
        <v/>
      </c>
      <c r="BW48" s="2">
        <f>BM48+BN48+BO48+BQ48</f>
        <v/>
      </c>
      <c r="BX48" s="8">
        <f>BK48-BL48-BN48-BO48-BP48</f>
        <v/>
      </c>
    </row>
    <row r="49">
      <c r="A49" s="7" t="n">
        <v>44</v>
      </c>
      <c r="B49" s="3">
        <f>Inputs!$B$36+(Inputs!$B$37-Inputs!$B$36)*(1-EXP(-A49/Inputs!$B$38))+Inputs!$B$31/10000</f>
        <v/>
      </c>
      <c r="C49" s="2">
        <f>H48</f>
        <v/>
      </c>
      <c r="D49" s="2">
        <f>C49*Inputs!$B$33</f>
        <v/>
      </c>
      <c r="E49" s="2">
        <f>(C49-D49)*Inputs!$C$6/12</f>
        <v/>
      </c>
      <c r="F49" s="2">
        <f>IF(MAX(Inputs!$D$6-(A49-1),0)&lt;=0,0,(C49-D49)*((Inputs!$C$6/12)/(1-(1+Inputs!$C$6/12)^(-MAX(Inputs!$D$6-(A49-1),0)))-Inputs!$C$6/12))</f>
        <v/>
      </c>
      <c r="G49" s="2">
        <f>(C49-D49-F49)*Inputs!$B$32</f>
        <v/>
      </c>
      <c r="H49" s="2">
        <f>C49-D49-F49-G49</f>
        <v/>
      </c>
      <c r="I49" s="2">
        <f>N48</f>
        <v/>
      </c>
      <c r="J49" s="2">
        <f>I49*Inputs!$B$33</f>
        <v/>
      </c>
      <c r="K49" s="2">
        <f>(I49-J49)*Inputs!$C$7/12</f>
        <v/>
      </c>
      <c r="L49" s="2">
        <f>IF(MAX(Inputs!$D$7-(A49-1),0)&lt;=0,0,(I49-J49)*((Inputs!$C$7/12)/(1-(1+Inputs!$C$7/12)^(-MAX(Inputs!$D$7-(A49-1),0)))-Inputs!$C$7/12))</f>
        <v/>
      </c>
      <c r="M49" s="2">
        <f>(I49-J49-L49)*Inputs!$B$32</f>
        <v/>
      </c>
      <c r="N49" s="2">
        <f>I49-J49-L49-M49</f>
        <v/>
      </c>
      <c r="O49" s="2">
        <f>T48</f>
        <v/>
      </c>
      <c r="P49" s="2">
        <f>O49*Inputs!$B$33</f>
        <v/>
      </c>
      <c r="Q49" s="2">
        <f>(O49-P49)*Inputs!$C$8/12</f>
        <v/>
      </c>
      <c r="R49" s="2">
        <f>IF(MAX(Inputs!$D$8-(A49-1),0)&lt;=0,0,(O49-P49)*((Inputs!$C$8/12)/(1-(1+Inputs!$C$8/12)^(-MAX(Inputs!$D$8-(A49-1),0)))-Inputs!$C$8/12))</f>
        <v/>
      </c>
      <c r="S49" s="2">
        <f>(O49-P49-R49)*Inputs!$B$32</f>
        <v/>
      </c>
      <c r="T49" s="2">
        <f>O49-P49-R49-S49</f>
        <v/>
      </c>
      <c r="U49" s="2">
        <f>Z48</f>
        <v/>
      </c>
      <c r="V49" s="2">
        <f>U49*Inputs!$B$33</f>
        <v/>
      </c>
      <c r="W49" s="2">
        <f>(U49-V49)*Inputs!$C$9/12</f>
        <v/>
      </c>
      <c r="X49" s="2">
        <f>IF(MAX(Inputs!$D$9-(A49-1),0)&lt;=0,0,(U49-V49)*((Inputs!$C$9/12)/(1-(1+Inputs!$C$9/12)^(-MAX(Inputs!$D$9-(A49-1),0)))-Inputs!$C$9/12))</f>
        <v/>
      </c>
      <c r="Y49" s="2">
        <f>(U49-V49-X49)*Inputs!$B$32</f>
        <v/>
      </c>
      <c r="Z49" s="2">
        <f>U49-V49-X49-Y49</f>
        <v/>
      </c>
      <c r="AA49" s="2">
        <f>AF48</f>
        <v/>
      </c>
      <c r="AB49" s="2">
        <f>AA49*Inputs!$B$33</f>
        <v/>
      </c>
      <c r="AC49" s="2">
        <f>(AA49-AB49)*Inputs!$C$10/12</f>
        <v/>
      </c>
      <c r="AD49" s="2">
        <f>IF(MAX(Inputs!$D$10-(A49-1),0)&lt;=0,0,(AA49-AB49)*((Inputs!$C$10/12)/(1-(1+Inputs!$C$10/12)^(-MAX(Inputs!$D$10-(A49-1),0)))-Inputs!$C$10/12))</f>
        <v/>
      </c>
      <c r="AE49" s="2">
        <f>(AA49-AB49-AD49)*Inputs!$B$32</f>
        <v/>
      </c>
      <c r="AF49" s="2">
        <f>AA49-AB49-AD49-AE49</f>
        <v/>
      </c>
      <c r="AG49" s="2">
        <f>AL48</f>
        <v/>
      </c>
      <c r="AH49" s="2">
        <f>AG49*Inputs!$B$33</f>
        <v/>
      </c>
      <c r="AI49" s="2">
        <f>(AG49-AH49)*Inputs!$C$11/12</f>
        <v/>
      </c>
      <c r="AJ49" s="2">
        <f>IF(MAX(Inputs!$D$11-(A49-1),0)&lt;=0,0,(AG49-AH49)*((Inputs!$C$11/12)/(1-(1+Inputs!$C$11/12)^(-MAX(Inputs!$D$11-(A49-1),0)))-Inputs!$C$11/12))</f>
        <v/>
      </c>
      <c r="AK49" s="2">
        <f>(AG49-AH49-AJ49)*Inputs!$B$32</f>
        <v/>
      </c>
      <c r="AL49" s="2">
        <f>AG49-AH49-AJ49-AK49</f>
        <v/>
      </c>
      <c r="AM49" s="2">
        <f>AR48</f>
        <v/>
      </c>
      <c r="AN49" s="2">
        <f>AM49*Inputs!$B$33</f>
        <v/>
      </c>
      <c r="AO49" s="2">
        <f>(AM49-AN49)*Inputs!$C$12/12</f>
        <v/>
      </c>
      <c r="AP49" s="2">
        <f>IF(MAX(Inputs!$D$12-(A49-1),0)&lt;=0,0,(AM49-AN49)*((Inputs!$C$12/12)/(1-(1+Inputs!$C$12/12)^(-MAX(Inputs!$D$12-(A49-1),0)))-Inputs!$C$12/12))</f>
        <v/>
      </c>
      <c r="AQ49" s="2">
        <f>(AM49-AN49-AP49)*Inputs!$B$32</f>
        <v/>
      </c>
      <c r="AR49" s="2">
        <f>AM49-AN49-AP49-AQ49</f>
        <v/>
      </c>
      <c r="AS49" s="2">
        <f>AX48</f>
        <v/>
      </c>
      <c r="AT49" s="2">
        <f>AS49*Inputs!$B$33</f>
        <v/>
      </c>
      <c r="AU49" s="2">
        <f>(AS49-AT49)*Inputs!$C$13/12</f>
        <v/>
      </c>
      <c r="AV49" s="2">
        <f>IF(MAX(Inputs!$D$13-(A49-1),0)&lt;=0,0,(AS49-AT49)*((Inputs!$C$13/12)/(1-(1+Inputs!$C$13/12)^(-MAX(Inputs!$D$13-(A49-1),0)))-Inputs!$C$13/12))</f>
        <v/>
      </c>
      <c r="AW49" s="2">
        <f>(AS49-AT49-AV49)*Inputs!$B$32</f>
        <v/>
      </c>
      <c r="AX49" s="2">
        <f>AS49-AT49-AV49-AW49</f>
        <v/>
      </c>
      <c r="AY49" s="2">
        <f>BD48</f>
        <v/>
      </c>
      <c r="AZ49" s="2">
        <f>AY49*Inputs!$B$33</f>
        <v/>
      </c>
      <c r="BA49" s="2">
        <f>(AY49-AZ49)*Inputs!$C$14/12</f>
        <v/>
      </c>
      <c r="BB49" s="2">
        <f>IF(MAX(Inputs!$D$14-(A49-1),0)&lt;=0,0,(AY49-AZ49)*((Inputs!$C$14/12)/(1-(1+Inputs!$C$14/12)^(-MAX(Inputs!$D$14-(A49-1),0)))-Inputs!$C$14/12))</f>
        <v/>
      </c>
      <c r="BC49" s="2">
        <f>(AY49-AZ49-BB49)*Inputs!$B$32</f>
        <v/>
      </c>
      <c r="BD49" s="2">
        <f>AY49-AZ49-BB49-BC49</f>
        <v/>
      </c>
      <c r="BE49" s="2">
        <f>BJ48</f>
        <v/>
      </c>
      <c r="BF49" s="2">
        <f>BE49*Inputs!$B$33</f>
        <v/>
      </c>
      <c r="BG49" s="2">
        <f>(BE49-BF49)*Inputs!$C$15/12</f>
        <v/>
      </c>
      <c r="BH49" s="2">
        <f>IF(MAX(Inputs!$D$15-(A49-1),0)&lt;=0,0,(BE49-BF49)*((Inputs!$C$15/12)/(1-(1+Inputs!$C$15/12)^(-MAX(Inputs!$D$15-(A49-1),0)))-Inputs!$C$15/12))</f>
        <v/>
      </c>
      <c r="BI49" s="2">
        <f>(BE49-BF49-BH49)*Inputs!$B$32</f>
        <v/>
      </c>
      <c r="BJ49" s="2">
        <f>BE49-BF49-BH49-BI49</f>
        <v/>
      </c>
      <c r="BK49" s="2">
        <f>C49+I49+O49+U49+AA49+AG49+AM49+AS49+AY49+BE49</f>
        <v/>
      </c>
      <c r="BL49" s="2">
        <f>D49+J49+P49+V49+AB49+AH49+AN49+AT49+AZ49+BF49</f>
        <v/>
      </c>
      <c r="BM49" s="2">
        <f>E49+K49+Q49+W49+AC49+AI49+AO49+AU49+BA49+BG49</f>
        <v/>
      </c>
      <c r="BN49" s="2">
        <f>F49+L49+R49+X49+AD49+AJ49+AP49+AV49+BB49+BH49</f>
        <v/>
      </c>
      <c r="BO49" s="2">
        <f>G49+M49+S49+Y49+AE49+AK49+AQ49+AW49+BC49+BI49</f>
        <v/>
      </c>
      <c r="BP49" s="2">
        <f>H49+N49+T49+Z49+AF49+AL49+AR49+AX49+BD49+BJ49</f>
        <v/>
      </c>
      <c r="BQ49" s="2">
        <f>IF(A49-Inputs!$B$30&gt;=1,INDEX($BL$5:$BL$101,A49-Inputs!$B$30+1)*(1-Inputs!$B$29),0)</f>
        <v/>
      </c>
      <c r="BR49" s="2">
        <f>BR48+BL49</f>
        <v/>
      </c>
      <c r="BS49" s="2">
        <f>BS48+BQ49</f>
        <v/>
      </c>
      <c r="BT49" s="2">
        <f>BR49*Inputs!$B$29</f>
        <v/>
      </c>
      <c r="BU49" s="2">
        <f>BR49*(1-Inputs!$B$29)-BS49</f>
        <v/>
      </c>
      <c r="BV49" s="2">
        <f>BP49+BU49</f>
        <v/>
      </c>
      <c r="BW49" s="2">
        <f>BM49+BN49+BO49+BQ49</f>
        <v/>
      </c>
      <c r="BX49" s="8">
        <f>BK49-BL49-BN49-BO49-BP49</f>
        <v/>
      </c>
    </row>
    <row r="50">
      <c r="A50" s="7" t="n">
        <v>45</v>
      </c>
      <c r="B50" s="3">
        <f>Inputs!$B$36+(Inputs!$B$37-Inputs!$B$36)*(1-EXP(-A50/Inputs!$B$38))+Inputs!$B$31/10000</f>
        <v/>
      </c>
      <c r="C50" s="2">
        <f>H49</f>
        <v/>
      </c>
      <c r="D50" s="2">
        <f>C50*Inputs!$B$33</f>
        <v/>
      </c>
      <c r="E50" s="2">
        <f>(C50-D50)*Inputs!$C$6/12</f>
        <v/>
      </c>
      <c r="F50" s="2">
        <f>IF(MAX(Inputs!$D$6-(A50-1),0)&lt;=0,0,(C50-D50)*((Inputs!$C$6/12)/(1-(1+Inputs!$C$6/12)^(-MAX(Inputs!$D$6-(A50-1),0)))-Inputs!$C$6/12))</f>
        <v/>
      </c>
      <c r="G50" s="2">
        <f>(C50-D50-F50)*Inputs!$B$32</f>
        <v/>
      </c>
      <c r="H50" s="2">
        <f>C50-D50-F50-G50</f>
        <v/>
      </c>
      <c r="I50" s="2">
        <f>N49</f>
        <v/>
      </c>
      <c r="J50" s="2">
        <f>I50*Inputs!$B$33</f>
        <v/>
      </c>
      <c r="K50" s="2">
        <f>(I50-J50)*Inputs!$C$7/12</f>
        <v/>
      </c>
      <c r="L50" s="2">
        <f>IF(MAX(Inputs!$D$7-(A50-1),0)&lt;=0,0,(I50-J50)*((Inputs!$C$7/12)/(1-(1+Inputs!$C$7/12)^(-MAX(Inputs!$D$7-(A50-1),0)))-Inputs!$C$7/12))</f>
        <v/>
      </c>
      <c r="M50" s="2">
        <f>(I50-J50-L50)*Inputs!$B$32</f>
        <v/>
      </c>
      <c r="N50" s="2">
        <f>I50-J50-L50-M50</f>
        <v/>
      </c>
      <c r="O50" s="2">
        <f>T49</f>
        <v/>
      </c>
      <c r="P50" s="2">
        <f>O50*Inputs!$B$33</f>
        <v/>
      </c>
      <c r="Q50" s="2">
        <f>(O50-P50)*Inputs!$C$8/12</f>
        <v/>
      </c>
      <c r="R50" s="2">
        <f>IF(MAX(Inputs!$D$8-(A50-1),0)&lt;=0,0,(O50-P50)*((Inputs!$C$8/12)/(1-(1+Inputs!$C$8/12)^(-MAX(Inputs!$D$8-(A50-1),0)))-Inputs!$C$8/12))</f>
        <v/>
      </c>
      <c r="S50" s="2">
        <f>(O50-P50-R50)*Inputs!$B$32</f>
        <v/>
      </c>
      <c r="T50" s="2">
        <f>O50-P50-R50-S50</f>
        <v/>
      </c>
      <c r="U50" s="2">
        <f>Z49</f>
        <v/>
      </c>
      <c r="V50" s="2">
        <f>U50*Inputs!$B$33</f>
        <v/>
      </c>
      <c r="W50" s="2">
        <f>(U50-V50)*Inputs!$C$9/12</f>
        <v/>
      </c>
      <c r="X50" s="2">
        <f>IF(MAX(Inputs!$D$9-(A50-1),0)&lt;=0,0,(U50-V50)*((Inputs!$C$9/12)/(1-(1+Inputs!$C$9/12)^(-MAX(Inputs!$D$9-(A50-1),0)))-Inputs!$C$9/12))</f>
        <v/>
      </c>
      <c r="Y50" s="2">
        <f>(U50-V50-X50)*Inputs!$B$32</f>
        <v/>
      </c>
      <c r="Z50" s="2">
        <f>U50-V50-X50-Y50</f>
        <v/>
      </c>
      <c r="AA50" s="2">
        <f>AF49</f>
        <v/>
      </c>
      <c r="AB50" s="2">
        <f>AA50*Inputs!$B$33</f>
        <v/>
      </c>
      <c r="AC50" s="2">
        <f>(AA50-AB50)*Inputs!$C$10/12</f>
        <v/>
      </c>
      <c r="AD50" s="2">
        <f>IF(MAX(Inputs!$D$10-(A50-1),0)&lt;=0,0,(AA50-AB50)*((Inputs!$C$10/12)/(1-(1+Inputs!$C$10/12)^(-MAX(Inputs!$D$10-(A50-1),0)))-Inputs!$C$10/12))</f>
        <v/>
      </c>
      <c r="AE50" s="2">
        <f>(AA50-AB50-AD50)*Inputs!$B$32</f>
        <v/>
      </c>
      <c r="AF50" s="2">
        <f>AA50-AB50-AD50-AE50</f>
        <v/>
      </c>
      <c r="AG50" s="2">
        <f>AL49</f>
        <v/>
      </c>
      <c r="AH50" s="2">
        <f>AG50*Inputs!$B$33</f>
        <v/>
      </c>
      <c r="AI50" s="2">
        <f>(AG50-AH50)*Inputs!$C$11/12</f>
        <v/>
      </c>
      <c r="AJ50" s="2">
        <f>IF(MAX(Inputs!$D$11-(A50-1),0)&lt;=0,0,(AG50-AH50)*((Inputs!$C$11/12)/(1-(1+Inputs!$C$11/12)^(-MAX(Inputs!$D$11-(A50-1),0)))-Inputs!$C$11/12))</f>
        <v/>
      </c>
      <c r="AK50" s="2">
        <f>(AG50-AH50-AJ50)*Inputs!$B$32</f>
        <v/>
      </c>
      <c r="AL50" s="2">
        <f>AG50-AH50-AJ50-AK50</f>
        <v/>
      </c>
      <c r="AM50" s="2">
        <f>AR49</f>
        <v/>
      </c>
      <c r="AN50" s="2">
        <f>AM50*Inputs!$B$33</f>
        <v/>
      </c>
      <c r="AO50" s="2">
        <f>(AM50-AN50)*Inputs!$C$12/12</f>
        <v/>
      </c>
      <c r="AP50" s="2">
        <f>IF(MAX(Inputs!$D$12-(A50-1),0)&lt;=0,0,(AM50-AN50)*((Inputs!$C$12/12)/(1-(1+Inputs!$C$12/12)^(-MAX(Inputs!$D$12-(A50-1),0)))-Inputs!$C$12/12))</f>
        <v/>
      </c>
      <c r="AQ50" s="2">
        <f>(AM50-AN50-AP50)*Inputs!$B$32</f>
        <v/>
      </c>
      <c r="AR50" s="2">
        <f>AM50-AN50-AP50-AQ50</f>
        <v/>
      </c>
      <c r="AS50" s="2">
        <f>AX49</f>
        <v/>
      </c>
      <c r="AT50" s="2">
        <f>AS50*Inputs!$B$33</f>
        <v/>
      </c>
      <c r="AU50" s="2">
        <f>(AS50-AT50)*Inputs!$C$13/12</f>
        <v/>
      </c>
      <c r="AV50" s="2">
        <f>IF(MAX(Inputs!$D$13-(A50-1),0)&lt;=0,0,(AS50-AT50)*((Inputs!$C$13/12)/(1-(1+Inputs!$C$13/12)^(-MAX(Inputs!$D$13-(A50-1),0)))-Inputs!$C$13/12))</f>
        <v/>
      </c>
      <c r="AW50" s="2">
        <f>(AS50-AT50-AV50)*Inputs!$B$32</f>
        <v/>
      </c>
      <c r="AX50" s="2">
        <f>AS50-AT50-AV50-AW50</f>
        <v/>
      </c>
      <c r="AY50" s="2">
        <f>BD49</f>
        <v/>
      </c>
      <c r="AZ50" s="2">
        <f>AY50*Inputs!$B$33</f>
        <v/>
      </c>
      <c r="BA50" s="2">
        <f>(AY50-AZ50)*Inputs!$C$14/12</f>
        <v/>
      </c>
      <c r="BB50" s="2">
        <f>IF(MAX(Inputs!$D$14-(A50-1),0)&lt;=0,0,(AY50-AZ50)*((Inputs!$C$14/12)/(1-(1+Inputs!$C$14/12)^(-MAX(Inputs!$D$14-(A50-1),0)))-Inputs!$C$14/12))</f>
        <v/>
      </c>
      <c r="BC50" s="2">
        <f>(AY50-AZ50-BB50)*Inputs!$B$32</f>
        <v/>
      </c>
      <c r="BD50" s="2">
        <f>AY50-AZ50-BB50-BC50</f>
        <v/>
      </c>
      <c r="BE50" s="2">
        <f>BJ49</f>
        <v/>
      </c>
      <c r="BF50" s="2">
        <f>BE50*Inputs!$B$33</f>
        <v/>
      </c>
      <c r="BG50" s="2">
        <f>(BE50-BF50)*Inputs!$C$15/12</f>
        <v/>
      </c>
      <c r="BH50" s="2">
        <f>IF(MAX(Inputs!$D$15-(A50-1),0)&lt;=0,0,(BE50-BF50)*((Inputs!$C$15/12)/(1-(1+Inputs!$C$15/12)^(-MAX(Inputs!$D$15-(A50-1),0)))-Inputs!$C$15/12))</f>
        <v/>
      </c>
      <c r="BI50" s="2">
        <f>(BE50-BF50-BH50)*Inputs!$B$32</f>
        <v/>
      </c>
      <c r="BJ50" s="2">
        <f>BE50-BF50-BH50-BI50</f>
        <v/>
      </c>
      <c r="BK50" s="2">
        <f>C50+I50+O50+U50+AA50+AG50+AM50+AS50+AY50+BE50</f>
        <v/>
      </c>
      <c r="BL50" s="2">
        <f>D50+J50+P50+V50+AB50+AH50+AN50+AT50+AZ50+BF50</f>
        <v/>
      </c>
      <c r="BM50" s="2">
        <f>E50+K50+Q50+W50+AC50+AI50+AO50+AU50+BA50+BG50</f>
        <v/>
      </c>
      <c r="BN50" s="2">
        <f>F50+L50+R50+X50+AD50+AJ50+AP50+AV50+BB50+BH50</f>
        <v/>
      </c>
      <c r="BO50" s="2">
        <f>G50+M50+S50+Y50+AE50+AK50+AQ50+AW50+BC50+BI50</f>
        <v/>
      </c>
      <c r="BP50" s="2">
        <f>H50+N50+T50+Z50+AF50+AL50+AR50+AX50+BD50+BJ50</f>
        <v/>
      </c>
      <c r="BQ50" s="2">
        <f>IF(A50-Inputs!$B$30&gt;=1,INDEX($BL$5:$BL$101,A50-Inputs!$B$30+1)*(1-Inputs!$B$29),0)</f>
        <v/>
      </c>
      <c r="BR50" s="2">
        <f>BR49+BL50</f>
        <v/>
      </c>
      <c r="BS50" s="2">
        <f>BS49+BQ50</f>
        <v/>
      </c>
      <c r="BT50" s="2">
        <f>BR50*Inputs!$B$29</f>
        <v/>
      </c>
      <c r="BU50" s="2">
        <f>BR50*(1-Inputs!$B$29)-BS50</f>
        <v/>
      </c>
      <c r="BV50" s="2">
        <f>BP50+BU50</f>
        <v/>
      </c>
      <c r="BW50" s="2">
        <f>BM50+BN50+BO50+BQ50</f>
        <v/>
      </c>
      <c r="BX50" s="8">
        <f>BK50-BL50-BN50-BO50-BP50</f>
        <v/>
      </c>
    </row>
    <row r="51">
      <c r="A51" s="7" t="n">
        <v>46</v>
      </c>
      <c r="B51" s="3">
        <f>Inputs!$B$36+(Inputs!$B$37-Inputs!$B$36)*(1-EXP(-A51/Inputs!$B$38))+Inputs!$B$31/10000</f>
        <v/>
      </c>
      <c r="C51" s="2">
        <f>H50</f>
        <v/>
      </c>
      <c r="D51" s="2">
        <f>C51*Inputs!$B$33</f>
        <v/>
      </c>
      <c r="E51" s="2">
        <f>(C51-D51)*Inputs!$C$6/12</f>
        <v/>
      </c>
      <c r="F51" s="2">
        <f>IF(MAX(Inputs!$D$6-(A51-1),0)&lt;=0,0,(C51-D51)*((Inputs!$C$6/12)/(1-(1+Inputs!$C$6/12)^(-MAX(Inputs!$D$6-(A51-1),0)))-Inputs!$C$6/12))</f>
        <v/>
      </c>
      <c r="G51" s="2">
        <f>(C51-D51-F51)*Inputs!$B$32</f>
        <v/>
      </c>
      <c r="H51" s="2">
        <f>C51-D51-F51-G51</f>
        <v/>
      </c>
      <c r="I51" s="2">
        <f>N50</f>
        <v/>
      </c>
      <c r="J51" s="2">
        <f>I51*Inputs!$B$33</f>
        <v/>
      </c>
      <c r="K51" s="2">
        <f>(I51-J51)*Inputs!$C$7/12</f>
        <v/>
      </c>
      <c r="L51" s="2">
        <f>IF(MAX(Inputs!$D$7-(A51-1),0)&lt;=0,0,(I51-J51)*((Inputs!$C$7/12)/(1-(1+Inputs!$C$7/12)^(-MAX(Inputs!$D$7-(A51-1),0)))-Inputs!$C$7/12))</f>
        <v/>
      </c>
      <c r="M51" s="2">
        <f>(I51-J51-L51)*Inputs!$B$32</f>
        <v/>
      </c>
      <c r="N51" s="2">
        <f>I51-J51-L51-M51</f>
        <v/>
      </c>
      <c r="O51" s="2">
        <f>T50</f>
        <v/>
      </c>
      <c r="P51" s="2">
        <f>O51*Inputs!$B$33</f>
        <v/>
      </c>
      <c r="Q51" s="2">
        <f>(O51-P51)*Inputs!$C$8/12</f>
        <v/>
      </c>
      <c r="R51" s="2">
        <f>IF(MAX(Inputs!$D$8-(A51-1),0)&lt;=0,0,(O51-P51)*((Inputs!$C$8/12)/(1-(1+Inputs!$C$8/12)^(-MAX(Inputs!$D$8-(A51-1),0)))-Inputs!$C$8/12))</f>
        <v/>
      </c>
      <c r="S51" s="2">
        <f>(O51-P51-R51)*Inputs!$B$32</f>
        <v/>
      </c>
      <c r="T51" s="2">
        <f>O51-P51-R51-S51</f>
        <v/>
      </c>
      <c r="U51" s="2">
        <f>Z50</f>
        <v/>
      </c>
      <c r="V51" s="2">
        <f>U51*Inputs!$B$33</f>
        <v/>
      </c>
      <c r="W51" s="2">
        <f>(U51-V51)*Inputs!$C$9/12</f>
        <v/>
      </c>
      <c r="X51" s="2">
        <f>IF(MAX(Inputs!$D$9-(A51-1),0)&lt;=0,0,(U51-V51)*((Inputs!$C$9/12)/(1-(1+Inputs!$C$9/12)^(-MAX(Inputs!$D$9-(A51-1),0)))-Inputs!$C$9/12))</f>
        <v/>
      </c>
      <c r="Y51" s="2">
        <f>(U51-V51-X51)*Inputs!$B$32</f>
        <v/>
      </c>
      <c r="Z51" s="2">
        <f>U51-V51-X51-Y51</f>
        <v/>
      </c>
      <c r="AA51" s="2">
        <f>AF50</f>
        <v/>
      </c>
      <c r="AB51" s="2">
        <f>AA51*Inputs!$B$33</f>
        <v/>
      </c>
      <c r="AC51" s="2">
        <f>(AA51-AB51)*Inputs!$C$10/12</f>
        <v/>
      </c>
      <c r="AD51" s="2">
        <f>IF(MAX(Inputs!$D$10-(A51-1),0)&lt;=0,0,(AA51-AB51)*((Inputs!$C$10/12)/(1-(1+Inputs!$C$10/12)^(-MAX(Inputs!$D$10-(A51-1),0)))-Inputs!$C$10/12))</f>
        <v/>
      </c>
      <c r="AE51" s="2">
        <f>(AA51-AB51-AD51)*Inputs!$B$32</f>
        <v/>
      </c>
      <c r="AF51" s="2">
        <f>AA51-AB51-AD51-AE51</f>
        <v/>
      </c>
      <c r="AG51" s="2">
        <f>AL50</f>
        <v/>
      </c>
      <c r="AH51" s="2">
        <f>AG51*Inputs!$B$33</f>
        <v/>
      </c>
      <c r="AI51" s="2">
        <f>(AG51-AH51)*Inputs!$C$11/12</f>
        <v/>
      </c>
      <c r="AJ51" s="2">
        <f>IF(MAX(Inputs!$D$11-(A51-1),0)&lt;=0,0,(AG51-AH51)*((Inputs!$C$11/12)/(1-(1+Inputs!$C$11/12)^(-MAX(Inputs!$D$11-(A51-1),0)))-Inputs!$C$11/12))</f>
        <v/>
      </c>
      <c r="AK51" s="2">
        <f>(AG51-AH51-AJ51)*Inputs!$B$32</f>
        <v/>
      </c>
      <c r="AL51" s="2">
        <f>AG51-AH51-AJ51-AK51</f>
        <v/>
      </c>
      <c r="AM51" s="2">
        <f>AR50</f>
        <v/>
      </c>
      <c r="AN51" s="2">
        <f>AM51*Inputs!$B$33</f>
        <v/>
      </c>
      <c r="AO51" s="2">
        <f>(AM51-AN51)*Inputs!$C$12/12</f>
        <v/>
      </c>
      <c r="AP51" s="2">
        <f>IF(MAX(Inputs!$D$12-(A51-1),0)&lt;=0,0,(AM51-AN51)*((Inputs!$C$12/12)/(1-(1+Inputs!$C$12/12)^(-MAX(Inputs!$D$12-(A51-1),0)))-Inputs!$C$12/12))</f>
        <v/>
      </c>
      <c r="AQ51" s="2">
        <f>(AM51-AN51-AP51)*Inputs!$B$32</f>
        <v/>
      </c>
      <c r="AR51" s="2">
        <f>AM51-AN51-AP51-AQ51</f>
        <v/>
      </c>
      <c r="AS51" s="2">
        <f>AX50</f>
        <v/>
      </c>
      <c r="AT51" s="2">
        <f>AS51*Inputs!$B$33</f>
        <v/>
      </c>
      <c r="AU51" s="2">
        <f>(AS51-AT51)*Inputs!$C$13/12</f>
        <v/>
      </c>
      <c r="AV51" s="2">
        <f>IF(MAX(Inputs!$D$13-(A51-1),0)&lt;=0,0,(AS51-AT51)*((Inputs!$C$13/12)/(1-(1+Inputs!$C$13/12)^(-MAX(Inputs!$D$13-(A51-1),0)))-Inputs!$C$13/12))</f>
        <v/>
      </c>
      <c r="AW51" s="2">
        <f>(AS51-AT51-AV51)*Inputs!$B$32</f>
        <v/>
      </c>
      <c r="AX51" s="2">
        <f>AS51-AT51-AV51-AW51</f>
        <v/>
      </c>
      <c r="AY51" s="2">
        <f>BD50</f>
        <v/>
      </c>
      <c r="AZ51" s="2">
        <f>AY51*Inputs!$B$33</f>
        <v/>
      </c>
      <c r="BA51" s="2">
        <f>(AY51-AZ51)*Inputs!$C$14/12</f>
        <v/>
      </c>
      <c r="BB51" s="2">
        <f>IF(MAX(Inputs!$D$14-(A51-1),0)&lt;=0,0,(AY51-AZ51)*((Inputs!$C$14/12)/(1-(1+Inputs!$C$14/12)^(-MAX(Inputs!$D$14-(A51-1),0)))-Inputs!$C$14/12))</f>
        <v/>
      </c>
      <c r="BC51" s="2">
        <f>(AY51-AZ51-BB51)*Inputs!$B$32</f>
        <v/>
      </c>
      <c r="BD51" s="2">
        <f>AY51-AZ51-BB51-BC51</f>
        <v/>
      </c>
      <c r="BE51" s="2">
        <f>BJ50</f>
        <v/>
      </c>
      <c r="BF51" s="2">
        <f>BE51*Inputs!$B$33</f>
        <v/>
      </c>
      <c r="BG51" s="2">
        <f>(BE51-BF51)*Inputs!$C$15/12</f>
        <v/>
      </c>
      <c r="BH51" s="2">
        <f>IF(MAX(Inputs!$D$15-(A51-1),0)&lt;=0,0,(BE51-BF51)*((Inputs!$C$15/12)/(1-(1+Inputs!$C$15/12)^(-MAX(Inputs!$D$15-(A51-1),0)))-Inputs!$C$15/12))</f>
        <v/>
      </c>
      <c r="BI51" s="2">
        <f>(BE51-BF51-BH51)*Inputs!$B$32</f>
        <v/>
      </c>
      <c r="BJ51" s="2">
        <f>BE51-BF51-BH51-BI51</f>
        <v/>
      </c>
      <c r="BK51" s="2">
        <f>C51+I51+O51+U51+AA51+AG51+AM51+AS51+AY51+BE51</f>
        <v/>
      </c>
      <c r="BL51" s="2">
        <f>D51+J51+P51+V51+AB51+AH51+AN51+AT51+AZ51+BF51</f>
        <v/>
      </c>
      <c r="BM51" s="2">
        <f>E51+K51+Q51+W51+AC51+AI51+AO51+AU51+BA51+BG51</f>
        <v/>
      </c>
      <c r="BN51" s="2">
        <f>F51+L51+R51+X51+AD51+AJ51+AP51+AV51+BB51+BH51</f>
        <v/>
      </c>
      <c r="BO51" s="2">
        <f>G51+M51+S51+Y51+AE51+AK51+AQ51+AW51+BC51+BI51</f>
        <v/>
      </c>
      <c r="BP51" s="2">
        <f>H51+N51+T51+Z51+AF51+AL51+AR51+AX51+BD51+BJ51</f>
        <v/>
      </c>
      <c r="BQ51" s="2">
        <f>IF(A51-Inputs!$B$30&gt;=1,INDEX($BL$5:$BL$101,A51-Inputs!$B$30+1)*(1-Inputs!$B$29),0)</f>
        <v/>
      </c>
      <c r="BR51" s="2">
        <f>BR50+BL51</f>
        <v/>
      </c>
      <c r="BS51" s="2">
        <f>BS50+BQ51</f>
        <v/>
      </c>
      <c r="BT51" s="2">
        <f>BR51*Inputs!$B$29</f>
        <v/>
      </c>
      <c r="BU51" s="2">
        <f>BR51*(1-Inputs!$B$29)-BS51</f>
        <v/>
      </c>
      <c r="BV51" s="2">
        <f>BP51+BU51</f>
        <v/>
      </c>
      <c r="BW51" s="2">
        <f>BM51+BN51+BO51+BQ51</f>
        <v/>
      </c>
      <c r="BX51" s="8">
        <f>BK51-BL51-BN51-BO51-BP51</f>
        <v/>
      </c>
    </row>
    <row r="52">
      <c r="A52" s="7" t="n">
        <v>47</v>
      </c>
      <c r="B52" s="3">
        <f>Inputs!$B$36+(Inputs!$B$37-Inputs!$B$36)*(1-EXP(-A52/Inputs!$B$38))+Inputs!$B$31/10000</f>
        <v/>
      </c>
      <c r="C52" s="2">
        <f>H51</f>
        <v/>
      </c>
      <c r="D52" s="2">
        <f>C52*Inputs!$B$33</f>
        <v/>
      </c>
      <c r="E52" s="2">
        <f>(C52-D52)*Inputs!$C$6/12</f>
        <v/>
      </c>
      <c r="F52" s="2">
        <f>IF(MAX(Inputs!$D$6-(A52-1),0)&lt;=0,0,(C52-D52)*((Inputs!$C$6/12)/(1-(1+Inputs!$C$6/12)^(-MAX(Inputs!$D$6-(A52-1),0)))-Inputs!$C$6/12))</f>
        <v/>
      </c>
      <c r="G52" s="2">
        <f>(C52-D52-F52)*Inputs!$B$32</f>
        <v/>
      </c>
      <c r="H52" s="2">
        <f>C52-D52-F52-G52</f>
        <v/>
      </c>
      <c r="I52" s="2">
        <f>N51</f>
        <v/>
      </c>
      <c r="J52" s="2">
        <f>I52*Inputs!$B$33</f>
        <v/>
      </c>
      <c r="K52" s="2">
        <f>(I52-J52)*Inputs!$C$7/12</f>
        <v/>
      </c>
      <c r="L52" s="2">
        <f>IF(MAX(Inputs!$D$7-(A52-1),0)&lt;=0,0,(I52-J52)*((Inputs!$C$7/12)/(1-(1+Inputs!$C$7/12)^(-MAX(Inputs!$D$7-(A52-1),0)))-Inputs!$C$7/12))</f>
        <v/>
      </c>
      <c r="M52" s="2">
        <f>(I52-J52-L52)*Inputs!$B$32</f>
        <v/>
      </c>
      <c r="N52" s="2">
        <f>I52-J52-L52-M52</f>
        <v/>
      </c>
      <c r="O52" s="2">
        <f>T51</f>
        <v/>
      </c>
      <c r="P52" s="2">
        <f>O52*Inputs!$B$33</f>
        <v/>
      </c>
      <c r="Q52" s="2">
        <f>(O52-P52)*Inputs!$C$8/12</f>
        <v/>
      </c>
      <c r="R52" s="2">
        <f>IF(MAX(Inputs!$D$8-(A52-1),0)&lt;=0,0,(O52-P52)*((Inputs!$C$8/12)/(1-(1+Inputs!$C$8/12)^(-MAX(Inputs!$D$8-(A52-1),0)))-Inputs!$C$8/12))</f>
        <v/>
      </c>
      <c r="S52" s="2">
        <f>(O52-P52-R52)*Inputs!$B$32</f>
        <v/>
      </c>
      <c r="T52" s="2">
        <f>O52-P52-R52-S52</f>
        <v/>
      </c>
      <c r="U52" s="2">
        <f>Z51</f>
        <v/>
      </c>
      <c r="V52" s="2">
        <f>U52*Inputs!$B$33</f>
        <v/>
      </c>
      <c r="W52" s="2">
        <f>(U52-V52)*Inputs!$C$9/12</f>
        <v/>
      </c>
      <c r="X52" s="2">
        <f>IF(MAX(Inputs!$D$9-(A52-1),0)&lt;=0,0,(U52-V52)*((Inputs!$C$9/12)/(1-(1+Inputs!$C$9/12)^(-MAX(Inputs!$D$9-(A52-1),0)))-Inputs!$C$9/12))</f>
        <v/>
      </c>
      <c r="Y52" s="2">
        <f>(U52-V52-X52)*Inputs!$B$32</f>
        <v/>
      </c>
      <c r="Z52" s="2">
        <f>U52-V52-X52-Y52</f>
        <v/>
      </c>
      <c r="AA52" s="2">
        <f>AF51</f>
        <v/>
      </c>
      <c r="AB52" s="2">
        <f>AA52*Inputs!$B$33</f>
        <v/>
      </c>
      <c r="AC52" s="2">
        <f>(AA52-AB52)*Inputs!$C$10/12</f>
        <v/>
      </c>
      <c r="AD52" s="2">
        <f>IF(MAX(Inputs!$D$10-(A52-1),0)&lt;=0,0,(AA52-AB52)*((Inputs!$C$10/12)/(1-(1+Inputs!$C$10/12)^(-MAX(Inputs!$D$10-(A52-1),0)))-Inputs!$C$10/12))</f>
        <v/>
      </c>
      <c r="AE52" s="2">
        <f>(AA52-AB52-AD52)*Inputs!$B$32</f>
        <v/>
      </c>
      <c r="AF52" s="2">
        <f>AA52-AB52-AD52-AE52</f>
        <v/>
      </c>
      <c r="AG52" s="2">
        <f>AL51</f>
        <v/>
      </c>
      <c r="AH52" s="2">
        <f>AG52*Inputs!$B$33</f>
        <v/>
      </c>
      <c r="AI52" s="2">
        <f>(AG52-AH52)*Inputs!$C$11/12</f>
        <v/>
      </c>
      <c r="AJ52" s="2">
        <f>IF(MAX(Inputs!$D$11-(A52-1),0)&lt;=0,0,(AG52-AH52)*((Inputs!$C$11/12)/(1-(1+Inputs!$C$11/12)^(-MAX(Inputs!$D$11-(A52-1),0)))-Inputs!$C$11/12))</f>
        <v/>
      </c>
      <c r="AK52" s="2">
        <f>(AG52-AH52-AJ52)*Inputs!$B$32</f>
        <v/>
      </c>
      <c r="AL52" s="2">
        <f>AG52-AH52-AJ52-AK52</f>
        <v/>
      </c>
      <c r="AM52" s="2">
        <f>AR51</f>
        <v/>
      </c>
      <c r="AN52" s="2">
        <f>AM52*Inputs!$B$33</f>
        <v/>
      </c>
      <c r="AO52" s="2">
        <f>(AM52-AN52)*Inputs!$C$12/12</f>
        <v/>
      </c>
      <c r="AP52" s="2">
        <f>IF(MAX(Inputs!$D$12-(A52-1),0)&lt;=0,0,(AM52-AN52)*((Inputs!$C$12/12)/(1-(1+Inputs!$C$12/12)^(-MAX(Inputs!$D$12-(A52-1),0)))-Inputs!$C$12/12))</f>
        <v/>
      </c>
      <c r="AQ52" s="2">
        <f>(AM52-AN52-AP52)*Inputs!$B$32</f>
        <v/>
      </c>
      <c r="AR52" s="2">
        <f>AM52-AN52-AP52-AQ52</f>
        <v/>
      </c>
      <c r="AS52" s="2">
        <f>AX51</f>
        <v/>
      </c>
      <c r="AT52" s="2">
        <f>AS52*Inputs!$B$33</f>
        <v/>
      </c>
      <c r="AU52" s="2">
        <f>(AS52-AT52)*Inputs!$C$13/12</f>
        <v/>
      </c>
      <c r="AV52" s="2">
        <f>IF(MAX(Inputs!$D$13-(A52-1),0)&lt;=0,0,(AS52-AT52)*((Inputs!$C$13/12)/(1-(1+Inputs!$C$13/12)^(-MAX(Inputs!$D$13-(A52-1),0)))-Inputs!$C$13/12))</f>
        <v/>
      </c>
      <c r="AW52" s="2">
        <f>(AS52-AT52-AV52)*Inputs!$B$32</f>
        <v/>
      </c>
      <c r="AX52" s="2">
        <f>AS52-AT52-AV52-AW52</f>
        <v/>
      </c>
      <c r="AY52" s="2">
        <f>BD51</f>
        <v/>
      </c>
      <c r="AZ52" s="2">
        <f>AY52*Inputs!$B$33</f>
        <v/>
      </c>
      <c r="BA52" s="2">
        <f>(AY52-AZ52)*Inputs!$C$14/12</f>
        <v/>
      </c>
      <c r="BB52" s="2">
        <f>IF(MAX(Inputs!$D$14-(A52-1),0)&lt;=0,0,(AY52-AZ52)*((Inputs!$C$14/12)/(1-(1+Inputs!$C$14/12)^(-MAX(Inputs!$D$14-(A52-1),0)))-Inputs!$C$14/12))</f>
        <v/>
      </c>
      <c r="BC52" s="2">
        <f>(AY52-AZ52-BB52)*Inputs!$B$32</f>
        <v/>
      </c>
      <c r="BD52" s="2">
        <f>AY52-AZ52-BB52-BC52</f>
        <v/>
      </c>
      <c r="BE52" s="2">
        <f>BJ51</f>
        <v/>
      </c>
      <c r="BF52" s="2">
        <f>BE52*Inputs!$B$33</f>
        <v/>
      </c>
      <c r="BG52" s="2">
        <f>(BE52-BF52)*Inputs!$C$15/12</f>
        <v/>
      </c>
      <c r="BH52" s="2">
        <f>IF(MAX(Inputs!$D$15-(A52-1),0)&lt;=0,0,(BE52-BF52)*((Inputs!$C$15/12)/(1-(1+Inputs!$C$15/12)^(-MAX(Inputs!$D$15-(A52-1),0)))-Inputs!$C$15/12))</f>
        <v/>
      </c>
      <c r="BI52" s="2">
        <f>(BE52-BF52-BH52)*Inputs!$B$32</f>
        <v/>
      </c>
      <c r="BJ52" s="2">
        <f>BE52-BF52-BH52-BI52</f>
        <v/>
      </c>
      <c r="BK52" s="2">
        <f>C52+I52+O52+U52+AA52+AG52+AM52+AS52+AY52+BE52</f>
        <v/>
      </c>
      <c r="BL52" s="2">
        <f>D52+J52+P52+V52+AB52+AH52+AN52+AT52+AZ52+BF52</f>
        <v/>
      </c>
      <c r="BM52" s="2">
        <f>E52+K52+Q52+W52+AC52+AI52+AO52+AU52+BA52+BG52</f>
        <v/>
      </c>
      <c r="BN52" s="2">
        <f>F52+L52+R52+X52+AD52+AJ52+AP52+AV52+BB52+BH52</f>
        <v/>
      </c>
      <c r="BO52" s="2">
        <f>G52+M52+S52+Y52+AE52+AK52+AQ52+AW52+BC52+BI52</f>
        <v/>
      </c>
      <c r="BP52" s="2">
        <f>H52+N52+T52+Z52+AF52+AL52+AR52+AX52+BD52+BJ52</f>
        <v/>
      </c>
      <c r="BQ52" s="2">
        <f>IF(A52-Inputs!$B$30&gt;=1,INDEX($BL$5:$BL$101,A52-Inputs!$B$30+1)*(1-Inputs!$B$29),0)</f>
        <v/>
      </c>
      <c r="BR52" s="2">
        <f>BR51+BL52</f>
        <v/>
      </c>
      <c r="BS52" s="2">
        <f>BS51+BQ52</f>
        <v/>
      </c>
      <c r="BT52" s="2">
        <f>BR52*Inputs!$B$29</f>
        <v/>
      </c>
      <c r="BU52" s="2">
        <f>BR52*(1-Inputs!$B$29)-BS52</f>
        <v/>
      </c>
      <c r="BV52" s="2">
        <f>BP52+BU52</f>
        <v/>
      </c>
      <c r="BW52" s="2">
        <f>BM52+BN52+BO52+BQ52</f>
        <v/>
      </c>
      <c r="BX52" s="8">
        <f>BK52-BL52-BN52-BO52-BP52</f>
        <v/>
      </c>
    </row>
    <row r="53">
      <c r="A53" s="7" t="n">
        <v>48</v>
      </c>
      <c r="B53" s="3">
        <f>Inputs!$B$36+(Inputs!$B$37-Inputs!$B$36)*(1-EXP(-A53/Inputs!$B$38))+Inputs!$B$31/10000</f>
        <v/>
      </c>
      <c r="C53" s="2">
        <f>H52</f>
        <v/>
      </c>
      <c r="D53" s="2">
        <f>C53*Inputs!$B$33</f>
        <v/>
      </c>
      <c r="E53" s="2">
        <f>(C53-D53)*Inputs!$C$6/12</f>
        <v/>
      </c>
      <c r="F53" s="2">
        <f>IF(MAX(Inputs!$D$6-(A53-1),0)&lt;=0,0,(C53-D53)*((Inputs!$C$6/12)/(1-(1+Inputs!$C$6/12)^(-MAX(Inputs!$D$6-(A53-1),0)))-Inputs!$C$6/12))</f>
        <v/>
      </c>
      <c r="G53" s="2">
        <f>(C53-D53-F53)*Inputs!$B$32</f>
        <v/>
      </c>
      <c r="H53" s="2">
        <f>C53-D53-F53-G53</f>
        <v/>
      </c>
      <c r="I53" s="2">
        <f>N52</f>
        <v/>
      </c>
      <c r="J53" s="2">
        <f>I53*Inputs!$B$33</f>
        <v/>
      </c>
      <c r="K53" s="2">
        <f>(I53-J53)*Inputs!$C$7/12</f>
        <v/>
      </c>
      <c r="L53" s="2">
        <f>IF(MAX(Inputs!$D$7-(A53-1),0)&lt;=0,0,(I53-J53)*((Inputs!$C$7/12)/(1-(1+Inputs!$C$7/12)^(-MAX(Inputs!$D$7-(A53-1),0)))-Inputs!$C$7/12))</f>
        <v/>
      </c>
      <c r="M53" s="2">
        <f>(I53-J53-L53)*Inputs!$B$32</f>
        <v/>
      </c>
      <c r="N53" s="2">
        <f>I53-J53-L53-M53</f>
        <v/>
      </c>
      <c r="O53" s="2">
        <f>T52</f>
        <v/>
      </c>
      <c r="P53" s="2">
        <f>O53*Inputs!$B$33</f>
        <v/>
      </c>
      <c r="Q53" s="2">
        <f>(O53-P53)*Inputs!$C$8/12</f>
        <v/>
      </c>
      <c r="R53" s="2">
        <f>IF(MAX(Inputs!$D$8-(A53-1),0)&lt;=0,0,(O53-P53)*((Inputs!$C$8/12)/(1-(1+Inputs!$C$8/12)^(-MAX(Inputs!$D$8-(A53-1),0)))-Inputs!$C$8/12))</f>
        <v/>
      </c>
      <c r="S53" s="2">
        <f>(O53-P53-R53)*Inputs!$B$32</f>
        <v/>
      </c>
      <c r="T53" s="2">
        <f>O53-P53-R53-S53</f>
        <v/>
      </c>
      <c r="U53" s="2">
        <f>Z52</f>
        <v/>
      </c>
      <c r="V53" s="2">
        <f>U53*Inputs!$B$33</f>
        <v/>
      </c>
      <c r="W53" s="2">
        <f>(U53-V53)*Inputs!$C$9/12</f>
        <v/>
      </c>
      <c r="X53" s="2">
        <f>IF(MAX(Inputs!$D$9-(A53-1),0)&lt;=0,0,(U53-V53)*((Inputs!$C$9/12)/(1-(1+Inputs!$C$9/12)^(-MAX(Inputs!$D$9-(A53-1),0)))-Inputs!$C$9/12))</f>
        <v/>
      </c>
      <c r="Y53" s="2">
        <f>(U53-V53-X53)*Inputs!$B$32</f>
        <v/>
      </c>
      <c r="Z53" s="2">
        <f>U53-V53-X53-Y53</f>
        <v/>
      </c>
      <c r="AA53" s="2">
        <f>AF52</f>
        <v/>
      </c>
      <c r="AB53" s="2">
        <f>AA53*Inputs!$B$33</f>
        <v/>
      </c>
      <c r="AC53" s="2">
        <f>(AA53-AB53)*Inputs!$C$10/12</f>
        <v/>
      </c>
      <c r="AD53" s="2">
        <f>IF(MAX(Inputs!$D$10-(A53-1),0)&lt;=0,0,(AA53-AB53)*((Inputs!$C$10/12)/(1-(1+Inputs!$C$10/12)^(-MAX(Inputs!$D$10-(A53-1),0)))-Inputs!$C$10/12))</f>
        <v/>
      </c>
      <c r="AE53" s="2">
        <f>(AA53-AB53-AD53)*Inputs!$B$32</f>
        <v/>
      </c>
      <c r="AF53" s="2">
        <f>AA53-AB53-AD53-AE53</f>
        <v/>
      </c>
      <c r="AG53" s="2">
        <f>AL52</f>
        <v/>
      </c>
      <c r="AH53" s="2">
        <f>AG53*Inputs!$B$33</f>
        <v/>
      </c>
      <c r="AI53" s="2">
        <f>(AG53-AH53)*Inputs!$C$11/12</f>
        <v/>
      </c>
      <c r="AJ53" s="2">
        <f>IF(MAX(Inputs!$D$11-(A53-1),0)&lt;=0,0,(AG53-AH53)*((Inputs!$C$11/12)/(1-(1+Inputs!$C$11/12)^(-MAX(Inputs!$D$11-(A53-1),0)))-Inputs!$C$11/12))</f>
        <v/>
      </c>
      <c r="AK53" s="2">
        <f>(AG53-AH53-AJ53)*Inputs!$B$32</f>
        <v/>
      </c>
      <c r="AL53" s="2">
        <f>AG53-AH53-AJ53-AK53</f>
        <v/>
      </c>
      <c r="AM53" s="2">
        <f>AR52</f>
        <v/>
      </c>
      <c r="AN53" s="2">
        <f>AM53*Inputs!$B$33</f>
        <v/>
      </c>
      <c r="AO53" s="2">
        <f>(AM53-AN53)*Inputs!$C$12/12</f>
        <v/>
      </c>
      <c r="AP53" s="2">
        <f>IF(MAX(Inputs!$D$12-(A53-1),0)&lt;=0,0,(AM53-AN53)*((Inputs!$C$12/12)/(1-(1+Inputs!$C$12/12)^(-MAX(Inputs!$D$12-(A53-1),0)))-Inputs!$C$12/12))</f>
        <v/>
      </c>
      <c r="AQ53" s="2">
        <f>(AM53-AN53-AP53)*Inputs!$B$32</f>
        <v/>
      </c>
      <c r="AR53" s="2">
        <f>AM53-AN53-AP53-AQ53</f>
        <v/>
      </c>
      <c r="AS53" s="2">
        <f>AX52</f>
        <v/>
      </c>
      <c r="AT53" s="2">
        <f>AS53*Inputs!$B$33</f>
        <v/>
      </c>
      <c r="AU53" s="2">
        <f>(AS53-AT53)*Inputs!$C$13/12</f>
        <v/>
      </c>
      <c r="AV53" s="2">
        <f>IF(MAX(Inputs!$D$13-(A53-1),0)&lt;=0,0,(AS53-AT53)*((Inputs!$C$13/12)/(1-(1+Inputs!$C$13/12)^(-MAX(Inputs!$D$13-(A53-1),0)))-Inputs!$C$13/12))</f>
        <v/>
      </c>
      <c r="AW53" s="2">
        <f>(AS53-AT53-AV53)*Inputs!$B$32</f>
        <v/>
      </c>
      <c r="AX53" s="2">
        <f>AS53-AT53-AV53-AW53</f>
        <v/>
      </c>
      <c r="AY53" s="2">
        <f>BD52</f>
        <v/>
      </c>
      <c r="AZ53" s="2">
        <f>AY53*Inputs!$B$33</f>
        <v/>
      </c>
      <c r="BA53" s="2">
        <f>(AY53-AZ53)*Inputs!$C$14/12</f>
        <v/>
      </c>
      <c r="BB53" s="2">
        <f>IF(MAX(Inputs!$D$14-(A53-1),0)&lt;=0,0,(AY53-AZ53)*((Inputs!$C$14/12)/(1-(1+Inputs!$C$14/12)^(-MAX(Inputs!$D$14-(A53-1),0)))-Inputs!$C$14/12))</f>
        <v/>
      </c>
      <c r="BC53" s="2">
        <f>(AY53-AZ53-BB53)*Inputs!$B$32</f>
        <v/>
      </c>
      <c r="BD53" s="2">
        <f>AY53-AZ53-BB53-BC53</f>
        <v/>
      </c>
      <c r="BE53" s="2">
        <f>BJ52</f>
        <v/>
      </c>
      <c r="BF53" s="2">
        <f>BE53*Inputs!$B$33</f>
        <v/>
      </c>
      <c r="BG53" s="2">
        <f>(BE53-BF53)*Inputs!$C$15/12</f>
        <v/>
      </c>
      <c r="BH53" s="2">
        <f>IF(MAX(Inputs!$D$15-(A53-1),0)&lt;=0,0,(BE53-BF53)*((Inputs!$C$15/12)/(1-(1+Inputs!$C$15/12)^(-MAX(Inputs!$D$15-(A53-1),0)))-Inputs!$C$15/12))</f>
        <v/>
      </c>
      <c r="BI53" s="2">
        <f>(BE53-BF53-BH53)*Inputs!$B$32</f>
        <v/>
      </c>
      <c r="BJ53" s="2">
        <f>BE53-BF53-BH53-BI53</f>
        <v/>
      </c>
      <c r="BK53" s="2">
        <f>C53+I53+O53+U53+AA53+AG53+AM53+AS53+AY53+BE53</f>
        <v/>
      </c>
      <c r="BL53" s="2">
        <f>D53+J53+P53+V53+AB53+AH53+AN53+AT53+AZ53+BF53</f>
        <v/>
      </c>
      <c r="BM53" s="2">
        <f>E53+K53+Q53+W53+AC53+AI53+AO53+AU53+BA53+BG53</f>
        <v/>
      </c>
      <c r="BN53" s="2">
        <f>F53+L53+R53+X53+AD53+AJ53+AP53+AV53+BB53+BH53</f>
        <v/>
      </c>
      <c r="BO53" s="2">
        <f>G53+M53+S53+Y53+AE53+AK53+AQ53+AW53+BC53+BI53</f>
        <v/>
      </c>
      <c r="BP53" s="2">
        <f>H53+N53+T53+Z53+AF53+AL53+AR53+AX53+BD53+BJ53</f>
        <v/>
      </c>
      <c r="BQ53" s="2">
        <f>IF(A53-Inputs!$B$30&gt;=1,INDEX($BL$5:$BL$101,A53-Inputs!$B$30+1)*(1-Inputs!$B$29),0)</f>
        <v/>
      </c>
      <c r="BR53" s="2">
        <f>BR52+BL53</f>
        <v/>
      </c>
      <c r="BS53" s="2">
        <f>BS52+BQ53</f>
        <v/>
      </c>
      <c r="BT53" s="2">
        <f>BR53*Inputs!$B$29</f>
        <v/>
      </c>
      <c r="BU53" s="2">
        <f>BR53*(1-Inputs!$B$29)-BS53</f>
        <v/>
      </c>
      <c r="BV53" s="2">
        <f>BP53+BU53</f>
        <v/>
      </c>
      <c r="BW53" s="2">
        <f>BM53+BN53+BO53+BQ53</f>
        <v/>
      </c>
      <c r="BX53" s="8">
        <f>BK53-BL53-BN53-BO53-BP53</f>
        <v/>
      </c>
    </row>
    <row r="54">
      <c r="A54" s="7" t="n">
        <v>49</v>
      </c>
      <c r="B54" s="3">
        <f>Inputs!$B$36+(Inputs!$B$37-Inputs!$B$36)*(1-EXP(-A54/Inputs!$B$38))+Inputs!$B$31/10000</f>
        <v/>
      </c>
      <c r="C54" s="2">
        <f>H53</f>
        <v/>
      </c>
      <c r="D54" s="2">
        <f>C54*Inputs!$B$33</f>
        <v/>
      </c>
      <c r="E54" s="2">
        <f>(C54-D54)*Inputs!$C$6/12</f>
        <v/>
      </c>
      <c r="F54" s="2">
        <f>IF(MAX(Inputs!$D$6-(A54-1),0)&lt;=0,0,(C54-D54)*((Inputs!$C$6/12)/(1-(1+Inputs!$C$6/12)^(-MAX(Inputs!$D$6-(A54-1),0)))-Inputs!$C$6/12))</f>
        <v/>
      </c>
      <c r="G54" s="2">
        <f>(C54-D54-F54)*Inputs!$B$32</f>
        <v/>
      </c>
      <c r="H54" s="2">
        <f>C54-D54-F54-G54</f>
        <v/>
      </c>
      <c r="I54" s="2">
        <f>N53</f>
        <v/>
      </c>
      <c r="J54" s="2">
        <f>I54*Inputs!$B$33</f>
        <v/>
      </c>
      <c r="K54" s="2">
        <f>(I54-J54)*Inputs!$C$7/12</f>
        <v/>
      </c>
      <c r="L54" s="2">
        <f>IF(MAX(Inputs!$D$7-(A54-1),0)&lt;=0,0,(I54-J54)*((Inputs!$C$7/12)/(1-(1+Inputs!$C$7/12)^(-MAX(Inputs!$D$7-(A54-1),0)))-Inputs!$C$7/12))</f>
        <v/>
      </c>
      <c r="M54" s="2">
        <f>(I54-J54-L54)*Inputs!$B$32</f>
        <v/>
      </c>
      <c r="N54" s="2">
        <f>I54-J54-L54-M54</f>
        <v/>
      </c>
      <c r="O54" s="2">
        <f>T53</f>
        <v/>
      </c>
      <c r="P54" s="2">
        <f>O54*Inputs!$B$33</f>
        <v/>
      </c>
      <c r="Q54" s="2">
        <f>(O54-P54)*Inputs!$C$8/12</f>
        <v/>
      </c>
      <c r="R54" s="2">
        <f>IF(MAX(Inputs!$D$8-(A54-1),0)&lt;=0,0,(O54-P54)*((Inputs!$C$8/12)/(1-(1+Inputs!$C$8/12)^(-MAX(Inputs!$D$8-(A54-1),0)))-Inputs!$C$8/12))</f>
        <v/>
      </c>
      <c r="S54" s="2">
        <f>(O54-P54-R54)*Inputs!$B$32</f>
        <v/>
      </c>
      <c r="T54" s="2">
        <f>O54-P54-R54-S54</f>
        <v/>
      </c>
      <c r="U54" s="2">
        <f>Z53</f>
        <v/>
      </c>
      <c r="V54" s="2">
        <f>U54*Inputs!$B$33</f>
        <v/>
      </c>
      <c r="W54" s="2">
        <f>(U54-V54)*Inputs!$C$9/12</f>
        <v/>
      </c>
      <c r="X54" s="2">
        <f>IF(MAX(Inputs!$D$9-(A54-1),0)&lt;=0,0,(U54-V54)*((Inputs!$C$9/12)/(1-(1+Inputs!$C$9/12)^(-MAX(Inputs!$D$9-(A54-1),0)))-Inputs!$C$9/12))</f>
        <v/>
      </c>
      <c r="Y54" s="2">
        <f>(U54-V54-X54)*Inputs!$B$32</f>
        <v/>
      </c>
      <c r="Z54" s="2">
        <f>U54-V54-X54-Y54</f>
        <v/>
      </c>
      <c r="AA54" s="2">
        <f>AF53</f>
        <v/>
      </c>
      <c r="AB54" s="2">
        <f>AA54*Inputs!$B$33</f>
        <v/>
      </c>
      <c r="AC54" s="2">
        <f>(AA54-AB54)*Inputs!$C$10/12</f>
        <v/>
      </c>
      <c r="AD54" s="2">
        <f>IF(MAX(Inputs!$D$10-(A54-1),0)&lt;=0,0,(AA54-AB54)*((Inputs!$C$10/12)/(1-(1+Inputs!$C$10/12)^(-MAX(Inputs!$D$10-(A54-1),0)))-Inputs!$C$10/12))</f>
        <v/>
      </c>
      <c r="AE54" s="2">
        <f>(AA54-AB54-AD54)*Inputs!$B$32</f>
        <v/>
      </c>
      <c r="AF54" s="2">
        <f>AA54-AB54-AD54-AE54</f>
        <v/>
      </c>
      <c r="AG54" s="2">
        <f>AL53</f>
        <v/>
      </c>
      <c r="AH54" s="2">
        <f>AG54*Inputs!$B$33</f>
        <v/>
      </c>
      <c r="AI54" s="2">
        <f>(AG54-AH54)*Inputs!$C$11/12</f>
        <v/>
      </c>
      <c r="AJ54" s="2">
        <f>IF(MAX(Inputs!$D$11-(A54-1),0)&lt;=0,0,(AG54-AH54)*((Inputs!$C$11/12)/(1-(1+Inputs!$C$11/12)^(-MAX(Inputs!$D$11-(A54-1),0)))-Inputs!$C$11/12))</f>
        <v/>
      </c>
      <c r="AK54" s="2">
        <f>(AG54-AH54-AJ54)*Inputs!$B$32</f>
        <v/>
      </c>
      <c r="AL54" s="2">
        <f>AG54-AH54-AJ54-AK54</f>
        <v/>
      </c>
      <c r="AM54" s="2">
        <f>AR53</f>
        <v/>
      </c>
      <c r="AN54" s="2">
        <f>AM54*Inputs!$B$33</f>
        <v/>
      </c>
      <c r="AO54" s="2">
        <f>(AM54-AN54)*Inputs!$C$12/12</f>
        <v/>
      </c>
      <c r="AP54" s="2">
        <f>IF(MAX(Inputs!$D$12-(A54-1),0)&lt;=0,0,(AM54-AN54)*((Inputs!$C$12/12)/(1-(1+Inputs!$C$12/12)^(-MAX(Inputs!$D$12-(A54-1),0)))-Inputs!$C$12/12))</f>
        <v/>
      </c>
      <c r="AQ54" s="2">
        <f>(AM54-AN54-AP54)*Inputs!$B$32</f>
        <v/>
      </c>
      <c r="AR54" s="2">
        <f>AM54-AN54-AP54-AQ54</f>
        <v/>
      </c>
      <c r="AS54" s="2">
        <f>AX53</f>
        <v/>
      </c>
      <c r="AT54" s="2">
        <f>AS54*Inputs!$B$33</f>
        <v/>
      </c>
      <c r="AU54" s="2">
        <f>(AS54-AT54)*Inputs!$C$13/12</f>
        <v/>
      </c>
      <c r="AV54" s="2">
        <f>IF(MAX(Inputs!$D$13-(A54-1),0)&lt;=0,0,(AS54-AT54)*((Inputs!$C$13/12)/(1-(1+Inputs!$C$13/12)^(-MAX(Inputs!$D$13-(A54-1),0)))-Inputs!$C$13/12))</f>
        <v/>
      </c>
      <c r="AW54" s="2">
        <f>(AS54-AT54-AV54)*Inputs!$B$32</f>
        <v/>
      </c>
      <c r="AX54" s="2">
        <f>AS54-AT54-AV54-AW54</f>
        <v/>
      </c>
      <c r="AY54" s="2">
        <f>BD53</f>
        <v/>
      </c>
      <c r="AZ54" s="2">
        <f>AY54*Inputs!$B$33</f>
        <v/>
      </c>
      <c r="BA54" s="2">
        <f>(AY54-AZ54)*Inputs!$C$14/12</f>
        <v/>
      </c>
      <c r="BB54" s="2">
        <f>IF(MAX(Inputs!$D$14-(A54-1),0)&lt;=0,0,(AY54-AZ54)*((Inputs!$C$14/12)/(1-(1+Inputs!$C$14/12)^(-MAX(Inputs!$D$14-(A54-1),0)))-Inputs!$C$14/12))</f>
        <v/>
      </c>
      <c r="BC54" s="2">
        <f>(AY54-AZ54-BB54)*Inputs!$B$32</f>
        <v/>
      </c>
      <c r="BD54" s="2">
        <f>AY54-AZ54-BB54-BC54</f>
        <v/>
      </c>
      <c r="BE54" s="2">
        <f>BJ53</f>
        <v/>
      </c>
      <c r="BF54" s="2">
        <f>BE54*Inputs!$B$33</f>
        <v/>
      </c>
      <c r="BG54" s="2">
        <f>(BE54-BF54)*Inputs!$C$15/12</f>
        <v/>
      </c>
      <c r="BH54" s="2">
        <f>IF(MAX(Inputs!$D$15-(A54-1),0)&lt;=0,0,(BE54-BF54)*((Inputs!$C$15/12)/(1-(1+Inputs!$C$15/12)^(-MAX(Inputs!$D$15-(A54-1),0)))-Inputs!$C$15/12))</f>
        <v/>
      </c>
      <c r="BI54" s="2">
        <f>(BE54-BF54-BH54)*Inputs!$B$32</f>
        <v/>
      </c>
      <c r="BJ54" s="2">
        <f>BE54-BF54-BH54-BI54</f>
        <v/>
      </c>
      <c r="BK54" s="2">
        <f>C54+I54+O54+U54+AA54+AG54+AM54+AS54+AY54+BE54</f>
        <v/>
      </c>
      <c r="BL54" s="2">
        <f>D54+J54+P54+V54+AB54+AH54+AN54+AT54+AZ54+BF54</f>
        <v/>
      </c>
      <c r="BM54" s="2">
        <f>E54+K54+Q54+W54+AC54+AI54+AO54+AU54+BA54+BG54</f>
        <v/>
      </c>
      <c r="BN54" s="2">
        <f>F54+L54+R54+X54+AD54+AJ54+AP54+AV54+BB54+BH54</f>
        <v/>
      </c>
      <c r="BO54" s="2">
        <f>G54+M54+S54+Y54+AE54+AK54+AQ54+AW54+BC54+BI54</f>
        <v/>
      </c>
      <c r="BP54" s="2">
        <f>H54+N54+T54+Z54+AF54+AL54+AR54+AX54+BD54+BJ54</f>
        <v/>
      </c>
      <c r="BQ54" s="2">
        <f>IF(A54-Inputs!$B$30&gt;=1,INDEX($BL$5:$BL$101,A54-Inputs!$B$30+1)*(1-Inputs!$B$29),0)</f>
        <v/>
      </c>
      <c r="BR54" s="2">
        <f>BR53+BL54</f>
        <v/>
      </c>
      <c r="BS54" s="2">
        <f>BS53+BQ54</f>
        <v/>
      </c>
      <c r="BT54" s="2">
        <f>BR54*Inputs!$B$29</f>
        <v/>
      </c>
      <c r="BU54" s="2">
        <f>BR54*(1-Inputs!$B$29)-BS54</f>
        <v/>
      </c>
      <c r="BV54" s="2">
        <f>BP54+BU54</f>
        <v/>
      </c>
      <c r="BW54" s="2">
        <f>BM54+BN54+BO54+BQ54</f>
        <v/>
      </c>
      <c r="BX54" s="8">
        <f>BK54-BL54-BN54-BO54-BP54</f>
        <v/>
      </c>
    </row>
    <row r="55">
      <c r="A55" s="7" t="n">
        <v>50</v>
      </c>
      <c r="B55" s="3">
        <f>Inputs!$B$36+(Inputs!$B$37-Inputs!$B$36)*(1-EXP(-A55/Inputs!$B$38))+Inputs!$B$31/10000</f>
        <v/>
      </c>
      <c r="C55" s="2">
        <f>H54</f>
        <v/>
      </c>
      <c r="D55" s="2">
        <f>C55*Inputs!$B$33</f>
        <v/>
      </c>
      <c r="E55" s="2">
        <f>(C55-D55)*Inputs!$C$6/12</f>
        <v/>
      </c>
      <c r="F55" s="2">
        <f>IF(MAX(Inputs!$D$6-(A55-1),0)&lt;=0,0,(C55-D55)*((Inputs!$C$6/12)/(1-(1+Inputs!$C$6/12)^(-MAX(Inputs!$D$6-(A55-1),0)))-Inputs!$C$6/12))</f>
        <v/>
      </c>
      <c r="G55" s="2">
        <f>(C55-D55-F55)*Inputs!$B$32</f>
        <v/>
      </c>
      <c r="H55" s="2">
        <f>C55-D55-F55-G55</f>
        <v/>
      </c>
      <c r="I55" s="2">
        <f>N54</f>
        <v/>
      </c>
      <c r="J55" s="2">
        <f>I55*Inputs!$B$33</f>
        <v/>
      </c>
      <c r="K55" s="2">
        <f>(I55-J55)*Inputs!$C$7/12</f>
        <v/>
      </c>
      <c r="L55" s="2">
        <f>IF(MAX(Inputs!$D$7-(A55-1),0)&lt;=0,0,(I55-J55)*((Inputs!$C$7/12)/(1-(1+Inputs!$C$7/12)^(-MAX(Inputs!$D$7-(A55-1),0)))-Inputs!$C$7/12))</f>
        <v/>
      </c>
      <c r="M55" s="2">
        <f>(I55-J55-L55)*Inputs!$B$32</f>
        <v/>
      </c>
      <c r="N55" s="2">
        <f>I55-J55-L55-M55</f>
        <v/>
      </c>
      <c r="O55" s="2">
        <f>T54</f>
        <v/>
      </c>
      <c r="P55" s="2">
        <f>O55*Inputs!$B$33</f>
        <v/>
      </c>
      <c r="Q55" s="2">
        <f>(O55-P55)*Inputs!$C$8/12</f>
        <v/>
      </c>
      <c r="R55" s="2">
        <f>IF(MAX(Inputs!$D$8-(A55-1),0)&lt;=0,0,(O55-P55)*((Inputs!$C$8/12)/(1-(1+Inputs!$C$8/12)^(-MAX(Inputs!$D$8-(A55-1),0)))-Inputs!$C$8/12))</f>
        <v/>
      </c>
      <c r="S55" s="2">
        <f>(O55-P55-R55)*Inputs!$B$32</f>
        <v/>
      </c>
      <c r="T55" s="2">
        <f>O55-P55-R55-S55</f>
        <v/>
      </c>
      <c r="U55" s="2">
        <f>Z54</f>
        <v/>
      </c>
      <c r="V55" s="2">
        <f>U55*Inputs!$B$33</f>
        <v/>
      </c>
      <c r="W55" s="2">
        <f>(U55-V55)*Inputs!$C$9/12</f>
        <v/>
      </c>
      <c r="X55" s="2">
        <f>IF(MAX(Inputs!$D$9-(A55-1),0)&lt;=0,0,(U55-V55)*((Inputs!$C$9/12)/(1-(1+Inputs!$C$9/12)^(-MAX(Inputs!$D$9-(A55-1),0)))-Inputs!$C$9/12))</f>
        <v/>
      </c>
      <c r="Y55" s="2">
        <f>(U55-V55-X55)*Inputs!$B$32</f>
        <v/>
      </c>
      <c r="Z55" s="2">
        <f>U55-V55-X55-Y55</f>
        <v/>
      </c>
      <c r="AA55" s="2">
        <f>AF54</f>
        <v/>
      </c>
      <c r="AB55" s="2">
        <f>AA55*Inputs!$B$33</f>
        <v/>
      </c>
      <c r="AC55" s="2">
        <f>(AA55-AB55)*Inputs!$C$10/12</f>
        <v/>
      </c>
      <c r="AD55" s="2">
        <f>IF(MAX(Inputs!$D$10-(A55-1),0)&lt;=0,0,(AA55-AB55)*((Inputs!$C$10/12)/(1-(1+Inputs!$C$10/12)^(-MAX(Inputs!$D$10-(A55-1),0)))-Inputs!$C$10/12))</f>
        <v/>
      </c>
      <c r="AE55" s="2">
        <f>(AA55-AB55-AD55)*Inputs!$B$32</f>
        <v/>
      </c>
      <c r="AF55" s="2">
        <f>AA55-AB55-AD55-AE55</f>
        <v/>
      </c>
      <c r="AG55" s="2">
        <f>AL54</f>
        <v/>
      </c>
      <c r="AH55" s="2">
        <f>AG55*Inputs!$B$33</f>
        <v/>
      </c>
      <c r="AI55" s="2">
        <f>(AG55-AH55)*Inputs!$C$11/12</f>
        <v/>
      </c>
      <c r="AJ55" s="2">
        <f>IF(MAX(Inputs!$D$11-(A55-1),0)&lt;=0,0,(AG55-AH55)*((Inputs!$C$11/12)/(1-(1+Inputs!$C$11/12)^(-MAX(Inputs!$D$11-(A55-1),0)))-Inputs!$C$11/12))</f>
        <v/>
      </c>
      <c r="AK55" s="2">
        <f>(AG55-AH55-AJ55)*Inputs!$B$32</f>
        <v/>
      </c>
      <c r="AL55" s="2">
        <f>AG55-AH55-AJ55-AK55</f>
        <v/>
      </c>
      <c r="AM55" s="2">
        <f>AR54</f>
        <v/>
      </c>
      <c r="AN55" s="2">
        <f>AM55*Inputs!$B$33</f>
        <v/>
      </c>
      <c r="AO55" s="2">
        <f>(AM55-AN55)*Inputs!$C$12/12</f>
        <v/>
      </c>
      <c r="AP55" s="2">
        <f>IF(MAX(Inputs!$D$12-(A55-1),0)&lt;=0,0,(AM55-AN55)*((Inputs!$C$12/12)/(1-(1+Inputs!$C$12/12)^(-MAX(Inputs!$D$12-(A55-1),0)))-Inputs!$C$12/12))</f>
        <v/>
      </c>
      <c r="AQ55" s="2">
        <f>(AM55-AN55-AP55)*Inputs!$B$32</f>
        <v/>
      </c>
      <c r="AR55" s="2">
        <f>AM55-AN55-AP55-AQ55</f>
        <v/>
      </c>
      <c r="AS55" s="2">
        <f>AX54</f>
        <v/>
      </c>
      <c r="AT55" s="2">
        <f>AS55*Inputs!$B$33</f>
        <v/>
      </c>
      <c r="AU55" s="2">
        <f>(AS55-AT55)*Inputs!$C$13/12</f>
        <v/>
      </c>
      <c r="AV55" s="2">
        <f>IF(MAX(Inputs!$D$13-(A55-1),0)&lt;=0,0,(AS55-AT55)*((Inputs!$C$13/12)/(1-(1+Inputs!$C$13/12)^(-MAX(Inputs!$D$13-(A55-1),0)))-Inputs!$C$13/12))</f>
        <v/>
      </c>
      <c r="AW55" s="2">
        <f>(AS55-AT55-AV55)*Inputs!$B$32</f>
        <v/>
      </c>
      <c r="AX55" s="2">
        <f>AS55-AT55-AV55-AW55</f>
        <v/>
      </c>
      <c r="AY55" s="2">
        <f>BD54</f>
        <v/>
      </c>
      <c r="AZ55" s="2">
        <f>AY55*Inputs!$B$33</f>
        <v/>
      </c>
      <c r="BA55" s="2">
        <f>(AY55-AZ55)*Inputs!$C$14/12</f>
        <v/>
      </c>
      <c r="BB55" s="2">
        <f>IF(MAX(Inputs!$D$14-(A55-1),0)&lt;=0,0,(AY55-AZ55)*((Inputs!$C$14/12)/(1-(1+Inputs!$C$14/12)^(-MAX(Inputs!$D$14-(A55-1),0)))-Inputs!$C$14/12))</f>
        <v/>
      </c>
      <c r="BC55" s="2">
        <f>(AY55-AZ55-BB55)*Inputs!$B$32</f>
        <v/>
      </c>
      <c r="BD55" s="2">
        <f>AY55-AZ55-BB55-BC55</f>
        <v/>
      </c>
      <c r="BE55" s="2">
        <f>BJ54</f>
        <v/>
      </c>
      <c r="BF55" s="2">
        <f>BE55*Inputs!$B$33</f>
        <v/>
      </c>
      <c r="BG55" s="2">
        <f>(BE55-BF55)*Inputs!$C$15/12</f>
        <v/>
      </c>
      <c r="BH55" s="2">
        <f>IF(MAX(Inputs!$D$15-(A55-1),0)&lt;=0,0,(BE55-BF55)*((Inputs!$C$15/12)/(1-(1+Inputs!$C$15/12)^(-MAX(Inputs!$D$15-(A55-1),0)))-Inputs!$C$15/12))</f>
        <v/>
      </c>
      <c r="BI55" s="2">
        <f>(BE55-BF55-BH55)*Inputs!$B$32</f>
        <v/>
      </c>
      <c r="BJ55" s="2">
        <f>BE55-BF55-BH55-BI55</f>
        <v/>
      </c>
      <c r="BK55" s="2">
        <f>C55+I55+O55+U55+AA55+AG55+AM55+AS55+AY55+BE55</f>
        <v/>
      </c>
      <c r="BL55" s="2">
        <f>D55+J55+P55+V55+AB55+AH55+AN55+AT55+AZ55+BF55</f>
        <v/>
      </c>
      <c r="BM55" s="2">
        <f>E55+K55+Q55+W55+AC55+AI55+AO55+AU55+BA55+BG55</f>
        <v/>
      </c>
      <c r="BN55" s="2">
        <f>F55+L55+R55+X55+AD55+AJ55+AP55+AV55+BB55+BH55</f>
        <v/>
      </c>
      <c r="BO55" s="2">
        <f>G55+M55+S55+Y55+AE55+AK55+AQ55+AW55+BC55+BI55</f>
        <v/>
      </c>
      <c r="BP55" s="2">
        <f>H55+N55+T55+Z55+AF55+AL55+AR55+AX55+BD55+BJ55</f>
        <v/>
      </c>
      <c r="BQ55" s="2">
        <f>IF(A55-Inputs!$B$30&gt;=1,INDEX($BL$5:$BL$101,A55-Inputs!$B$30+1)*(1-Inputs!$B$29),0)</f>
        <v/>
      </c>
      <c r="BR55" s="2">
        <f>BR54+BL55</f>
        <v/>
      </c>
      <c r="BS55" s="2">
        <f>BS54+BQ55</f>
        <v/>
      </c>
      <c r="BT55" s="2">
        <f>BR55*Inputs!$B$29</f>
        <v/>
      </c>
      <c r="BU55" s="2">
        <f>BR55*(1-Inputs!$B$29)-BS55</f>
        <v/>
      </c>
      <c r="BV55" s="2">
        <f>BP55+BU55</f>
        <v/>
      </c>
      <c r="BW55" s="2">
        <f>BM55+BN55+BO55+BQ55</f>
        <v/>
      </c>
      <c r="BX55" s="8">
        <f>BK55-BL55-BN55-BO55-BP55</f>
        <v/>
      </c>
    </row>
    <row r="56">
      <c r="A56" s="7" t="n">
        <v>51</v>
      </c>
      <c r="B56" s="3">
        <f>Inputs!$B$36+(Inputs!$B$37-Inputs!$B$36)*(1-EXP(-A56/Inputs!$B$38))+Inputs!$B$31/10000</f>
        <v/>
      </c>
      <c r="C56" s="2">
        <f>H55</f>
        <v/>
      </c>
      <c r="D56" s="2">
        <f>C56*Inputs!$B$33</f>
        <v/>
      </c>
      <c r="E56" s="2">
        <f>(C56-D56)*Inputs!$C$6/12</f>
        <v/>
      </c>
      <c r="F56" s="2">
        <f>IF(MAX(Inputs!$D$6-(A56-1),0)&lt;=0,0,(C56-D56)*((Inputs!$C$6/12)/(1-(1+Inputs!$C$6/12)^(-MAX(Inputs!$D$6-(A56-1),0)))-Inputs!$C$6/12))</f>
        <v/>
      </c>
      <c r="G56" s="2">
        <f>(C56-D56-F56)*Inputs!$B$32</f>
        <v/>
      </c>
      <c r="H56" s="2">
        <f>C56-D56-F56-G56</f>
        <v/>
      </c>
      <c r="I56" s="2">
        <f>N55</f>
        <v/>
      </c>
      <c r="J56" s="2">
        <f>I56*Inputs!$B$33</f>
        <v/>
      </c>
      <c r="K56" s="2">
        <f>(I56-J56)*Inputs!$C$7/12</f>
        <v/>
      </c>
      <c r="L56" s="2">
        <f>IF(MAX(Inputs!$D$7-(A56-1),0)&lt;=0,0,(I56-J56)*((Inputs!$C$7/12)/(1-(1+Inputs!$C$7/12)^(-MAX(Inputs!$D$7-(A56-1),0)))-Inputs!$C$7/12))</f>
        <v/>
      </c>
      <c r="M56" s="2">
        <f>(I56-J56-L56)*Inputs!$B$32</f>
        <v/>
      </c>
      <c r="N56" s="2">
        <f>I56-J56-L56-M56</f>
        <v/>
      </c>
      <c r="O56" s="2">
        <f>T55</f>
        <v/>
      </c>
      <c r="P56" s="2">
        <f>O56*Inputs!$B$33</f>
        <v/>
      </c>
      <c r="Q56" s="2">
        <f>(O56-P56)*Inputs!$C$8/12</f>
        <v/>
      </c>
      <c r="R56" s="2">
        <f>IF(MAX(Inputs!$D$8-(A56-1),0)&lt;=0,0,(O56-P56)*((Inputs!$C$8/12)/(1-(1+Inputs!$C$8/12)^(-MAX(Inputs!$D$8-(A56-1),0)))-Inputs!$C$8/12))</f>
        <v/>
      </c>
      <c r="S56" s="2">
        <f>(O56-P56-R56)*Inputs!$B$32</f>
        <v/>
      </c>
      <c r="T56" s="2">
        <f>O56-P56-R56-S56</f>
        <v/>
      </c>
      <c r="U56" s="2">
        <f>Z55</f>
        <v/>
      </c>
      <c r="V56" s="2">
        <f>U56*Inputs!$B$33</f>
        <v/>
      </c>
      <c r="W56" s="2">
        <f>(U56-V56)*Inputs!$C$9/12</f>
        <v/>
      </c>
      <c r="X56" s="2">
        <f>IF(MAX(Inputs!$D$9-(A56-1),0)&lt;=0,0,(U56-V56)*((Inputs!$C$9/12)/(1-(1+Inputs!$C$9/12)^(-MAX(Inputs!$D$9-(A56-1),0)))-Inputs!$C$9/12))</f>
        <v/>
      </c>
      <c r="Y56" s="2">
        <f>(U56-V56-X56)*Inputs!$B$32</f>
        <v/>
      </c>
      <c r="Z56" s="2">
        <f>U56-V56-X56-Y56</f>
        <v/>
      </c>
      <c r="AA56" s="2">
        <f>AF55</f>
        <v/>
      </c>
      <c r="AB56" s="2">
        <f>AA56*Inputs!$B$33</f>
        <v/>
      </c>
      <c r="AC56" s="2">
        <f>(AA56-AB56)*Inputs!$C$10/12</f>
        <v/>
      </c>
      <c r="AD56" s="2">
        <f>IF(MAX(Inputs!$D$10-(A56-1),0)&lt;=0,0,(AA56-AB56)*((Inputs!$C$10/12)/(1-(1+Inputs!$C$10/12)^(-MAX(Inputs!$D$10-(A56-1),0)))-Inputs!$C$10/12))</f>
        <v/>
      </c>
      <c r="AE56" s="2">
        <f>(AA56-AB56-AD56)*Inputs!$B$32</f>
        <v/>
      </c>
      <c r="AF56" s="2">
        <f>AA56-AB56-AD56-AE56</f>
        <v/>
      </c>
      <c r="AG56" s="2">
        <f>AL55</f>
        <v/>
      </c>
      <c r="AH56" s="2">
        <f>AG56*Inputs!$B$33</f>
        <v/>
      </c>
      <c r="AI56" s="2">
        <f>(AG56-AH56)*Inputs!$C$11/12</f>
        <v/>
      </c>
      <c r="AJ56" s="2">
        <f>IF(MAX(Inputs!$D$11-(A56-1),0)&lt;=0,0,(AG56-AH56)*((Inputs!$C$11/12)/(1-(1+Inputs!$C$11/12)^(-MAX(Inputs!$D$11-(A56-1),0)))-Inputs!$C$11/12))</f>
        <v/>
      </c>
      <c r="AK56" s="2">
        <f>(AG56-AH56-AJ56)*Inputs!$B$32</f>
        <v/>
      </c>
      <c r="AL56" s="2">
        <f>AG56-AH56-AJ56-AK56</f>
        <v/>
      </c>
      <c r="AM56" s="2">
        <f>AR55</f>
        <v/>
      </c>
      <c r="AN56" s="2">
        <f>AM56*Inputs!$B$33</f>
        <v/>
      </c>
      <c r="AO56" s="2">
        <f>(AM56-AN56)*Inputs!$C$12/12</f>
        <v/>
      </c>
      <c r="AP56" s="2">
        <f>IF(MAX(Inputs!$D$12-(A56-1),0)&lt;=0,0,(AM56-AN56)*((Inputs!$C$12/12)/(1-(1+Inputs!$C$12/12)^(-MAX(Inputs!$D$12-(A56-1),0)))-Inputs!$C$12/12))</f>
        <v/>
      </c>
      <c r="AQ56" s="2">
        <f>(AM56-AN56-AP56)*Inputs!$B$32</f>
        <v/>
      </c>
      <c r="AR56" s="2">
        <f>AM56-AN56-AP56-AQ56</f>
        <v/>
      </c>
      <c r="AS56" s="2">
        <f>AX55</f>
        <v/>
      </c>
      <c r="AT56" s="2">
        <f>AS56*Inputs!$B$33</f>
        <v/>
      </c>
      <c r="AU56" s="2">
        <f>(AS56-AT56)*Inputs!$C$13/12</f>
        <v/>
      </c>
      <c r="AV56" s="2">
        <f>IF(MAX(Inputs!$D$13-(A56-1),0)&lt;=0,0,(AS56-AT56)*((Inputs!$C$13/12)/(1-(1+Inputs!$C$13/12)^(-MAX(Inputs!$D$13-(A56-1),0)))-Inputs!$C$13/12))</f>
        <v/>
      </c>
      <c r="AW56" s="2">
        <f>(AS56-AT56-AV56)*Inputs!$B$32</f>
        <v/>
      </c>
      <c r="AX56" s="2">
        <f>AS56-AT56-AV56-AW56</f>
        <v/>
      </c>
      <c r="AY56" s="2">
        <f>BD55</f>
        <v/>
      </c>
      <c r="AZ56" s="2">
        <f>AY56*Inputs!$B$33</f>
        <v/>
      </c>
      <c r="BA56" s="2">
        <f>(AY56-AZ56)*Inputs!$C$14/12</f>
        <v/>
      </c>
      <c r="BB56" s="2">
        <f>IF(MAX(Inputs!$D$14-(A56-1),0)&lt;=0,0,(AY56-AZ56)*((Inputs!$C$14/12)/(1-(1+Inputs!$C$14/12)^(-MAX(Inputs!$D$14-(A56-1),0)))-Inputs!$C$14/12))</f>
        <v/>
      </c>
      <c r="BC56" s="2">
        <f>(AY56-AZ56-BB56)*Inputs!$B$32</f>
        <v/>
      </c>
      <c r="BD56" s="2">
        <f>AY56-AZ56-BB56-BC56</f>
        <v/>
      </c>
      <c r="BE56" s="2">
        <f>BJ55</f>
        <v/>
      </c>
      <c r="BF56" s="2">
        <f>BE56*Inputs!$B$33</f>
        <v/>
      </c>
      <c r="BG56" s="2">
        <f>(BE56-BF56)*Inputs!$C$15/12</f>
        <v/>
      </c>
      <c r="BH56" s="2">
        <f>IF(MAX(Inputs!$D$15-(A56-1),0)&lt;=0,0,(BE56-BF56)*((Inputs!$C$15/12)/(1-(1+Inputs!$C$15/12)^(-MAX(Inputs!$D$15-(A56-1),0)))-Inputs!$C$15/12))</f>
        <v/>
      </c>
      <c r="BI56" s="2">
        <f>(BE56-BF56-BH56)*Inputs!$B$32</f>
        <v/>
      </c>
      <c r="BJ56" s="2">
        <f>BE56-BF56-BH56-BI56</f>
        <v/>
      </c>
      <c r="BK56" s="2">
        <f>C56+I56+O56+U56+AA56+AG56+AM56+AS56+AY56+BE56</f>
        <v/>
      </c>
      <c r="BL56" s="2">
        <f>D56+J56+P56+V56+AB56+AH56+AN56+AT56+AZ56+BF56</f>
        <v/>
      </c>
      <c r="BM56" s="2">
        <f>E56+K56+Q56+W56+AC56+AI56+AO56+AU56+BA56+BG56</f>
        <v/>
      </c>
      <c r="BN56" s="2">
        <f>F56+L56+R56+X56+AD56+AJ56+AP56+AV56+BB56+BH56</f>
        <v/>
      </c>
      <c r="BO56" s="2">
        <f>G56+M56+S56+Y56+AE56+AK56+AQ56+AW56+BC56+BI56</f>
        <v/>
      </c>
      <c r="BP56" s="2">
        <f>H56+N56+T56+Z56+AF56+AL56+AR56+AX56+BD56+BJ56</f>
        <v/>
      </c>
      <c r="BQ56" s="2">
        <f>IF(A56-Inputs!$B$30&gt;=1,INDEX($BL$5:$BL$101,A56-Inputs!$B$30+1)*(1-Inputs!$B$29),0)</f>
        <v/>
      </c>
      <c r="BR56" s="2">
        <f>BR55+BL56</f>
        <v/>
      </c>
      <c r="BS56" s="2">
        <f>BS55+BQ56</f>
        <v/>
      </c>
      <c r="BT56" s="2">
        <f>BR56*Inputs!$B$29</f>
        <v/>
      </c>
      <c r="BU56" s="2">
        <f>BR56*(1-Inputs!$B$29)-BS56</f>
        <v/>
      </c>
      <c r="BV56" s="2">
        <f>BP56+BU56</f>
        <v/>
      </c>
      <c r="BW56" s="2">
        <f>BM56+BN56+BO56+BQ56</f>
        <v/>
      </c>
      <c r="BX56" s="8">
        <f>BK56-BL56-BN56-BO56-BP56</f>
        <v/>
      </c>
    </row>
    <row r="57">
      <c r="A57" s="7" t="n">
        <v>52</v>
      </c>
      <c r="B57" s="3">
        <f>Inputs!$B$36+(Inputs!$B$37-Inputs!$B$36)*(1-EXP(-A57/Inputs!$B$38))+Inputs!$B$31/10000</f>
        <v/>
      </c>
      <c r="C57" s="2">
        <f>H56</f>
        <v/>
      </c>
      <c r="D57" s="2">
        <f>C57*Inputs!$B$33</f>
        <v/>
      </c>
      <c r="E57" s="2">
        <f>(C57-D57)*Inputs!$C$6/12</f>
        <v/>
      </c>
      <c r="F57" s="2">
        <f>IF(MAX(Inputs!$D$6-(A57-1),0)&lt;=0,0,(C57-D57)*((Inputs!$C$6/12)/(1-(1+Inputs!$C$6/12)^(-MAX(Inputs!$D$6-(A57-1),0)))-Inputs!$C$6/12))</f>
        <v/>
      </c>
      <c r="G57" s="2">
        <f>(C57-D57-F57)*Inputs!$B$32</f>
        <v/>
      </c>
      <c r="H57" s="2">
        <f>C57-D57-F57-G57</f>
        <v/>
      </c>
      <c r="I57" s="2">
        <f>N56</f>
        <v/>
      </c>
      <c r="J57" s="2">
        <f>I57*Inputs!$B$33</f>
        <v/>
      </c>
      <c r="K57" s="2">
        <f>(I57-J57)*Inputs!$C$7/12</f>
        <v/>
      </c>
      <c r="L57" s="2">
        <f>IF(MAX(Inputs!$D$7-(A57-1),0)&lt;=0,0,(I57-J57)*((Inputs!$C$7/12)/(1-(1+Inputs!$C$7/12)^(-MAX(Inputs!$D$7-(A57-1),0)))-Inputs!$C$7/12))</f>
        <v/>
      </c>
      <c r="M57" s="2">
        <f>(I57-J57-L57)*Inputs!$B$32</f>
        <v/>
      </c>
      <c r="N57" s="2">
        <f>I57-J57-L57-M57</f>
        <v/>
      </c>
      <c r="O57" s="2">
        <f>T56</f>
        <v/>
      </c>
      <c r="P57" s="2">
        <f>O57*Inputs!$B$33</f>
        <v/>
      </c>
      <c r="Q57" s="2">
        <f>(O57-P57)*Inputs!$C$8/12</f>
        <v/>
      </c>
      <c r="R57" s="2">
        <f>IF(MAX(Inputs!$D$8-(A57-1),0)&lt;=0,0,(O57-P57)*((Inputs!$C$8/12)/(1-(1+Inputs!$C$8/12)^(-MAX(Inputs!$D$8-(A57-1),0)))-Inputs!$C$8/12))</f>
        <v/>
      </c>
      <c r="S57" s="2">
        <f>(O57-P57-R57)*Inputs!$B$32</f>
        <v/>
      </c>
      <c r="T57" s="2">
        <f>O57-P57-R57-S57</f>
        <v/>
      </c>
      <c r="U57" s="2">
        <f>Z56</f>
        <v/>
      </c>
      <c r="V57" s="2">
        <f>U57*Inputs!$B$33</f>
        <v/>
      </c>
      <c r="W57" s="2">
        <f>(U57-V57)*Inputs!$C$9/12</f>
        <v/>
      </c>
      <c r="X57" s="2">
        <f>IF(MAX(Inputs!$D$9-(A57-1),0)&lt;=0,0,(U57-V57)*((Inputs!$C$9/12)/(1-(1+Inputs!$C$9/12)^(-MAX(Inputs!$D$9-(A57-1),0)))-Inputs!$C$9/12))</f>
        <v/>
      </c>
      <c r="Y57" s="2">
        <f>(U57-V57-X57)*Inputs!$B$32</f>
        <v/>
      </c>
      <c r="Z57" s="2">
        <f>U57-V57-X57-Y57</f>
        <v/>
      </c>
      <c r="AA57" s="2">
        <f>AF56</f>
        <v/>
      </c>
      <c r="AB57" s="2">
        <f>AA57*Inputs!$B$33</f>
        <v/>
      </c>
      <c r="AC57" s="2">
        <f>(AA57-AB57)*Inputs!$C$10/12</f>
        <v/>
      </c>
      <c r="AD57" s="2">
        <f>IF(MAX(Inputs!$D$10-(A57-1),0)&lt;=0,0,(AA57-AB57)*((Inputs!$C$10/12)/(1-(1+Inputs!$C$10/12)^(-MAX(Inputs!$D$10-(A57-1),0)))-Inputs!$C$10/12))</f>
        <v/>
      </c>
      <c r="AE57" s="2">
        <f>(AA57-AB57-AD57)*Inputs!$B$32</f>
        <v/>
      </c>
      <c r="AF57" s="2">
        <f>AA57-AB57-AD57-AE57</f>
        <v/>
      </c>
      <c r="AG57" s="2">
        <f>AL56</f>
        <v/>
      </c>
      <c r="AH57" s="2">
        <f>AG57*Inputs!$B$33</f>
        <v/>
      </c>
      <c r="AI57" s="2">
        <f>(AG57-AH57)*Inputs!$C$11/12</f>
        <v/>
      </c>
      <c r="AJ57" s="2">
        <f>IF(MAX(Inputs!$D$11-(A57-1),0)&lt;=0,0,(AG57-AH57)*((Inputs!$C$11/12)/(1-(1+Inputs!$C$11/12)^(-MAX(Inputs!$D$11-(A57-1),0)))-Inputs!$C$11/12))</f>
        <v/>
      </c>
      <c r="AK57" s="2">
        <f>(AG57-AH57-AJ57)*Inputs!$B$32</f>
        <v/>
      </c>
      <c r="AL57" s="2">
        <f>AG57-AH57-AJ57-AK57</f>
        <v/>
      </c>
      <c r="AM57" s="2">
        <f>AR56</f>
        <v/>
      </c>
      <c r="AN57" s="2">
        <f>AM57*Inputs!$B$33</f>
        <v/>
      </c>
      <c r="AO57" s="2">
        <f>(AM57-AN57)*Inputs!$C$12/12</f>
        <v/>
      </c>
      <c r="AP57" s="2">
        <f>IF(MAX(Inputs!$D$12-(A57-1),0)&lt;=0,0,(AM57-AN57)*((Inputs!$C$12/12)/(1-(1+Inputs!$C$12/12)^(-MAX(Inputs!$D$12-(A57-1),0)))-Inputs!$C$12/12))</f>
        <v/>
      </c>
      <c r="AQ57" s="2">
        <f>(AM57-AN57-AP57)*Inputs!$B$32</f>
        <v/>
      </c>
      <c r="AR57" s="2">
        <f>AM57-AN57-AP57-AQ57</f>
        <v/>
      </c>
      <c r="AS57" s="2">
        <f>AX56</f>
        <v/>
      </c>
      <c r="AT57" s="2">
        <f>AS57*Inputs!$B$33</f>
        <v/>
      </c>
      <c r="AU57" s="2">
        <f>(AS57-AT57)*Inputs!$C$13/12</f>
        <v/>
      </c>
      <c r="AV57" s="2">
        <f>IF(MAX(Inputs!$D$13-(A57-1),0)&lt;=0,0,(AS57-AT57)*((Inputs!$C$13/12)/(1-(1+Inputs!$C$13/12)^(-MAX(Inputs!$D$13-(A57-1),0)))-Inputs!$C$13/12))</f>
        <v/>
      </c>
      <c r="AW57" s="2">
        <f>(AS57-AT57-AV57)*Inputs!$B$32</f>
        <v/>
      </c>
      <c r="AX57" s="2">
        <f>AS57-AT57-AV57-AW57</f>
        <v/>
      </c>
      <c r="AY57" s="2">
        <f>BD56</f>
        <v/>
      </c>
      <c r="AZ57" s="2">
        <f>AY57*Inputs!$B$33</f>
        <v/>
      </c>
      <c r="BA57" s="2">
        <f>(AY57-AZ57)*Inputs!$C$14/12</f>
        <v/>
      </c>
      <c r="BB57" s="2">
        <f>IF(MAX(Inputs!$D$14-(A57-1),0)&lt;=0,0,(AY57-AZ57)*((Inputs!$C$14/12)/(1-(1+Inputs!$C$14/12)^(-MAX(Inputs!$D$14-(A57-1),0)))-Inputs!$C$14/12))</f>
        <v/>
      </c>
      <c r="BC57" s="2">
        <f>(AY57-AZ57-BB57)*Inputs!$B$32</f>
        <v/>
      </c>
      <c r="BD57" s="2">
        <f>AY57-AZ57-BB57-BC57</f>
        <v/>
      </c>
      <c r="BE57" s="2">
        <f>BJ56</f>
        <v/>
      </c>
      <c r="BF57" s="2">
        <f>BE57*Inputs!$B$33</f>
        <v/>
      </c>
      <c r="BG57" s="2">
        <f>(BE57-BF57)*Inputs!$C$15/12</f>
        <v/>
      </c>
      <c r="BH57" s="2">
        <f>IF(MAX(Inputs!$D$15-(A57-1),0)&lt;=0,0,(BE57-BF57)*((Inputs!$C$15/12)/(1-(1+Inputs!$C$15/12)^(-MAX(Inputs!$D$15-(A57-1),0)))-Inputs!$C$15/12))</f>
        <v/>
      </c>
      <c r="BI57" s="2">
        <f>(BE57-BF57-BH57)*Inputs!$B$32</f>
        <v/>
      </c>
      <c r="BJ57" s="2">
        <f>BE57-BF57-BH57-BI57</f>
        <v/>
      </c>
      <c r="BK57" s="2">
        <f>C57+I57+O57+U57+AA57+AG57+AM57+AS57+AY57+BE57</f>
        <v/>
      </c>
      <c r="BL57" s="2">
        <f>D57+J57+P57+V57+AB57+AH57+AN57+AT57+AZ57+BF57</f>
        <v/>
      </c>
      <c r="BM57" s="2">
        <f>E57+K57+Q57+W57+AC57+AI57+AO57+AU57+BA57+BG57</f>
        <v/>
      </c>
      <c r="BN57" s="2">
        <f>F57+L57+R57+X57+AD57+AJ57+AP57+AV57+BB57+BH57</f>
        <v/>
      </c>
      <c r="BO57" s="2">
        <f>G57+M57+S57+Y57+AE57+AK57+AQ57+AW57+BC57+BI57</f>
        <v/>
      </c>
      <c r="BP57" s="2">
        <f>H57+N57+T57+Z57+AF57+AL57+AR57+AX57+BD57+BJ57</f>
        <v/>
      </c>
      <c r="BQ57" s="2">
        <f>IF(A57-Inputs!$B$30&gt;=1,INDEX($BL$5:$BL$101,A57-Inputs!$B$30+1)*(1-Inputs!$B$29),0)</f>
        <v/>
      </c>
      <c r="BR57" s="2">
        <f>BR56+BL57</f>
        <v/>
      </c>
      <c r="BS57" s="2">
        <f>BS56+BQ57</f>
        <v/>
      </c>
      <c r="BT57" s="2">
        <f>BR57*Inputs!$B$29</f>
        <v/>
      </c>
      <c r="BU57" s="2">
        <f>BR57*(1-Inputs!$B$29)-BS57</f>
        <v/>
      </c>
      <c r="BV57" s="2">
        <f>BP57+BU57</f>
        <v/>
      </c>
      <c r="BW57" s="2">
        <f>BM57+BN57+BO57+BQ57</f>
        <v/>
      </c>
      <c r="BX57" s="8">
        <f>BK57-BL57-BN57-BO57-BP57</f>
        <v/>
      </c>
    </row>
    <row r="58">
      <c r="A58" s="7" t="n">
        <v>53</v>
      </c>
      <c r="B58" s="3">
        <f>Inputs!$B$36+(Inputs!$B$37-Inputs!$B$36)*(1-EXP(-A58/Inputs!$B$38))+Inputs!$B$31/10000</f>
        <v/>
      </c>
      <c r="C58" s="2">
        <f>H57</f>
        <v/>
      </c>
      <c r="D58" s="2">
        <f>C58*Inputs!$B$33</f>
        <v/>
      </c>
      <c r="E58" s="2">
        <f>(C58-D58)*Inputs!$C$6/12</f>
        <v/>
      </c>
      <c r="F58" s="2">
        <f>IF(MAX(Inputs!$D$6-(A58-1),0)&lt;=0,0,(C58-D58)*((Inputs!$C$6/12)/(1-(1+Inputs!$C$6/12)^(-MAX(Inputs!$D$6-(A58-1),0)))-Inputs!$C$6/12))</f>
        <v/>
      </c>
      <c r="G58" s="2">
        <f>(C58-D58-F58)*Inputs!$B$32</f>
        <v/>
      </c>
      <c r="H58" s="2">
        <f>C58-D58-F58-G58</f>
        <v/>
      </c>
      <c r="I58" s="2">
        <f>N57</f>
        <v/>
      </c>
      <c r="J58" s="2">
        <f>I58*Inputs!$B$33</f>
        <v/>
      </c>
      <c r="K58" s="2">
        <f>(I58-J58)*Inputs!$C$7/12</f>
        <v/>
      </c>
      <c r="L58" s="2">
        <f>IF(MAX(Inputs!$D$7-(A58-1),0)&lt;=0,0,(I58-J58)*((Inputs!$C$7/12)/(1-(1+Inputs!$C$7/12)^(-MAX(Inputs!$D$7-(A58-1),0)))-Inputs!$C$7/12))</f>
        <v/>
      </c>
      <c r="M58" s="2">
        <f>(I58-J58-L58)*Inputs!$B$32</f>
        <v/>
      </c>
      <c r="N58" s="2">
        <f>I58-J58-L58-M58</f>
        <v/>
      </c>
      <c r="O58" s="2">
        <f>T57</f>
        <v/>
      </c>
      <c r="P58" s="2">
        <f>O58*Inputs!$B$33</f>
        <v/>
      </c>
      <c r="Q58" s="2">
        <f>(O58-P58)*Inputs!$C$8/12</f>
        <v/>
      </c>
      <c r="R58" s="2">
        <f>IF(MAX(Inputs!$D$8-(A58-1),0)&lt;=0,0,(O58-P58)*((Inputs!$C$8/12)/(1-(1+Inputs!$C$8/12)^(-MAX(Inputs!$D$8-(A58-1),0)))-Inputs!$C$8/12))</f>
        <v/>
      </c>
      <c r="S58" s="2">
        <f>(O58-P58-R58)*Inputs!$B$32</f>
        <v/>
      </c>
      <c r="T58" s="2">
        <f>O58-P58-R58-S58</f>
        <v/>
      </c>
      <c r="U58" s="2">
        <f>Z57</f>
        <v/>
      </c>
      <c r="V58" s="2">
        <f>U58*Inputs!$B$33</f>
        <v/>
      </c>
      <c r="W58" s="2">
        <f>(U58-V58)*Inputs!$C$9/12</f>
        <v/>
      </c>
      <c r="X58" s="2">
        <f>IF(MAX(Inputs!$D$9-(A58-1),0)&lt;=0,0,(U58-V58)*((Inputs!$C$9/12)/(1-(1+Inputs!$C$9/12)^(-MAX(Inputs!$D$9-(A58-1),0)))-Inputs!$C$9/12))</f>
        <v/>
      </c>
      <c r="Y58" s="2">
        <f>(U58-V58-X58)*Inputs!$B$32</f>
        <v/>
      </c>
      <c r="Z58" s="2">
        <f>U58-V58-X58-Y58</f>
        <v/>
      </c>
      <c r="AA58" s="2">
        <f>AF57</f>
        <v/>
      </c>
      <c r="AB58" s="2">
        <f>AA58*Inputs!$B$33</f>
        <v/>
      </c>
      <c r="AC58" s="2">
        <f>(AA58-AB58)*Inputs!$C$10/12</f>
        <v/>
      </c>
      <c r="AD58" s="2">
        <f>IF(MAX(Inputs!$D$10-(A58-1),0)&lt;=0,0,(AA58-AB58)*((Inputs!$C$10/12)/(1-(1+Inputs!$C$10/12)^(-MAX(Inputs!$D$10-(A58-1),0)))-Inputs!$C$10/12))</f>
        <v/>
      </c>
      <c r="AE58" s="2">
        <f>(AA58-AB58-AD58)*Inputs!$B$32</f>
        <v/>
      </c>
      <c r="AF58" s="2">
        <f>AA58-AB58-AD58-AE58</f>
        <v/>
      </c>
      <c r="AG58" s="2">
        <f>AL57</f>
        <v/>
      </c>
      <c r="AH58" s="2">
        <f>AG58*Inputs!$B$33</f>
        <v/>
      </c>
      <c r="AI58" s="2">
        <f>(AG58-AH58)*Inputs!$C$11/12</f>
        <v/>
      </c>
      <c r="AJ58" s="2">
        <f>IF(MAX(Inputs!$D$11-(A58-1),0)&lt;=0,0,(AG58-AH58)*((Inputs!$C$11/12)/(1-(1+Inputs!$C$11/12)^(-MAX(Inputs!$D$11-(A58-1),0)))-Inputs!$C$11/12))</f>
        <v/>
      </c>
      <c r="AK58" s="2">
        <f>(AG58-AH58-AJ58)*Inputs!$B$32</f>
        <v/>
      </c>
      <c r="AL58" s="2">
        <f>AG58-AH58-AJ58-AK58</f>
        <v/>
      </c>
      <c r="AM58" s="2">
        <f>AR57</f>
        <v/>
      </c>
      <c r="AN58" s="2">
        <f>AM58*Inputs!$B$33</f>
        <v/>
      </c>
      <c r="AO58" s="2">
        <f>(AM58-AN58)*Inputs!$C$12/12</f>
        <v/>
      </c>
      <c r="AP58" s="2">
        <f>IF(MAX(Inputs!$D$12-(A58-1),0)&lt;=0,0,(AM58-AN58)*((Inputs!$C$12/12)/(1-(1+Inputs!$C$12/12)^(-MAX(Inputs!$D$12-(A58-1),0)))-Inputs!$C$12/12))</f>
        <v/>
      </c>
      <c r="AQ58" s="2">
        <f>(AM58-AN58-AP58)*Inputs!$B$32</f>
        <v/>
      </c>
      <c r="AR58" s="2">
        <f>AM58-AN58-AP58-AQ58</f>
        <v/>
      </c>
      <c r="AS58" s="2">
        <f>AX57</f>
        <v/>
      </c>
      <c r="AT58" s="2">
        <f>AS58*Inputs!$B$33</f>
        <v/>
      </c>
      <c r="AU58" s="2">
        <f>(AS58-AT58)*Inputs!$C$13/12</f>
        <v/>
      </c>
      <c r="AV58" s="2">
        <f>IF(MAX(Inputs!$D$13-(A58-1),0)&lt;=0,0,(AS58-AT58)*((Inputs!$C$13/12)/(1-(1+Inputs!$C$13/12)^(-MAX(Inputs!$D$13-(A58-1),0)))-Inputs!$C$13/12))</f>
        <v/>
      </c>
      <c r="AW58" s="2">
        <f>(AS58-AT58-AV58)*Inputs!$B$32</f>
        <v/>
      </c>
      <c r="AX58" s="2">
        <f>AS58-AT58-AV58-AW58</f>
        <v/>
      </c>
      <c r="AY58" s="2">
        <f>BD57</f>
        <v/>
      </c>
      <c r="AZ58" s="2">
        <f>AY58*Inputs!$B$33</f>
        <v/>
      </c>
      <c r="BA58" s="2">
        <f>(AY58-AZ58)*Inputs!$C$14/12</f>
        <v/>
      </c>
      <c r="BB58" s="2">
        <f>IF(MAX(Inputs!$D$14-(A58-1),0)&lt;=0,0,(AY58-AZ58)*((Inputs!$C$14/12)/(1-(1+Inputs!$C$14/12)^(-MAX(Inputs!$D$14-(A58-1),0)))-Inputs!$C$14/12))</f>
        <v/>
      </c>
      <c r="BC58" s="2">
        <f>(AY58-AZ58-BB58)*Inputs!$B$32</f>
        <v/>
      </c>
      <c r="BD58" s="2">
        <f>AY58-AZ58-BB58-BC58</f>
        <v/>
      </c>
      <c r="BE58" s="2">
        <f>BJ57</f>
        <v/>
      </c>
      <c r="BF58" s="2">
        <f>BE58*Inputs!$B$33</f>
        <v/>
      </c>
      <c r="BG58" s="2">
        <f>(BE58-BF58)*Inputs!$C$15/12</f>
        <v/>
      </c>
      <c r="BH58" s="2">
        <f>IF(MAX(Inputs!$D$15-(A58-1),0)&lt;=0,0,(BE58-BF58)*((Inputs!$C$15/12)/(1-(1+Inputs!$C$15/12)^(-MAX(Inputs!$D$15-(A58-1),0)))-Inputs!$C$15/12))</f>
        <v/>
      </c>
      <c r="BI58" s="2">
        <f>(BE58-BF58-BH58)*Inputs!$B$32</f>
        <v/>
      </c>
      <c r="BJ58" s="2">
        <f>BE58-BF58-BH58-BI58</f>
        <v/>
      </c>
      <c r="BK58" s="2">
        <f>C58+I58+O58+U58+AA58+AG58+AM58+AS58+AY58+BE58</f>
        <v/>
      </c>
      <c r="BL58" s="2">
        <f>D58+J58+P58+V58+AB58+AH58+AN58+AT58+AZ58+BF58</f>
        <v/>
      </c>
      <c r="BM58" s="2">
        <f>E58+K58+Q58+W58+AC58+AI58+AO58+AU58+BA58+BG58</f>
        <v/>
      </c>
      <c r="BN58" s="2">
        <f>F58+L58+R58+X58+AD58+AJ58+AP58+AV58+BB58+BH58</f>
        <v/>
      </c>
      <c r="BO58" s="2">
        <f>G58+M58+S58+Y58+AE58+AK58+AQ58+AW58+BC58+BI58</f>
        <v/>
      </c>
      <c r="BP58" s="2">
        <f>H58+N58+T58+Z58+AF58+AL58+AR58+AX58+BD58+BJ58</f>
        <v/>
      </c>
      <c r="BQ58" s="2">
        <f>IF(A58-Inputs!$B$30&gt;=1,INDEX($BL$5:$BL$101,A58-Inputs!$B$30+1)*(1-Inputs!$B$29),0)</f>
        <v/>
      </c>
      <c r="BR58" s="2">
        <f>BR57+BL58</f>
        <v/>
      </c>
      <c r="BS58" s="2">
        <f>BS57+BQ58</f>
        <v/>
      </c>
      <c r="BT58" s="2">
        <f>BR58*Inputs!$B$29</f>
        <v/>
      </c>
      <c r="BU58" s="2">
        <f>BR58*(1-Inputs!$B$29)-BS58</f>
        <v/>
      </c>
      <c r="BV58" s="2">
        <f>BP58+BU58</f>
        <v/>
      </c>
      <c r="BW58" s="2">
        <f>BM58+BN58+BO58+BQ58</f>
        <v/>
      </c>
      <c r="BX58" s="8">
        <f>BK58-BL58-BN58-BO58-BP58</f>
        <v/>
      </c>
    </row>
    <row r="59">
      <c r="A59" s="7" t="n">
        <v>54</v>
      </c>
      <c r="B59" s="3">
        <f>Inputs!$B$36+(Inputs!$B$37-Inputs!$B$36)*(1-EXP(-A59/Inputs!$B$38))+Inputs!$B$31/10000</f>
        <v/>
      </c>
      <c r="C59" s="2">
        <f>H58</f>
        <v/>
      </c>
      <c r="D59" s="2">
        <f>C59*Inputs!$B$33</f>
        <v/>
      </c>
      <c r="E59" s="2">
        <f>(C59-D59)*Inputs!$C$6/12</f>
        <v/>
      </c>
      <c r="F59" s="2">
        <f>IF(MAX(Inputs!$D$6-(A59-1),0)&lt;=0,0,(C59-D59)*((Inputs!$C$6/12)/(1-(1+Inputs!$C$6/12)^(-MAX(Inputs!$D$6-(A59-1),0)))-Inputs!$C$6/12))</f>
        <v/>
      </c>
      <c r="G59" s="2">
        <f>(C59-D59-F59)*Inputs!$B$32</f>
        <v/>
      </c>
      <c r="H59" s="2">
        <f>C59-D59-F59-G59</f>
        <v/>
      </c>
      <c r="I59" s="2">
        <f>N58</f>
        <v/>
      </c>
      <c r="J59" s="2">
        <f>I59*Inputs!$B$33</f>
        <v/>
      </c>
      <c r="K59" s="2">
        <f>(I59-J59)*Inputs!$C$7/12</f>
        <v/>
      </c>
      <c r="L59" s="2">
        <f>IF(MAX(Inputs!$D$7-(A59-1),0)&lt;=0,0,(I59-J59)*((Inputs!$C$7/12)/(1-(1+Inputs!$C$7/12)^(-MAX(Inputs!$D$7-(A59-1),0)))-Inputs!$C$7/12))</f>
        <v/>
      </c>
      <c r="M59" s="2">
        <f>(I59-J59-L59)*Inputs!$B$32</f>
        <v/>
      </c>
      <c r="N59" s="2">
        <f>I59-J59-L59-M59</f>
        <v/>
      </c>
      <c r="O59" s="2">
        <f>T58</f>
        <v/>
      </c>
      <c r="P59" s="2">
        <f>O59*Inputs!$B$33</f>
        <v/>
      </c>
      <c r="Q59" s="2">
        <f>(O59-P59)*Inputs!$C$8/12</f>
        <v/>
      </c>
      <c r="R59" s="2">
        <f>IF(MAX(Inputs!$D$8-(A59-1),0)&lt;=0,0,(O59-P59)*((Inputs!$C$8/12)/(1-(1+Inputs!$C$8/12)^(-MAX(Inputs!$D$8-(A59-1),0)))-Inputs!$C$8/12))</f>
        <v/>
      </c>
      <c r="S59" s="2">
        <f>(O59-P59-R59)*Inputs!$B$32</f>
        <v/>
      </c>
      <c r="T59" s="2">
        <f>O59-P59-R59-S59</f>
        <v/>
      </c>
      <c r="U59" s="2">
        <f>Z58</f>
        <v/>
      </c>
      <c r="V59" s="2">
        <f>U59*Inputs!$B$33</f>
        <v/>
      </c>
      <c r="W59" s="2">
        <f>(U59-V59)*Inputs!$C$9/12</f>
        <v/>
      </c>
      <c r="X59" s="2">
        <f>IF(MAX(Inputs!$D$9-(A59-1),0)&lt;=0,0,(U59-V59)*((Inputs!$C$9/12)/(1-(1+Inputs!$C$9/12)^(-MAX(Inputs!$D$9-(A59-1),0)))-Inputs!$C$9/12))</f>
        <v/>
      </c>
      <c r="Y59" s="2">
        <f>(U59-V59-X59)*Inputs!$B$32</f>
        <v/>
      </c>
      <c r="Z59" s="2">
        <f>U59-V59-X59-Y59</f>
        <v/>
      </c>
      <c r="AA59" s="2">
        <f>AF58</f>
        <v/>
      </c>
      <c r="AB59" s="2">
        <f>AA59*Inputs!$B$33</f>
        <v/>
      </c>
      <c r="AC59" s="2">
        <f>(AA59-AB59)*Inputs!$C$10/12</f>
        <v/>
      </c>
      <c r="AD59" s="2">
        <f>IF(MAX(Inputs!$D$10-(A59-1),0)&lt;=0,0,(AA59-AB59)*((Inputs!$C$10/12)/(1-(1+Inputs!$C$10/12)^(-MAX(Inputs!$D$10-(A59-1),0)))-Inputs!$C$10/12))</f>
        <v/>
      </c>
      <c r="AE59" s="2">
        <f>(AA59-AB59-AD59)*Inputs!$B$32</f>
        <v/>
      </c>
      <c r="AF59" s="2">
        <f>AA59-AB59-AD59-AE59</f>
        <v/>
      </c>
      <c r="AG59" s="2">
        <f>AL58</f>
        <v/>
      </c>
      <c r="AH59" s="2">
        <f>AG59*Inputs!$B$33</f>
        <v/>
      </c>
      <c r="AI59" s="2">
        <f>(AG59-AH59)*Inputs!$C$11/12</f>
        <v/>
      </c>
      <c r="AJ59" s="2">
        <f>IF(MAX(Inputs!$D$11-(A59-1),0)&lt;=0,0,(AG59-AH59)*((Inputs!$C$11/12)/(1-(1+Inputs!$C$11/12)^(-MAX(Inputs!$D$11-(A59-1),0)))-Inputs!$C$11/12))</f>
        <v/>
      </c>
      <c r="AK59" s="2">
        <f>(AG59-AH59-AJ59)*Inputs!$B$32</f>
        <v/>
      </c>
      <c r="AL59" s="2">
        <f>AG59-AH59-AJ59-AK59</f>
        <v/>
      </c>
      <c r="AM59" s="2">
        <f>AR58</f>
        <v/>
      </c>
      <c r="AN59" s="2">
        <f>AM59*Inputs!$B$33</f>
        <v/>
      </c>
      <c r="AO59" s="2">
        <f>(AM59-AN59)*Inputs!$C$12/12</f>
        <v/>
      </c>
      <c r="AP59" s="2">
        <f>IF(MAX(Inputs!$D$12-(A59-1),0)&lt;=0,0,(AM59-AN59)*((Inputs!$C$12/12)/(1-(1+Inputs!$C$12/12)^(-MAX(Inputs!$D$12-(A59-1),0)))-Inputs!$C$12/12))</f>
        <v/>
      </c>
      <c r="AQ59" s="2">
        <f>(AM59-AN59-AP59)*Inputs!$B$32</f>
        <v/>
      </c>
      <c r="AR59" s="2">
        <f>AM59-AN59-AP59-AQ59</f>
        <v/>
      </c>
      <c r="AS59" s="2">
        <f>AX58</f>
        <v/>
      </c>
      <c r="AT59" s="2">
        <f>AS59*Inputs!$B$33</f>
        <v/>
      </c>
      <c r="AU59" s="2">
        <f>(AS59-AT59)*Inputs!$C$13/12</f>
        <v/>
      </c>
      <c r="AV59" s="2">
        <f>IF(MAX(Inputs!$D$13-(A59-1),0)&lt;=0,0,(AS59-AT59)*((Inputs!$C$13/12)/(1-(1+Inputs!$C$13/12)^(-MAX(Inputs!$D$13-(A59-1),0)))-Inputs!$C$13/12))</f>
        <v/>
      </c>
      <c r="AW59" s="2">
        <f>(AS59-AT59-AV59)*Inputs!$B$32</f>
        <v/>
      </c>
      <c r="AX59" s="2">
        <f>AS59-AT59-AV59-AW59</f>
        <v/>
      </c>
      <c r="AY59" s="2">
        <f>BD58</f>
        <v/>
      </c>
      <c r="AZ59" s="2">
        <f>AY59*Inputs!$B$33</f>
        <v/>
      </c>
      <c r="BA59" s="2">
        <f>(AY59-AZ59)*Inputs!$C$14/12</f>
        <v/>
      </c>
      <c r="BB59" s="2">
        <f>IF(MAX(Inputs!$D$14-(A59-1),0)&lt;=0,0,(AY59-AZ59)*((Inputs!$C$14/12)/(1-(1+Inputs!$C$14/12)^(-MAX(Inputs!$D$14-(A59-1),0)))-Inputs!$C$14/12))</f>
        <v/>
      </c>
      <c r="BC59" s="2">
        <f>(AY59-AZ59-BB59)*Inputs!$B$32</f>
        <v/>
      </c>
      <c r="BD59" s="2">
        <f>AY59-AZ59-BB59-BC59</f>
        <v/>
      </c>
      <c r="BE59" s="2">
        <f>BJ58</f>
        <v/>
      </c>
      <c r="BF59" s="2">
        <f>BE59*Inputs!$B$33</f>
        <v/>
      </c>
      <c r="BG59" s="2">
        <f>(BE59-BF59)*Inputs!$C$15/12</f>
        <v/>
      </c>
      <c r="BH59" s="2">
        <f>IF(MAX(Inputs!$D$15-(A59-1),0)&lt;=0,0,(BE59-BF59)*((Inputs!$C$15/12)/(1-(1+Inputs!$C$15/12)^(-MAX(Inputs!$D$15-(A59-1),0)))-Inputs!$C$15/12))</f>
        <v/>
      </c>
      <c r="BI59" s="2">
        <f>(BE59-BF59-BH59)*Inputs!$B$32</f>
        <v/>
      </c>
      <c r="BJ59" s="2">
        <f>BE59-BF59-BH59-BI59</f>
        <v/>
      </c>
      <c r="BK59" s="2">
        <f>C59+I59+O59+U59+AA59+AG59+AM59+AS59+AY59+BE59</f>
        <v/>
      </c>
      <c r="BL59" s="2">
        <f>D59+J59+P59+V59+AB59+AH59+AN59+AT59+AZ59+BF59</f>
        <v/>
      </c>
      <c r="BM59" s="2">
        <f>E59+K59+Q59+W59+AC59+AI59+AO59+AU59+BA59+BG59</f>
        <v/>
      </c>
      <c r="BN59" s="2">
        <f>F59+L59+R59+X59+AD59+AJ59+AP59+AV59+BB59+BH59</f>
        <v/>
      </c>
      <c r="BO59" s="2">
        <f>G59+M59+S59+Y59+AE59+AK59+AQ59+AW59+BC59+BI59</f>
        <v/>
      </c>
      <c r="BP59" s="2">
        <f>H59+N59+T59+Z59+AF59+AL59+AR59+AX59+BD59+BJ59</f>
        <v/>
      </c>
      <c r="BQ59" s="2">
        <f>IF(A59-Inputs!$B$30&gt;=1,INDEX($BL$5:$BL$101,A59-Inputs!$B$30+1)*(1-Inputs!$B$29),0)</f>
        <v/>
      </c>
      <c r="BR59" s="2">
        <f>BR58+BL59</f>
        <v/>
      </c>
      <c r="BS59" s="2">
        <f>BS58+BQ59</f>
        <v/>
      </c>
      <c r="BT59" s="2">
        <f>BR59*Inputs!$B$29</f>
        <v/>
      </c>
      <c r="BU59" s="2">
        <f>BR59*(1-Inputs!$B$29)-BS59</f>
        <v/>
      </c>
      <c r="BV59" s="2">
        <f>BP59+BU59</f>
        <v/>
      </c>
      <c r="BW59" s="2">
        <f>BM59+BN59+BO59+BQ59</f>
        <v/>
      </c>
      <c r="BX59" s="8">
        <f>BK59-BL59-BN59-BO59-BP59</f>
        <v/>
      </c>
    </row>
    <row r="60">
      <c r="A60" s="7" t="n">
        <v>55</v>
      </c>
      <c r="B60" s="3">
        <f>Inputs!$B$36+(Inputs!$B$37-Inputs!$B$36)*(1-EXP(-A60/Inputs!$B$38))+Inputs!$B$31/10000</f>
        <v/>
      </c>
      <c r="C60" s="2">
        <f>H59</f>
        <v/>
      </c>
      <c r="D60" s="2">
        <f>C60*Inputs!$B$33</f>
        <v/>
      </c>
      <c r="E60" s="2">
        <f>(C60-D60)*Inputs!$C$6/12</f>
        <v/>
      </c>
      <c r="F60" s="2">
        <f>IF(MAX(Inputs!$D$6-(A60-1),0)&lt;=0,0,(C60-D60)*((Inputs!$C$6/12)/(1-(1+Inputs!$C$6/12)^(-MAX(Inputs!$D$6-(A60-1),0)))-Inputs!$C$6/12))</f>
        <v/>
      </c>
      <c r="G60" s="2">
        <f>(C60-D60-F60)*Inputs!$B$32</f>
        <v/>
      </c>
      <c r="H60" s="2">
        <f>C60-D60-F60-G60</f>
        <v/>
      </c>
      <c r="I60" s="2">
        <f>N59</f>
        <v/>
      </c>
      <c r="J60" s="2">
        <f>I60*Inputs!$B$33</f>
        <v/>
      </c>
      <c r="K60" s="2">
        <f>(I60-J60)*Inputs!$C$7/12</f>
        <v/>
      </c>
      <c r="L60" s="2">
        <f>IF(MAX(Inputs!$D$7-(A60-1),0)&lt;=0,0,(I60-J60)*((Inputs!$C$7/12)/(1-(1+Inputs!$C$7/12)^(-MAX(Inputs!$D$7-(A60-1),0)))-Inputs!$C$7/12))</f>
        <v/>
      </c>
      <c r="M60" s="2">
        <f>(I60-J60-L60)*Inputs!$B$32</f>
        <v/>
      </c>
      <c r="N60" s="2">
        <f>I60-J60-L60-M60</f>
        <v/>
      </c>
      <c r="O60" s="2">
        <f>T59</f>
        <v/>
      </c>
      <c r="P60" s="2">
        <f>O60*Inputs!$B$33</f>
        <v/>
      </c>
      <c r="Q60" s="2">
        <f>(O60-P60)*Inputs!$C$8/12</f>
        <v/>
      </c>
      <c r="R60" s="2">
        <f>IF(MAX(Inputs!$D$8-(A60-1),0)&lt;=0,0,(O60-P60)*((Inputs!$C$8/12)/(1-(1+Inputs!$C$8/12)^(-MAX(Inputs!$D$8-(A60-1),0)))-Inputs!$C$8/12))</f>
        <v/>
      </c>
      <c r="S60" s="2">
        <f>(O60-P60-R60)*Inputs!$B$32</f>
        <v/>
      </c>
      <c r="T60" s="2">
        <f>O60-P60-R60-S60</f>
        <v/>
      </c>
      <c r="U60" s="2">
        <f>Z59</f>
        <v/>
      </c>
      <c r="V60" s="2">
        <f>U60*Inputs!$B$33</f>
        <v/>
      </c>
      <c r="W60" s="2">
        <f>(U60-V60)*Inputs!$C$9/12</f>
        <v/>
      </c>
      <c r="X60" s="2">
        <f>IF(MAX(Inputs!$D$9-(A60-1),0)&lt;=0,0,(U60-V60)*((Inputs!$C$9/12)/(1-(1+Inputs!$C$9/12)^(-MAX(Inputs!$D$9-(A60-1),0)))-Inputs!$C$9/12))</f>
        <v/>
      </c>
      <c r="Y60" s="2">
        <f>(U60-V60-X60)*Inputs!$B$32</f>
        <v/>
      </c>
      <c r="Z60" s="2">
        <f>U60-V60-X60-Y60</f>
        <v/>
      </c>
      <c r="AA60" s="2">
        <f>AF59</f>
        <v/>
      </c>
      <c r="AB60" s="2">
        <f>AA60*Inputs!$B$33</f>
        <v/>
      </c>
      <c r="AC60" s="2">
        <f>(AA60-AB60)*Inputs!$C$10/12</f>
        <v/>
      </c>
      <c r="AD60" s="2">
        <f>IF(MAX(Inputs!$D$10-(A60-1),0)&lt;=0,0,(AA60-AB60)*((Inputs!$C$10/12)/(1-(1+Inputs!$C$10/12)^(-MAX(Inputs!$D$10-(A60-1),0)))-Inputs!$C$10/12))</f>
        <v/>
      </c>
      <c r="AE60" s="2">
        <f>(AA60-AB60-AD60)*Inputs!$B$32</f>
        <v/>
      </c>
      <c r="AF60" s="2">
        <f>AA60-AB60-AD60-AE60</f>
        <v/>
      </c>
      <c r="AG60" s="2">
        <f>AL59</f>
        <v/>
      </c>
      <c r="AH60" s="2">
        <f>AG60*Inputs!$B$33</f>
        <v/>
      </c>
      <c r="AI60" s="2">
        <f>(AG60-AH60)*Inputs!$C$11/12</f>
        <v/>
      </c>
      <c r="AJ60" s="2">
        <f>IF(MAX(Inputs!$D$11-(A60-1),0)&lt;=0,0,(AG60-AH60)*((Inputs!$C$11/12)/(1-(1+Inputs!$C$11/12)^(-MAX(Inputs!$D$11-(A60-1),0)))-Inputs!$C$11/12))</f>
        <v/>
      </c>
      <c r="AK60" s="2">
        <f>(AG60-AH60-AJ60)*Inputs!$B$32</f>
        <v/>
      </c>
      <c r="AL60" s="2">
        <f>AG60-AH60-AJ60-AK60</f>
        <v/>
      </c>
      <c r="AM60" s="2">
        <f>AR59</f>
        <v/>
      </c>
      <c r="AN60" s="2">
        <f>AM60*Inputs!$B$33</f>
        <v/>
      </c>
      <c r="AO60" s="2">
        <f>(AM60-AN60)*Inputs!$C$12/12</f>
        <v/>
      </c>
      <c r="AP60" s="2">
        <f>IF(MAX(Inputs!$D$12-(A60-1),0)&lt;=0,0,(AM60-AN60)*((Inputs!$C$12/12)/(1-(1+Inputs!$C$12/12)^(-MAX(Inputs!$D$12-(A60-1),0)))-Inputs!$C$12/12))</f>
        <v/>
      </c>
      <c r="AQ60" s="2">
        <f>(AM60-AN60-AP60)*Inputs!$B$32</f>
        <v/>
      </c>
      <c r="AR60" s="2">
        <f>AM60-AN60-AP60-AQ60</f>
        <v/>
      </c>
      <c r="AS60" s="2">
        <f>AX59</f>
        <v/>
      </c>
      <c r="AT60" s="2">
        <f>AS60*Inputs!$B$33</f>
        <v/>
      </c>
      <c r="AU60" s="2">
        <f>(AS60-AT60)*Inputs!$C$13/12</f>
        <v/>
      </c>
      <c r="AV60" s="2">
        <f>IF(MAX(Inputs!$D$13-(A60-1),0)&lt;=0,0,(AS60-AT60)*((Inputs!$C$13/12)/(1-(1+Inputs!$C$13/12)^(-MAX(Inputs!$D$13-(A60-1),0)))-Inputs!$C$13/12))</f>
        <v/>
      </c>
      <c r="AW60" s="2">
        <f>(AS60-AT60-AV60)*Inputs!$B$32</f>
        <v/>
      </c>
      <c r="AX60" s="2">
        <f>AS60-AT60-AV60-AW60</f>
        <v/>
      </c>
      <c r="AY60" s="2">
        <f>BD59</f>
        <v/>
      </c>
      <c r="AZ60" s="2">
        <f>AY60*Inputs!$B$33</f>
        <v/>
      </c>
      <c r="BA60" s="2">
        <f>(AY60-AZ60)*Inputs!$C$14/12</f>
        <v/>
      </c>
      <c r="BB60" s="2">
        <f>IF(MAX(Inputs!$D$14-(A60-1),0)&lt;=0,0,(AY60-AZ60)*((Inputs!$C$14/12)/(1-(1+Inputs!$C$14/12)^(-MAX(Inputs!$D$14-(A60-1),0)))-Inputs!$C$14/12))</f>
        <v/>
      </c>
      <c r="BC60" s="2">
        <f>(AY60-AZ60-BB60)*Inputs!$B$32</f>
        <v/>
      </c>
      <c r="BD60" s="2">
        <f>AY60-AZ60-BB60-BC60</f>
        <v/>
      </c>
      <c r="BE60" s="2">
        <f>BJ59</f>
        <v/>
      </c>
      <c r="BF60" s="2">
        <f>BE60*Inputs!$B$33</f>
        <v/>
      </c>
      <c r="BG60" s="2">
        <f>(BE60-BF60)*Inputs!$C$15/12</f>
        <v/>
      </c>
      <c r="BH60" s="2">
        <f>IF(MAX(Inputs!$D$15-(A60-1),0)&lt;=0,0,(BE60-BF60)*((Inputs!$C$15/12)/(1-(1+Inputs!$C$15/12)^(-MAX(Inputs!$D$15-(A60-1),0)))-Inputs!$C$15/12))</f>
        <v/>
      </c>
      <c r="BI60" s="2">
        <f>(BE60-BF60-BH60)*Inputs!$B$32</f>
        <v/>
      </c>
      <c r="BJ60" s="2">
        <f>BE60-BF60-BH60-BI60</f>
        <v/>
      </c>
      <c r="BK60" s="2">
        <f>C60+I60+O60+U60+AA60+AG60+AM60+AS60+AY60+BE60</f>
        <v/>
      </c>
      <c r="BL60" s="2">
        <f>D60+J60+P60+V60+AB60+AH60+AN60+AT60+AZ60+BF60</f>
        <v/>
      </c>
      <c r="BM60" s="2">
        <f>E60+K60+Q60+W60+AC60+AI60+AO60+AU60+BA60+BG60</f>
        <v/>
      </c>
      <c r="BN60" s="2">
        <f>F60+L60+R60+X60+AD60+AJ60+AP60+AV60+BB60+BH60</f>
        <v/>
      </c>
      <c r="BO60" s="2">
        <f>G60+M60+S60+Y60+AE60+AK60+AQ60+AW60+BC60+BI60</f>
        <v/>
      </c>
      <c r="BP60" s="2">
        <f>H60+N60+T60+Z60+AF60+AL60+AR60+AX60+BD60+BJ60</f>
        <v/>
      </c>
      <c r="BQ60" s="2">
        <f>IF(A60-Inputs!$B$30&gt;=1,INDEX($BL$5:$BL$101,A60-Inputs!$B$30+1)*(1-Inputs!$B$29),0)</f>
        <v/>
      </c>
      <c r="BR60" s="2">
        <f>BR59+BL60</f>
        <v/>
      </c>
      <c r="BS60" s="2">
        <f>BS59+BQ60</f>
        <v/>
      </c>
      <c r="BT60" s="2">
        <f>BR60*Inputs!$B$29</f>
        <v/>
      </c>
      <c r="BU60" s="2">
        <f>BR60*(1-Inputs!$B$29)-BS60</f>
        <v/>
      </c>
      <c r="BV60" s="2">
        <f>BP60+BU60</f>
        <v/>
      </c>
      <c r="BW60" s="2">
        <f>BM60+BN60+BO60+BQ60</f>
        <v/>
      </c>
      <c r="BX60" s="8">
        <f>BK60-BL60-BN60-BO60-BP60</f>
        <v/>
      </c>
    </row>
    <row r="61">
      <c r="A61" s="7" t="n">
        <v>56</v>
      </c>
      <c r="B61" s="3">
        <f>Inputs!$B$36+(Inputs!$B$37-Inputs!$B$36)*(1-EXP(-A61/Inputs!$B$38))+Inputs!$B$31/10000</f>
        <v/>
      </c>
      <c r="C61" s="2">
        <f>H60</f>
        <v/>
      </c>
      <c r="D61" s="2">
        <f>C61*Inputs!$B$33</f>
        <v/>
      </c>
      <c r="E61" s="2">
        <f>(C61-D61)*Inputs!$C$6/12</f>
        <v/>
      </c>
      <c r="F61" s="2">
        <f>IF(MAX(Inputs!$D$6-(A61-1),0)&lt;=0,0,(C61-D61)*((Inputs!$C$6/12)/(1-(1+Inputs!$C$6/12)^(-MAX(Inputs!$D$6-(A61-1),0)))-Inputs!$C$6/12))</f>
        <v/>
      </c>
      <c r="G61" s="2">
        <f>(C61-D61-F61)*Inputs!$B$32</f>
        <v/>
      </c>
      <c r="H61" s="2">
        <f>C61-D61-F61-G61</f>
        <v/>
      </c>
      <c r="I61" s="2">
        <f>N60</f>
        <v/>
      </c>
      <c r="J61" s="2">
        <f>I61*Inputs!$B$33</f>
        <v/>
      </c>
      <c r="K61" s="2">
        <f>(I61-J61)*Inputs!$C$7/12</f>
        <v/>
      </c>
      <c r="L61" s="2">
        <f>IF(MAX(Inputs!$D$7-(A61-1),0)&lt;=0,0,(I61-J61)*((Inputs!$C$7/12)/(1-(1+Inputs!$C$7/12)^(-MAX(Inputs!$D$7-(A61-1),0)))-Inputs!$C$7/12))</f>
        <v/>
      </c>
      <c r="M61" s="2">
        <f>(I61-J61-L61)*Inputs!$B$32</f>
        <v/>
      </c>
      <c r="N61" s="2">
        <f>I61-J61-L61-M61</f>
        <v/>
      </c>
      <c r="O61" s="2">
        <f>T60</f>
        <v/>
      </c>
      <c r="P61" s="2">
        <f>O61*Inputs!$B$33</f>
        <v/>
      </c>
      <c r="Q61" s="2">
        <f>(O61-P61)*Inputs!$C$8/12</f>
        <v/>
      </c>
      <c r="R61" s="2">
        <f>IF(MAX(Inputs!$D$8-(A61-1),0)&lt;=0,0,(O61-P61)*((Inputs!$C$8/12)/(1-(1+Inputs!$C$8/12)^(-MAX(Inputs!$D$8-(A61-1),0)))-Inputs!$C$8/12))</f>
        <v/>
      </c>
      <c r="S61" s="2">
        <f>(O61-P61-R61)*Inputs!$B$32</f>
        <v/>
      </c>
      <c r="T61" s="2">
        <f>O61-P61-R61-S61</f>
        <v/>
      </c>
      <c r="U61" s="2">
        <f>Z60</f>
        <v/>
      </c>
      <c r="V61" s="2">
        <f>U61*Inputs!$B$33</f>
        <v/>
      </c>
      <c r="W61" s="2">
        <f>(U61-V61)*Inputs!$C$9/12</f>
        <v/>
      </c>
      <c r="X61" s="2">
        <f>IF(MAX(Inputs!$D$9-(A61-1),0)&lt;=0,0,(U61-V61)*((Inputs!$C$9/12)/(1-(1+Inputs!$C$9/12)^(-MAX(Inputs!$D$9-(A61-1),0)))-Inputs!$C$9/12))</f>
        <v/>
      </c>
      <c r="Y61" s="2">
        <f>(U61-V61-X61)*Inputs!$B$32</f>
        <v/>
      </c>
      <c r="Z61" s="2">
        <f>U61-V61-X61-Y61</f>
        <v/>
      </c>
      <c r="AA61" s="2">
        <f>AF60</f>
        <v/>
      </c>
      <c r="AB61" s="2">
        <f>AA61*Inputs!$B$33</f>
        <v/>
      </c>
      <c r="AC61" s="2">
        <f>(AA61-AB61)*Inputs!$C$10/12</f>
        <v/>
      </c>
      <c r="AD61" s="2">
        <f>IF(MAX(Inputs!$D$10-(A61-1),0)&lt;=0,0,(AA61-AB61)*((Inputs!$C$10/12)/(1-(1+Inputs!$C$10/12)^(-MAX(Inputs!$D$10-(A61-1),0)))-Inputs!$C$10/12))</f>
        <v/>
      </c>
      <c r="AE61" s="2">
        <f>(AA61-AB61-AD61)*Inputs!$B$32</f>
        <v/>
      </c>
      <c r="AF61" s="2">
        <f>AA61-AB61-AD61-AE61</f>
        <v/>
      </c>
      <c r="AG61" s="2">
        <f>AL60</f>
        <v/>
      </c>
      <c r="AH61" s="2">
        <f>AG61*Inputs!$B$33</f>
        <v/>
      </c>
      <c r="AI61" s="2">
        <f>(AG61-AH61)*Inputs!$C$11/12</f>
        <v/>
      </c>
      <c r="AJ61" s="2">
        <f>IF(MAX(Inputs!$D$11-(A61-1),0)&lt;=0,0,(AG61-AH61)*((Inputs!$C$11/12)/(1-(1+Inputs!$C$11/12)^(-MAX(Inputs!$D$11-(A61-1),0)))-Inputs!$C$11/12))</f>
        <v/>
      </c>
      <c r="AK61" s="2">
        <f>(AG61-AH61-AJ61)*Inputs!$B$32</f>
        <v/>
      </c>
      <c r="AL61" s="2">
        <f>AG61-AH61-AJ61-AK61</f>
        <v/>
      </c>
      <c r="AM61" s="2">
        <f>AR60</f>
        <v/>
      </c>
      <c r="AN61" s="2">
        <f>AM61*Inputs!$B$33</f>
        <v/>
      </c>
      <c r="AO61" s="2">
        <f>(AM61-AN61)*Inputs!$C$12/12</f>
        <v/>
      </c>
      <c r="AP61" s="2">
        <f>IF(MAX(Inputs!$D$12-(A61-1),0)&lt;=0,0,(AM61-AN61)*((Inputs!$C$12/12)/(1-(1+Inputs!$C$12/12)^(-MAX(Inputs!$D$12-(A61-1),0)))-Inputs!$C$12/12))</f>
        <v/>
      </c>
      <c r="AQ61" s="2">
        <f>(AM61-AN61-AP61)*Inputs!$B$32</f>
        <v/>
      </c>
      <c r="AR61" s="2">
        <f>AM61-AN61-AP61-AQ61</f>
        <v/>
      </c>
      <c r="AS61" s="2">
        <f>AX60</f>
        <v/>
      </c>
      <c r="AT61" s="2">
        <f>AS61*Inputs!$B$33</f>
        <v/>
      </c>
      <c r="AU61" s="2">
        <f>(AS61-AT61)*Inputs!$C$13/12</f>
        <v/>
      </c>
      <c r="AV61" s="2">
        <f>IF(MAX(Inputs!$D$13-(A61-1),0)&lt;=0,0,(AS61-AT61)*((Inputs!$C$13/12)/(1-(1+Inputs!$C$13/12)^(-MAX(Inputs!$D$13-(A61-1),0)))-Inputs!$C$13/12))</f>
        <v/>
      </c>
      <c r="AW61" s="2">
        <f>(AS61-AT61-AV61)*Inputs!$B$32</f>
        <v/>
      </c>
      <c r="AX61" s="2">
        <f>AS61-AT61-AV61-AW61</f>
        <v/>
      </c>
      <c r="AY61" s="2">
        <f>BD60</f>
        <v/>
      </c>
      <c r="AZ61" s="2">
        <f>AY61*Inputs!$B$33</f>
        <v/>
      </c>
      <c r="BA61" s="2">
        <f>(AY61-AZ61)*Inputs!$C$14/12</f>
        <v/>
      </c>
      <c r="BB61" s="2">
        <f>IF(MAX(Inputs!$D$14-(A61-1),0)&lt;=0,0,(AY61-AZ61)*((Inputs!$C$14/12)/(1-(1+Inputs!$C$14/12)^(-MAX(Inputs!$D$14-(A61-1),0)))-Inputs!$C$14/12))</f>
        <v/>
      </c>
      <c r="BC61" s="2">
        <f>(AY61-AZ61-BB61)*Inputs!$B$32</f>
        <v/>
      </c>
      <c r="BD61" s="2">
        <f>AY61-AZ61-BB61-BC61</f>
        <v/>
      </c>
      <c r="BE61" s="2">
        <f>BJ60</f>
        <v/>
      </c>
      <c r="BF61" s="2">
        <f>BE61*Inputs!$B$33</f>
        <v/>
      </c>
      <c r="BG61" s="2">
        <f>(BE61-BF61)*Inputs!$C$15/12</f>
        <v/>
      </c>
      <c r="BH61" s="2">
        <f>IF(MAX(Inputs!$D$15-(A61-1),0)&lt;=0,0,(BE61-BF61)*((Inputs!$C$15/12)/(1-(1+Inputs!$C$15/12)^(-MAX(Inputs!$D$15-(A61-1),0)))-Inputs!$C$15/12))</f>
        <v/>
      </c>
      <c r="BI61" s="2">
        <f>(BE61-BF61-BH61)*Inputs!$B$32</f>
        <v/>
      </c>
      <c r="BJ61" s="2">
        <f>BE61-BF61-BH61-BI61</f>
        <v/>
      </c>
      <c r="BK61" s="2">
        <f>C61+I61+O61+U61+AA61+AG61+AM61+AS61+AY61+BE61</f>
        <v/>
      </c>
      <c r="BL61" s="2">
        <f>D61+J61+P61+V61+AB61+AH61+AN61+AT61+AZ61+BF61</f>
        <v/>
      </c>
      <c r="BM61" s="2">
        <f>E61+K61+Q61+W61+AC61+AI61+AO61+AU61+BA61+BG61</f>
        <v/>
      </c>
      <c r="BN61" s="2">
        <f>F61+L61+R61+X61+AD61+AJ61+AP61+AV61+BB61+BH61</f>
        <v/>
      </c>
      <c r="BO61" s="2">
        <f>G61+M61+S61+Y61+AE61+AK61+AQ61+AW61+BC61+BI61</f>
        <v/>
      </c>
      <c r="BP61" s="2">
        <f>H61+N61+T61+Z61+AF61+AL61+AR61+AX61+BD61+BJ61</f>
        <v/>
      </c>
      <c r="BQ61" s="2">
        <f>IF(A61-Inputs!$B$30&gt;=1,INDEX($BL$5:$BL$101,A61-Inputs!$B$30+1)*(1-Inputs!$B$29),0)</f>
        <v/>
      </c>
      <c r="BR61" s="2">
        <f>BR60+BL61</f>
        <v/>
      </c>
      <c r="BS61" s="2">
        <f>BS60+BQ61</f>
        <v/>
      </c>
      <c r="BT61" s="2">
        <f>BR61*Inputs!$B$29</f>
        <v/>
      </c>
      <c r="BU61" s="2">
        <f>BR61*(1-Inputs!$B$29)-BS61</f>
        <v/>
      </c>
      <c r="BV61" s="2">
        <f>BP61+BU61</f>
        <v/>
      </c>
      <c r="BW61" s="2">
        <f>BM61+BN61+BO61+BQ61</f>
        <v/>
      </c>
      <c r="BX61" s="8">
        <f>BK61-BL61-BN61-BO61-BP61</f>
        <v/>
      </c>
    </row>
    <row r="62">
      <c r="A62" s="7" t="n">
        <v>57</v>
      </c>
      <c r="B62" s="3">
        <f>Inputs!$B$36+(Inputs!$B$37-Inputs!$B$36)*(1-EXP(-A62/Inputs!$B$38))+Inputs!$B$31/10000</f>
        <v/>
      </c>
      <c r="C62" s="2">
        <f>H61</f>
        <v/>
      </c>
      <c r="D62" s="2">
        <f>C62*Inputs!$B$33</f>
        <v/>
      </c>
      <c r="E62" s="2">
        <f>(C62-D62)*Inputs!$C$6/12</f>
        <v/>
      </c>
      <c r="F62" s="2">
        <f>IF(MAX(Inputs!$D$6-(A62-1),0)&lt;=0,0,(C62-D62)*((Inputs!$C$6/12)/(1-(1+Inputs!$C$6/12)^(-MAX(Inputs!$D$6-(A62-1),0)))-Inputs!$C$6/12))</f>
        <v/>
      </c>
      <c r="G62" s="2">
        <f>(C62-D62-F62)*Inputs!$B$32</f>
        <v/>
      </c>
      <c r="H62" s="2">
        <f>C62-D62-F62-G62</f>
        <v/>
      </c>
      <c r="I62" s="2">
        <f>N61</f>
        <v/>
      </c>
      <c r="J62" s="2">
        <f>I62*Inputs!$B$33</f>
        <v/>
      </c>
      <c r="K62" s="2">
        <f>(I62-J62)*Inputs!$C$7/12</f>
        <v/>
      </c>
      <c r="L62" s="2">
        <f>IF(MAX(Inputs!$D$7-(A62-1),0)&lt;=0,0,(I62-J62)*((Inputs!$C$7/12)/(1-(1+Inputs!$C$7/12)^(-MAX(Inputs!$D$7-(A62-1),0)))-Inputs!$C$7/12))</f>
        <v/>
      </c>
      <c r="M62" s="2">
        <f>(I62-J62-L62)*Inputs!$B$32</f>
        <v/>
      </c>
      <c r="N62" s="2">
        <f>I62-J62-L62-M62</f>
        <v/>
      </c>
      <c r="O62" s="2">
        <f>T61</f>
        <v/>
      </c>
      <c r="P62" s="2">
        <f>O62*Inputs!$B$33</f>
        <v/>
      </c>
      <c r="Q62" s="2">
        <f>(O62-P62)*Inputs!$C$8/12</f>
        <v/>
      </c>
      <c r="R62" s="2">
        <f>IF(MAX(Inputs!$D$8-(A62-1),0)&lt;=0,0,(O62-P62)*((Inputs!$C$8/12)/(1-(1+Inputs!$C$8/12)^(-MAX(Inputs!$D$8-(A62-1),0)))-Inputs!$C$8/12))</f>
        <v/>
      </c>
      <c r="S62" s="2">
        <f>(O62-P62-R62)*Inputs!$B$32</f>
        <v/>
      </c>
      <c r="T62" s="2">
        <f>O62-P62-R62-S62</f>
        <v/>
      </c>
      <c r="U62" s="2">
        <f>Z61</f>
        <v/>
      </c>
      <c r="V62" s="2">
        <f>U62*Inputs!$B$33</f>
        <v/>
      </c>
      <c r="W62" s="2">
        <f>(U62-V62)*Inputs!$C$9/12</f>
        <v/>
      </c>
      <c r="X62" s="2">
        <f>IF(MAX(Inputs!$D$9-(A62-1),0)&lt;=0,0,(U62-V62)*((Inputs!$C$9/12)/(1-(1+Inputs!$C$9/12)^(-MAX(Inputs!$D$9-(A62-1),0)))-Inputs!$C$9/12))</f>
        <v/>
      </c>
      <c r="Y62" s="2">
        <f>(U62-V62-X62)*Inputs!$B$32</f>
        <v/>
      </c>
      <c r="Z62" s="2">
        <f>U62-V62-X62-Y62</f>
        <v/>
      </c>
      <c r="AA62" s="2">
        <f>AF61</f>
        <v/>
      </c>
      <c r="AB62" s="2">
        <f>AA62*Inputs!$B$33</f>
        <v/>
      </c>
      <c r="AC62" s="2">
        <f>(AA62-AB62)*Inputs!$C$10/12</f>
        <v/>
      </c>
      <c r="AD62" s="2">
        <f>IF(MAX(Inputs!$D$10-(A62-1),0)&lt;=0,0,(AA62-AB62)*((Inputs!$C$10/12)/(1-(1+Inputs!$C$10/12)^(-MAX(Inputs!$D$10-(A62-1),0)))-Inputs!$C$10/12))</f>
        <v/>
      </c>
      <c r="AE62" s="2">
        <f>(AA62-AB62-AD62)*Inputs!$B$32</f>
        <v/>
      </c>
      <c r="AF62" s="2">
        <f>AA62-AB62-AD62-AE62</f>
        <v/>
      </c>
      <c r="AG62" s="2">
        <f>AL61</f>
        <v/>
      </c>
      <c r="AH62" s="2">
        <f>AG62*Inputs!$B$33</f>
        <v/>
      </c>
      <c r="AI62" s="2">
        <f>(AG62-AH62)*Inputs!$C$11/12</f>
        <v/>
      </c>
      <c r="AJ62" s="2">
        <f>IF(MAX(Inputs!$D$11-(A62-1),0)&lt;=0,0,(AG62-AH62)*((Inputs!$C$11/12)/(1-(1+Inputs!$C$11/12)^(-MAX(Inputs!$D$11-(A62-1),0)))-Inputs!$C$11/12))</f>
        <v/>
      </c>
      <c r="AK62" s="2">
        <f>(AG62-AH62-AJ62)*Inputs!$B$32</f>
        <v/>
      </c>
      <c r="AL62" s="2">
        <f>AG62-AH62-AJ62-AK62</f>
        <v/>
      </c>
      <c r="AM62" s="2">
        <f>AR61</f>
        <v/>
      </c>
      <c r="AN62" s="2">
        <f>AM62*Inputs!$B$33</f>
        <v/>
      </c>
      <c r="AO62" s="2">
        <f>(AM62-AN62)*Inputs!$C$12/12</f>
        <v/>
      </c>
      <c r="AP62" s="2">
        <f>IF(MAX(Inputs!$D$12-(A62-1),0)&lt;=0,0,(AM62-AN62)*((Inputs!$C$12/12)/(1-(1+Inputs!$C$12/12)^(-MAX(Inputs!$D$12-(A62-1),0)))-Inputs!$C$12/12))</f>
        <v/>
      </c>
      <c r="AQ62" s="2">
        <f>(AM62-AN62-AP62)*Inputs!$B$32</f>
        <v/>
      </c>
      <c r="AR62" s="2">
        <f>AM62-AN62-AP62-AQ62</f>
        <v/>
      </c>
      <c r="AS62" s="2">
        <f>AX61</f>
        <v/>
      </c>
      <c r="AT62" s="2">
        <f>AS62*Inputs!$B$33</f>
        <v/>
      </c>
      <c r="AU62" s="2">
        <f>(AS62-AT62)*Inputs!$C$13/12</f>
        <v/>
      </c>
      <c r="AV62" s="2">
        <f>IF(MAX(Inputs!$D$13-(A62-1),0)&lt;=0,0,(AS62-AT62)*((Inputs!$C$13/12)/(1-(1+Inputs!$C$13/12)^(-MAX(Inputs!$D$13-(A62-1),0)))-Inputs!$C$13/12))</f>
        <v/>
      </c>
      <c r="AW62" s="2">
        <f>(AS62-AT62-AV62)*Inputs!$B$32</f>
        <v/>
      </c>
      <c r="AX62" s="2">
        <f>AS62-AT62-AV62-AW62</f>
        <v/>
      </c>
      <c r="AY62" s="2">
        <f>BD61</f>
        <v/>
      </c>
      <c r="AZ62" s="2">
        <f>AY62*Inputs!$B$33</f>
        <v/>
      </c>
      <c r="BA62" s="2">
        <f>(AY62-AZ62)*Inputs!$C$14/12</f>
        <v/>
      </c>
      <c r="BB62" s="2">
        <f>IF(MAX(Inputs!$D$14-(A62-1),0)&lt;=0,0,(AY62-AZ62)*((Inputs!$C$14/12)/(1-(1+Inputs!$C$14/12)^(-MAX(Inputs!$D$14-(A62-1),0)))-Inputs!$C$14/12))</f>
        <v/>
      </c>
      <c r="BC62" s="2">
        <f>(AY62-AZ62-BB62)*Inputs!$B$32</f>
        <v/>
      </c>
      <c r="BD62" s="2">
        <f>AY62-AZ62-BB62-BC62</f>
        <v/>
      </c>
      <c r="BE62" s="2">
        <f>BJ61</f>
        <v/>
      </c>
      <c r="BF62" s="2">
        <f>BE62*Inputs!$B$33</f>
        <v/>
      </c>
      <c r="BG62" s="2">
        <f>(BE62-BF62)*Inputs!$C$15/12</f>
        <v/>
      </c>
      <c r="BH62" s="2">
        <f>IF(MAX(Inputs!$D$15-(A62-1),0)&lt;=0,0,(BE62-BF62)*((Inputs!$C$15/12)/(1-(1+Inputs!$C$15/12)^(-MAX(Inputs!$D$15-(A62-1),0)))-Inputs!$C$15/12))</f>
        <v/>
      </c>
      <c r="BI62" s="2">
        <f>(BE62-BF62-BH62)*Inputs!$B$32</f>
        <v/>
      </c>
      <c r="BJ62" s="2">
        <f>BE62-BF62-BH62-BI62</f>
        <v/>
      </c>
      <c r="BK62" s="2">
        <f>C62+I62+O62+U62+AA62+AG62+AM62+AS62+AY62+BE62</f>
        <v/>
      </c>
      <c r="BL62" s="2">
        <f>D62+J62+P62+V62+AB62+AH62+AN62+AT62+AZ62+BF62</f>
        <v/>
      </c>
      <c r="BM62" s="2">
        <f>E62+K62+Q62+W62+AC62+AI62+AO62+AU62+BA62+BG62</f>
        <v/>
      </c>
      <c r="BN62" s="2">
        <f>F62+L62+R62+X62+AD62+AJ62+AP62+AV62+BB62+BH62</f>
        <v/>
      </c>
      <c r="BO62" s="2">
        <f>G62+M62+S62+Y62+AE62+AK62+AQ62+AW62+BC62+BI62</f>
        <v/>
      </c>
      <c r="BP62" s="2">
        <f>H62+N62+T62+Z62+AF62+AL62+AR62+AX62+BD62+BJ62</f>
        <v/>
      </c>
      <c r="BQ62" s="2">
        <f>IF(A62-Inputs!$B$30&gt;=1,INDEX($BL$5:$BL$101,A62-Inputs!$B$30+1)*(1-Inputs!$B$29),0)</f>
        <v/>
      </c>
      <c r="BR62" s="2">
        <f>BR61+BL62</f>
        <v/>
      </c>
      <c r="BS62" s="2">
        <f>BS61+BQ62</f>
        <v/>
      </c>
      <c r="BT62" s="2">
        <f>BR62*Inputs!$B$29</f>
        <v/>
      </c>
      <c r="BU62" s="2">
        <f>BR62*(1-Inputs!$B$29)-BS62</f>
        <v/>
      </c>
      <c r="BV62" s="2">
        <f>BP62+BU62</f>
        <v/>
      </c>
      <c r="BW62" s="2">
        <f>BM62+BN62+BO62+BQ62</f>
        <v/>
      </c>
      <c r="BX62" s="8">
        <f>BK62-BL62-BN62-BO62-BP62</f>
        <v/>
      </c>
    </row>
    <row r="63">
      <c r="A63" s="7" t="n">
        <v>58</v>
      </c>
      <c r="B63" s="3">
        <f>Inputs!$B$36+(Inputs!$B$37-Inputs!$B$36)*(1-EXP(-A63/Inputs!$B$38))+Inputs!$B$31/10000</f>
        <v/>
      </c>
      <c r="C63" s="2">
        <f>H62</f>
        <v/>
      </c>
      <c r="D63" s="2">
        <f>C63*Inputs!$B$33</f>
        <v/>
      </c>
      <c r="E63" s="2">
        <f>(C63-D63)*Inputs!$C$6/12</f>
        <v/>
      </c>
      <c r="F63" s="2">
        <f>IF(MAX(Inputs!$D$6-(A63-1),0)&lt;=0,0,(C63-D63)*((Inputs!$C$6/12)/(1-(1+Inputs!$C$6/12)^(-MAX(Inputs!$D$6-(A63-1),0)))-Inputs!$C$6/12))</f>
        <v/>
      </c>
      <c r="G63" s="2">
        <f>(C63-D63-F63)*Inputs!$B$32</f>
        <v/>
      </c>
      <c r="H63" s="2">
        <f>C63-D63-F63-G63</f>
        <v/>
      </c>
      <c r="I63" s="2">
        <f>N62</f>
        <v/>
      </c>
      <c r="J63" s="2">
        <f>I63*Inputs!$B$33</f>
        <v/>
      </c>
      <c r="K63" s="2">
        <f>(I63-J63)*Inputs!$C$7/12</f>
        <v/>
      </c>
      <c r="L63" s="2">
        <f>IF(MAX(Inputs!$D$7-(A63-1),0)&lt;=0,0,(I63-J63)*((Inputs!$C$7/12)/(1-(1+Inputs!$C$7/12)^(-MAX(Inputs!$D$7-(A63-1),0)))-Inputs!$C$7/12))</f>
        <v/>
      </c>
      <c r="M63" s="2">
        <f>(I63-J63-L63)*Inputs!$B$32</f>
        <v/>
      </c>
      <c r="N63" s="2">
        <f>I63-J63-L63-M63</f>
        <v/>
      </c>
      <c r="O63" s="2">
        <f>T62</f>
        <v/>
      </c>
      <c r="P63" s="2">
        <f>O63*Inputs!$B$33</f>
        <v/>
      </c>
      <c r="Q63" s="2">
        <f>(O63-P63)*Inputs!$C$8/12</f>
        <v/>
      </c>
      <c r="R63" s="2">
        <f>IF(MAX(Inputs!$D$8-(A63-1),0)&lt;=0,0,(O63-P63)*((Inputs!$C$8/12)/(1-(1+Inputs!$C$8/12)^(-MAX(Inputs!$D$8-(A63-1),0)))-Inputs!$C$8/12))</f>
        <v/>
      </c>
      <c r="S63" s="2">
        <f>(O63-P63-R63)*Inputs!$B$32</f>
        <v/>
      </c>
      <c r="T63" s="2">
        <f>O63-P63-R63-S63</f>
        <v/>
      </c>
      <c r="U63" s="2">
        <f>Z62</f>
        <v/>
      </c>
      <c r="V63" s="2">
        <f>U63*Inputs!$B$33</f>
        <v/>
      </c>
      <c r="W63" s="2">
        <f>(U63-V63)*Inputs!$C$9/12</f>
        <v/>
      </c>
      <c r="X63" s="2">
        <f>IF(MAX(Inputs!$D$9-(A63-1),0)&lt;=0,0,(U63-V63)*((Inputs!$C$9/12)/(1-(1+Inputs!$C$9/12)^(-MAX(Inputs!$D$9-(A63-1),0)))-Inputs!$C$9/12))</f>
        <v/>
      </c>
      <c r="Y63" s="2">
        <f>(U63-V63-X63)*Inputs!$B$32</f>
        <v/>
      </c>
      <c r="Z63" s="2">
        <f>U63-V63-X63-Y63</f>
        <v/>
      </c>
      <c r="AA63" s="2">
        <f>AF62</f>
        <v/>
      </c>
      <c r="AB63" s="2">
        <f>AA63*Inputs!$B$33</f>
        <v/>
      </c>
      <c r="AC63" s="2">
        <f>(AA63-AB63)*Inputs!$C$10/12</f>
        <v/>
      </c>
      <c r="AD63" s="2">
        <f>IF(MAX(Inputs!$D$10-(A63-1),0)&lt;=0,0,(AA63-AB63)*((Inputs!$C$10/12)/(1-(1+Inputs!$C$10/12)^(-MAX(Inputs!$D$10-(A63-1),0)))-Inputs!$C$10/12))</f>
        <v/>
      </c>
      <c r="AE63" s="2">
        <f>(AA63-AB63-AD63)*Inputs!$B$32</f>
        <v/>
      </c>
      <c r="AF63" s="2">
        <f>AA63-AB63-AD63-AE63</f>
        <v/>
      </c>
      <c r="AG63" s="2">
        <f>AL62</f>
        <v/>
      </c>
      <c r="AH63" s="2">
        <f>AG63*Inputs!$B$33</f>
        <v/>
      </c>
      <c r="AI63" s="2">
        <f>(AG63-AH63)*Inputs!$C$11/12</f>
        <v/>
      </c>
      <c r="AJ63" s="2">
        <f>IF(MAX(Inputs!$D$11-(A63-1),0)&lt;=0,0,(AG63-AH63)*((Inputs!$C$11/12)/(1-(1+Inputs!$C$11/12)^(-MAX(Inputs!$D$11-(A63-1),0)))-Inputs!$C$11/12))</f>
        <v/>
      </c>
      <c r="AK63" s="2">
        <f>(AG63-AH63-AJ63)*Inputs!$B$32</f>
        <v/>
      </c>
      <c r="AL63" s="2">
        <f>AG63-AH63-AJ63-AK63</f>
        <v/>
      </c>
      <c r="AM63" s="2">
        <f>AR62</f>
        <v/>
      </c>
      <c r="AN63" s="2">
        <f>AM63*Inputs!$B$33</f>
        <v/>
      </c>
      <c r="AO63" s="2">
        <f>(AM63-AN63)*Inputs!$C$12/12</f>
        <v/>
      </c>
      <c r="AP63" s="2">
        <f>IF(MAX(Inputs!$D$12-(A63-1),0)&lt;=0,0,(AM63-AN63)*((Inputs!$C$12/12)/(1-(1+Inputs!$C$12/12)^(-MAX(Inputs!$D$12-(A63-1),0)))-Inputs!$C$12/12))</f>
        <v/>
      </c>
      <c r="AQ63" s="2">
        <f>(AM63-AN63-AP63)*Inputs!$B$32</f>
        <v/>
      </c>
      <c r="AR63" s="2">
        <f>AM63-AN63-AP63-AQ63</f>
        <v/>
      </c>
      <c r="AS63" s="2">
        <f>AX62</f>
        <v/>
      </c>
      <c r="AT63" s="2">
        <f>AS63*Inputs!$B$33</f>
        <v/>
      </c>
      <c r="AU63" s="2">
        <f>(AS63-AT63)*Inputs!$C$13/12</f>
        <v/>
      </c>
      <c r="AV63" s="2">
        <f>IF(MAX(Inputs!$D$13-(A63-1),0)&lt;=0,0,(AS63-AT63)*((Inputs!$C$13/12)/(1-(1+Inputs!$C$13/12)^(-MAX(Inputs!$D$13-(A63-1),0)))-Inputs!$C$13/12))</f>
        <v/>
      </c>
      <c r="AW63" s="2">
        <f>(AS63-AT63-AV63)*Inputs!$B$32</f>
        <v/>
      </c>
      <c r="AX63" s="2">
        <f>AS63-AT63-AV63-AW63</f>
        <v/>
      </c>
      <c r="AY63" s="2">
        <f>BD62</f>
        <v/>
      </c>
      <c r="AZ63" s="2">
        <f>AY63*Inputs!$B$33</f>
        <v/>
      </c>
      <c r="BA63" s="2">
        <f>(AY63-AZ63)*Inputs!$C$14/12</f>
        <v/>
      </c>
      <c r="BB63" s="2">
        <f>IF(MAX(Inputs!$D$14-(A63-1),0)&lt;=0,0,(AY63-AZ63)*((Inputs!$C$14/12)/(1-(1+Inputs!$C$14/12)^(-MAX(Inputs!$D$14-(A63-1),0)))-Inputs!$C$14/12))</f>
        <v/>
      </c>
      <c r="BC63" s="2">
        <f>(AY63-AZ63-BB63)*Inputs!$B$32</f>
        <v/>
      </c>
      <c r="BD63" s="2">
        <f>AY63-AZ63-BB63-BC63</f>
        <v/>
      </c>
      <c r="BE63" s="2">
        <f>BJ62</f>
        <v/>
      </c>
      <c r="BF63" s="2">
        <f>BE63*Inputs!$B$33</f>
        <v/>
      </c>
      <c r="BG63" s="2">
        <f>(BE63-BF63)*Inputs!$C$15/12</f>
        <v/>
      </c>
      <c r="BH63" s="2">
        <f>IF(MAX(Inputs!$D$15-(A63-1),0)&lt;=0,0,(BE63-BF63)*((Inputs!$C$15/12)/(1-(1+Inputs!$C$15/12)^(-MAX(Inputs!$D$15-(A63-1),0)))-Inputs!$C$15/12))</f>
        <v/>
      </c>
      <c r="BI63" s="2">
        <f>(BE63-BF63-BH63)*Inputs!$B$32</f>
        <v/>
      </c>
      <c r="BJ63" s="2">
        <f>BE63-BF63-BH63-BI63</f>
        <v/>
      </c>
      <c r="BK63" s="2">
        <f>C63+I63+O63+U63+AA63+AG63+AM63+AS63+AY63+BE63</f>
        <v/>
      </c>
      <c r="BL63" s="2">
        <f>D63+J63+P63+V63+AB63+AH63+AN63+AT63+AZ63+BF63</f>
        <v/>
      </c>
      <c r="BM63" s="2">
        <f>E63+K63+Q63+W63+AC63+AI63+AO63+AU63+BA63+BG63</f>
        <v/>
      </c>
      <c r="BN63" s="2">
        <f>F63+L63+R63+X63+AD63+AJ63+AP63+AV63+BB63+BH63</f>
        <v/>
      </c>
      <c r="BO63" s="2">
        <f>G63+M63+S63+Y63+AE63+AK63+AQ63+AW63+BC63+BI63</f>
        <v/>
      </c>
      <c r="BP63" s="2">
        <f>H63+N63+T63+Z63+AF63+AL63+AR63+AX63+BD63+BJ63</f>
        <v/>
      </c>
      <c r="BQ63" s="2">
        <f>IF(A63-Inputs!$B$30&gt;=1,INDEX($BL$5:$BL$101,A63-Inputs!$B$30+1)*(1-Inputs!$B$29),0)</f>
        <v/>
      </c>
      <c r="BR63" s="2">
        <f>BR62+BL63</f>
        <v/>
      </c>
      <c r="BS63" s="2">
        <f>BS62+BQ63</f>
        <v/>
      </c>
      <c r="BT63" s="2">
        <f>BR63*Inputs!$B$29</f>
        <v/>
      </c>
      <c r="BU63" s="2">
        <f>BR63*(1-Inputs!$B$29)-BS63</f>
        <v/>
      </c>
      <c r="BV63" s="2">
        <f>BP63+BU63</f>
        <v/>
      </c>
      <c r="BW63" s="2">
        <f>BM63+BN63+BO63+BQ63</f>
        <v/>
      </c>
      <c r="BX63" s="8">
        <f>BK63-BL63-BN63-BO63-BP63</f>
        <v/>
      </c>
    </row>
    <row r="64">
      <c r="A64" s="7" t="n">
        <v>59</v>
      </c>
      <c r="B64" s="3">
        <f>Inputs!$B$36+(Inputs!$B$37-Inputs!$B$36)*(1-EXP(-A64/Inputs!$B$38))+Inputs!$B$31/10000</f>
        <v/>
      </c>
      <c r="C64" s="2">
        <f>H63</f>
        <v/>
      </c>
      <c r="D64" s="2">
        <f>C64*Inputs!$B$33</f>
        <v/>
      </c>
      <c r="E64" s="2">
        <f>(C64-D64)*Inputs!$C$6/12</f>
        <v/>
      </c>
      <c r="F64" s="2">
        <f>IF(MAX(Inputs!$D$6-(A64-1),0)&lt;=0,0,(C64-D64)*((Inputs!$C$6/12)/(1-(1+Inputs!$C$6/12)^(-MAX(Inputs!$D$6-(A64-1),0)))-Inputs!$C$6/12))</f>
        <v/>
      </c>
      <c r="G64" s="2">
        <f>(C64-D64-F64)*Inputs!$B$32</f>
        <v/>
      </c>
      <c r="H64" s="2">
        <f>C64-D64-F64-G64</f>
        <v/>
      </c>
      <c r="I64" s="2">
        <f>N63</f>
        <v/>
      </c>
      <c r="J64" s="2">
        <f>I64*Inputs!$B$33</f>
        <v/>
      </c>
      <c r="K64" s="2">
        <f>(I64-J64)*Inputs!$C$7/12</f>
        <v/>
      </c>
      <c r="L64" s="2">
        <f>IF(MAX(Inputs!$D$7-(A64-1),0)&lt;=0,0,(I64-J64)*((Inputs!$C$7/12)/(1-(1+Inputs!$C$7/12)^(-MAX(Inputs!$D$7-(A64-1),0)))-Inputs!$C$7/12))</f>
        <v/>
      </c>
      <c r="M64" s="2">
        <f>(I64-J64-L64)*Inputs!$B$32</f>
        <v/>
      </c>
      <c r="N64" s="2">
        <f>I64-J64-L64-M64</f>
        <v/>
      </c>
      <c r="O64" s="2">
        <f>T63</f>
        <v/>
      </c>
      <c r="P64" s="2">
        <f>O64*Inputs!$B$33</f>
        <v/>
      </c>
      <c r="Q64" s="2">
        <f>(O64-P64)*Inputs!$C$8/12</f>
        <v/>
      </c>
      <c r="R64" s="2">
        <f>IF(MAX(Inputs!$D$8-(A64-1),0)&lt;=0,0,(O64-P64)*((Inputs!$C$8/12)/(1-(1+Inputs!$C$8/12)^(-MAX(Inputs!$D$8-(A64-1),0)))-Inputs!$C$8/12))</f>
        <v/>
      </c>
      <c r="S64" s="2">
        <f>(O64-P64-R64)*Inputs!$B$32</f>
        <v/>
      </c>
      <c r="T64" s="2">
        <f>O64-P64-R64-S64</f>
        <v/>
      </c>
      <c r="U64" s="2">
        <f>Z63</f>
        <v/>
      </c>
      <c r="V64" s="2">
        <f>U64*Inputs!$B$33</f>
        <v/>
      </c>
      <c r="W64" s="2">
        <f>(U64-V64)*Inputs!$C$9/12</f>
        <v/>
      </c>
      <c r="X64" s="2">
        <f>IF(MAX(Inputs!$D$9-(A64-1),0)&lt;=0,0,(U64-V64)*((Inputs!$C$9/12)/(1-(1+Inputs!$C$9/12)^(-MAX(Inputs!$D$9-(A64-1),0)))-Inputs!$C$9/12))</f>
        <v/>
      </c>
      <c r="Y64" s="2">
        <f>(U64-V64-X64)*Inputs!$B$32</f>
        <v/>
      </c>
      <c r="Z64" s="2">
        <f>U64-V64-X64-Y64</f>
        <v/>
      </c>
      <c r="AA64" s="2">
        <f>AF63</f>
        <v/>
      </c>
      <c r="AB64" s="2">
        <f>AA64*Inputs!$B$33</f>
        <v/>
      </c>
      <c r="AC64" s="2">
        <f>(AA64-AB64)*Inputs!$C$10/12</f>
        <v/>
      </c>
      <c r="AD64" s="2">
        <f>IF(MAX(Inputs!$D$10-(A64-1),0)&lt;=0,0,(AA64-AB64)*((Inputs!$C$10/12)/(1-(1+Inputs!$C$10/12)^(-MAX(Inputs!$D$10-(A64-1),0)))-Inputs!$C$10/12))</f>
        <v/>
      </c>
      <c r="AE64" s="2">
        <f>(AA64-AB64-AD64)*Inputs!$B$32</f>
        <v/>
      </c>
      <c r="AF64" s="2">
        <f>AA64-AB64-AD64-AE64</f>
        <v/>
      </c>
      <c r="AG64" s="2">
        <f>AL63</f>
        <v/>
      </c>
      <c r="AH64" s="2">
        <f>AG64*Inputs!$B$33</f>
        <v/>
      </c>
      <c r="AI64" s="2">
        <f>(AG64-AH64)*Inputs!$C$11/12</f>
        <v/>
      </c>
      <c r="AJ64" s="2">
        <f>IF(MAX(Inputs!$D$11-(A64-1),0)&lt;=0,0,(AG64-AH64)*((Inputs!$C$11/12)/(1-(1+Inputs!$C$11/12)^(-MAX(Inputs!$D$11-(A64-1),0)))-Inputs!$C$11/12))</f>
        <v/>
      </c>
      <c r="AK64" s="2">
        <f>(AG64-AH64-AJ64)*Inputs!$B$32</f>
        <v/>
      </c>
      <c r="AL64" s="2">
        <f>AG64-AH64-AJ64-AK64</f>
        <v/>
      </c>
      <c r="AM64" s="2">
        <f>AR63</f>
        <v/>
      </c>
      <c r="AN64" s="2">
        <f>AM64*Inputs!$B$33</f>
        <v/>
      </c>
      <c r="AO64" s="2">
        <f>(AM64-AN64)*Inputs!$C$12/12</f>
        <v/>
      </c>
      <c r="AP64" s="2">
        <f>IF(MAX(Inputs!$D$12-(A64-1),0)&lt;=0,0,(AM64-AN64)*((Inputs!$C$12/12)/(1-(1+Inputs!$C$12/12)^(-MAX(Inputs!$D$12-(A64-1),0)))-Inputs!$C$12/12))</f>
        <v/>
      </c>
      <c r="AQ64" s="2">
        <f>(AM64-AN64-AP64)*Inputs!$B$32</f>
        <v/>
      </c>
      <c r="AR64" s="2">
        <f>AM64-AN64-AP64-AQ64</f>
        <v/>
      </c>
      <c r="AS64" s="2">
        <f>AX63</f>
        <v/>
      </c>
      <c r="AT64" s="2">
        <f>AS64*Inputs!$B$33</f>
        <v/>
      </c>
      <c r="AU64" s="2">
        <f>(AS64-AT64)*Inputs!$C$13/12</f>
        <v/>
      </c>
      <c r="AV64" s="2">
        <f>IF(MAX(Inputs!$D$13-(A64-1),0)&lt;=0,0,(AS64-AT64)*((Inputs!$C$13/12)/(1-(1+Inputs!$C$13/12)^(-MAX(Inputs!$D$13-(A64-1),0)))-Inputs!$C$13/12))</f>
        <v/>
      </c>
      <c r="AW64" s="2">
        <f>(AS64-AT64-AV64)*Inputs!$B$32</f>
        <v/>
      </c>
      <c r="AX64" s="2">
        <f>AS64-AT64-AV64-AW64</f>
        <v/>
      </c>
      <c r="AY64" s="2">
        <f>BD63</f>
        <v/>
      </c>
      <c r="AZ64" s="2">
        <f>AY64*Inputs!$B$33</f>
        <v/>
      </c>
      <c r="BA64" s="2">
        <f>(AY64-AZ64)*Inputs!$C$14/12</f>
        <v/>
      </c>
      <c r="BB64" s="2">
        <f>IF(MAX(Inputs!$D$14-(A64-1),0)&lt;=0,0,(AY64-AZ64)*((Inputs!$C$14/12)/(1-(1+Inputs!$C$14/12)^(-MAX(Inputs!$D$14-(A64-1),0)))-Inputs!$C$14/12))</f>
        <v/>
      </c>
      <c r="BC64" s="2">
        <f>(AY64-AZ64-BB64)*Inputs!$B$32</f>
        <v/>
      </c>
      <c r="BD64" s="2">
        <f>AY64-AZ64-BB64-BC64</f>
        <v/>
      </c>
      <c r="BE64" s="2">
        <f>BJ63</f>
        <v/>
      </c>
      <c r="BF64" s="2">
        <f>BE64*Inputs!$B$33</f>
        <v/>
      </c>
      <c r="BG64" s="2">
        <f>(BE64-BF64)*Inputs!$C$15/12</f>
        <v/>
      </c>
      <c r="BH64" s="2">
        <f>IF(MAX(Inputs!$D$15-(A64-1),0)&lt;=0,0,(BE64-BF64)*((Inputs!$C$15/12)/(1-(1+Inputs!$C$15/12)^(-MAX(Inputs!$D$15-(A64-1),0)))-Inputs!$C$15/12))</f>
        <v/>
      </c>
      <c r="BI64" s="2">
        <f>(BE64-BF64-BH64)*Inputs!$B$32</f>
        <v/>
      </c>
      <c r="BJ64" s="2">
        <f>BE64-BF64-BH64-BI64</f>
        <v/>
      </c>
      <c r="BK64" s="2">
        <f>C64+I64+O64+U64+AA64+AG64+AM64+AS64+AY64+BE64</f>
        <v/>
      </c>
      <c r="BL64" s="2">
        <f>D64+J64+P64+V64+AB64+AH64+AN64+AT64+AZ64+BF64</f>
        <v/>
      </c>
      <c r="BM64" s="2">
        <f>E64+K64+Q64+W64+AC64+AI64+AO64+AU64+BA64+BG64</f>
        <v/>
      </c>
      <c r="BN64" s="2">
        <f>F64+L64+R64+X64+AD64+AJ64+AP64+AV64+BB64+BH64</f>
        <v/>
      </c>
      <c r="BO64" s="2">
        <f>G64+M64+S64+Y64+AE64+AK64+AQ64+AW64+BC64+BI64</f>
        <v/>
      </c>
      <c r="BP64" s="2">
        <f>H64+N64+T64+Z64+AF64+AL64+AR64+AX64+BD64+BJ64</f>
        <v/>
      </c>
      <c r="BQ64" s="2">
        <f>IF(A64-Inputs!$B$30&gt;=1,INDEX($BL$5:$BL$101,A64-Inputs!$B$30+1)*(1-Inputs!$B$29),0)</f>
        <v/>
      </c>
      <c r="BR64" s="2">
        <f>BR63+BL64</f>
        <v/>
      </c>
      <c r="BS64" s="2">
        <f>BS63+BQ64</f>
        <v/>
      </c>
      <c r="BT64" s="2">
        <f>BR64*Inputs!$B$29</f>
        <v/>
      </c>
      <c r="BU64" s="2">
        <f>BR64*(1-Inputs!$B$29)-BS64</f>
        <v/>
      </c>
      <c r="BV64" s="2">
        <f>BP64+BU64</f>
        <v/>
      </c>
      <c r="BW64" s="2">
        <f>BM64+BN64+BO64+BQ64</f>
        <v/>
      </c>
      <c r="BX64" s="8">
        <f>BK64-BL64-BN64-BO64-BP64</f>
        <v/>
      </c>
    </row>
    <row r="65">
      <c r="A65" s="7" t="n">
        <v>60</v>
      </c>
      <c r="B65" s="3">
        <f>Inputs!$B$36+(Inputs!$B$37-Inputs!$B$36)*(1-EXP(-A65/Inputs!$B$38))+Inputs!$B$31/10000</f>
        <v/>
      </c>
      <c r="C65" s="2">
        <f>H64</f>
        <v/>
      </c>
      <c r="D65" s="2">
        <f>C65*Inputs!$B$33</f>
        <v/>
      </c>
      <c r="E65" s="2">
        <f>(C65-D65)*Inputs!$C$6/12</f>
        <v/>
      </c>
      <c r="F65" s="2">
        <f>IF(MAX(Inputs!$D$6-(A65-1),0)&lt;=0,0,(C65-D65)*((Inputs!$C$6/12)/(1-(1+Inputs!$C$6/12)^(-MAX(Inputs!$D$6-(A65-1),0)))-Inputs!$C$6/12))</f>
        <v/>
      </c>
      <c r="G65" s="2">
        <f>(C65-D65-F65)*Inputs!$B$32</f>
        <v/>
      </c>
      <c r="H65" s="2">
        <f>C65-D65-F65-G65</f>
        <v/>
      </c>
      <c r="I65" s="2">
        <f>N64</f>
        <v/>
      </c>
      <c r="J65" s="2">
        <f>I65*Inputs!$B$33</f>
        <v/>
      </c>
      <c r="K65" s="2">
        <f>(I65-J65)*Inputs!$C$7/12</f>
        <v/>
      </c>
      <c r="L65" s="2">
        <f>IF(MAX(Inputs!$D$7-(A65-1),0)&lt;=0,0,(I65-J65)*((Inputs!$C$7/12)/(1-(1+Inputs!$C$7/12)^(-MAX(Inputs!$D$7-(A65-1),0)))-Inputs!$C$7/12))</f>
        <v/>
      </c>
      <c r="M65" s="2">
        <f>(I65-J65-L65)*Inputs!$B$32</f>
        <v/>
      </c>
      <c r="N65" s="2">
        <f>I65-J65-L65-M65</f>
        <v/>
      </c>
      <c r="O65" s="2">
        <f>T64</f>
        <v/>
      </c>
      <c r="P65" s="2">
        <f>O65*Inputs!$B$33</f>
        <v/>
      </c>
      <c r="Q65" s="2">
        <f>(O65-P65)*Inputs!$C$8/12</f>
        <v/>
      </c>
      <c r="R65" s="2">
        <f>IF(MAX(Inputs!$D$8-(A65-1),0)&lt;=0,0,(O65-P65)*((Inputs!$C$8/12)/(1-(1+Inputs!$C$8/12)^(-MAX(Inputs!$D$8-(A65-1),0)))-Inputs!$C$8/12))</f>
        <v/>
      </c>
      <c r="S65" s="2">
        <f>(O65-P65-R65)*Inputs!$B$32</f>
        <v/>
      </c>
      <c r="T65" s="2">
        <f>O65-P65-R65-S65</f>
        <v/>
      </c>
      <c r="U65" s="2">
        <f>Z64</f>
        <v/>
      </c>
      <c r="V65" s="2">
        <f>U65*Inputs!$B$33</f>
        <v/>
      </c>
      <c r="W65" s="2">
        <f>(U65-V65)*Inputs!$C$9/12</f>
        <v/>
      </c>
      <c r="X65" s="2">
        <f>IF(MAX(Inputs!$D$9-(A65-1),0)&lt;=0,0,(U65-V65)*((Inputs!$C$9/12)/(1-(1+Inputs!$C$9/12)^(-MAX(Inputs!$D$9-(A65-1),0)))-Inputs!$C$9/12))</f>
        <v/>
      </c>
      <c r="Y65" s="2">
        <f>(U65-V65-X65)*Inputs!$B$32</f>
        <v/>
      </c>
      <c r="Z65" s="2">
        <f>U65-V65-X65-Y65</f>
        <v/>
      </c>
      <c r="AA65" s="2">
        <f>AF64</f>
        <v/>
      </c>
      <c r="AB65" s="2">
        <f>AA65*Inputs!$B$33</f>
        <v/>
      </c>
      <c r="AC65" s="2">
        <f>(AA65-AB65)*Inputs!$C$10/12</f>
        <v/>
      </c>
      <c r="AD65" s="2">
        <f>IF(MAX(Inputs!$D$10-(A65-1),0)&lt;=0,0,(AA65-AB65)*((Inputs!$C$10/12)/(1-(1+Inputs!$C$10/12)^(-MAX(Inputs!$D$10-(A65-1),0)))-Inputs!$C$10/12))</f>
        <v/>
      </c>
      <c r="AE65" s="2">
        <f>(AA65-AB65-AD65)*Inputs!$B$32</f>
        <v/>
      </c>
      <c r="AF65" s="2">
        <f>AA65-AB65-AD65-AE65</f>
        <v/>
      </c>
      <c r="AG65" s="2">
        <f>AL64</f>
        <v/>
      </c>
      <c r="AH65" s="2">
        <f>AG65*Inputs!$B$33</f>
        <v/>
      </c>
      <c r="AI65" s="2">
        <f>(AG65-AH65)*Inputs!$C$11/12</f>
        <v/>
      </c>
      <c r="AJ65" s="2">
        <f>IF(MAX(Inputs!$D$11-(A65-1),0)&lt;=0,0,(AG65-AH65)*((Inputs!$C$11/12)/(1-(1+Inputs!$C$11/12)^(-MAX(Inputs!$D$11-(A65-1),0)))-Inputs!$C$11/12))</f>
        <v/>
      </c>
      <c r="AK65" s="2">
        <f>(AG65-AH65-AJ65)*Inputs!$B$32</f>
        <v/>
      </c>
      <c r="AL65" s="2">
        <f>AG65-AH65-AJ65-AK65</f>
        <v/>
      </c>
      <c r="AM65" s="2">
        <f>AR64</f>
        <v/>
      </c>
      <c r="AN65" s="2">
        <f>AM65*Inputs!$B$33</f>
        <v/>
      </c>
      <c r="AO65" s="2">
        <f>(AM65-AN65)*Inputs!$C$12/12</f>
        <v/>
      </c>
      <c r="AP65" s="2">
        <f>IF(MAX(Inputs!$D$12-(A65-1),0)&lt;=0,0,(AM65-AN65)*((Inputs!$C$12/12)/(1-(1+Inputs!$C$12/12)^(-MAX(Inputs!$D$12-(A65-1),0)))-Inputs!$C$12/12))</f>
        <v/>
      </c>
      <c r="AQ65" s="2">
        <f>(AM65-AN65-AP65)*Inputs!$B$32</f>
        <v/>
      </c>
      <c r="AR65" s="2">
        <f>AM65-AN65-AP65-AQ65</f>
        <v/>
      </c>
      <c r="AS65" s="2">
        <f>AX64</f>
        <v/>
      </c>
      <c r="AT65" s="2">
        <f>AS65*Inputs!$B$33</f>
        <v/>
      </c>
      <c r="AU65" s="2">
        <f>(AS65-AT65)*Inputs!$C$13/12</f>
        <v/>
      </c>
      <c r="AV65" s="2">
        <f>IF(MAX(Inputs!$D$13-(A65-1),0)&lt;=0,0,(AS65-AT65)*((Inputs!$C$13/12)/(1-(1+Inputs!$C$13/12)^(-MAX(Inputs!$D$13-(A65-1),0)))-Inputs!$C$13/12))</f>
        <v/>
      </c>
      <c r="AW65" s="2">
        <f>(AS65-AT65-AV65)*Inputs!$B$32</f>
        <v/>
      </c>
      <c r="AX65" s="2">
        <f>AS65-AT65-AV65-AW65</f>
        <v/>
      </c>
      <c r="AY65" s="2">
        <f>BD64</f>
        <v/>
      </c>
      <c r="AZ65" s="2">
        <f>AY65*Inputs!$B$33</f>
        <v/>
      </c>
      <c r="BA65" s="2">
        <f>(AY65-AZ65)*Inputs!$C$14/12</f>
        <v/>
      </c>
      <c r="BB65" s="2">
        <f>IF(MAX(Inputs!$D$14-(A65-1),0)&lt;=0,0,(AY65-AZ65)*((Inputs!$C$14/12)/(1-(1+Inputs!$C$14/12)^(-MAX(Inputs!$D$14-(A65-1),0)))-Inputs!$C$14/12))</f>
        <v/>
      </c>
      <c r="BC65" s="2">
        <f>(AY65-AZ65-BB65)*Inputs!$B$32</f>
        <v/>
      </c>
      <c r="BD65" s="2">
        <f>AY65-AZ65-BB65-BC65</f>
        <v/>
      </c>
      <c r="BE65" s="2">
        <f>BJ64</f>
        <v/>
      </c>
      <c r="BF65" s="2">
        <f>BE65*Inputs!$B$33</f>
        <v/>
      </c>
      <c r="BG65" s="2">
        <f>(BE65-BF65)*Inputs!$C$15/12</f>
        <v/>
      </c>
      <c r="BH65" s="2">
        <f>IF(MAX(Inputs!$D$15-(A65-1),0)&lt;=0,0,(BE65-BF65)*((Inputs!$C$15/12)/(1-(1+Inputs!$C$15/12)^(-MAX(Inputs!$D$15-(A65-1),0)))-Inputs!$C$15/12))</f>
        <v/>
      </c>
      <c r="BI65" s="2">
        <f>(BE65-BF65-BH65)*Inputs!$B$32</f>
        <v/>
      </c>
      <c r="BJ65" s="2">
        <f>BE65-BF65-BH65-BI65</f>
        <v/>
      </c>
      <c r="BK65" s="2">
        <f>C65+I65+O65+U65+AA65+AG65+AM65+AS65+AY65+BE65</f>
        <v/>
      </c>
      <c r="BL65" s="2">
        <f>D65+J65+P65+V65+AB65+AH65+AN65+AT65+AZ65+BF65</f>
        <v/>
      </c>
      <c r="BM65" s="2">
        <f>E65+K65+Q65+W65+AC65+AI65+AO65+AU65+BA65+BG65</f>
        <v/>
      </c>
      <c r="BN65" s="2">
        <f>F65+L65+R65+X65+AD65+AJ65+AP65+AV65+BB65+BH65</f>
        <v/>
      </c>
      <c r="BO65" s="2">
        <f>G65+M65+S65+Y65+AE65+AK65+AQ65+AW65+BC65+BI65</f>
        <v/>
      </c>
      <c r="BP65" s="2">
        <f>H65+N65+T65+Z65+AF65+AL65+AR65+AX65+BD65+BJ65</f>
        <v/>
      </c>
      <c r="BQ65" s="2">
        <f>IF(A65-Inputs!$B$30&gt;=1,INDEX($BL$5:$BL$101,A65-Inputs!$B$30+1)*(1-Inputs!$B$29),0)</f>
        <v/>
      </c>
      <c r="BR65" s="2">
        <f>BR64+BL65</f>
        <v/>
      </c>
      <c r="BS65" s="2">
        <f>BS64+BQ65</f>
        <v/>
      </c>
      <c r="BT65" s="2">
        <f>BR65*Inputs!$B$29</f>
        <v/>
      </c>
      <c r="BU65" s="2">
        <f>BR65*(1-Inputs!$B$29)-BS65</f>
        <v/>
      </c>
      <c r="BV65" s="2">
        <f>BP65+BU65</f>
        <v/>
      </c>
      <c r="BW65" s="2">
        <f>BM65+BN65+BO65+BQ65</f>
        <v/>
      </c>
      <c r="BX65" s="8">
        <f>BK65-BL65-BN65-BO65-BP65</f>
        <v/>
      </c>
    </row>
    <row r="66">
      <c r="A66" s="7" t="n">
        <v>61</v>
      </c>
      <c r="B66" s="3">
        <f>Inputs!$B$36+(Inputs!$B$37-Inputs!$B$36)*(1-EXP(-A66/Inputs!$B$38))+Inputs!$B$31/10000</f>
        <v/>
      </c>
      <c r="C66" s="2">
        <f>H65</f>
        <v/>
      </c>
      <c r="D66" s="2">
        <f>C66*Inputs!$B$33</f>
        <v/>
      </c>
      <c r="E66" s="2">
        <f>(C66-D66)*Inputs!$C$6/12</f>
        <v/>
      </c>
      <c r="F66" s="2">
        <f>IF(MAX(Inputs!$D$6-(A66-1),0)&lt;=0,0,(C66-D66)*((Inputs!$C$6/12)/(1-(1+Inputs!$C$6/12)^(-MAX(Inputs!$D$6-(A66-1),0)))-Inputs!$C$6/12))</f>
        <v/>
      </c>
      <c r="G66" s="2">
        <f>(C66-D66-F66)*Inputs!$B$32</f>
        <v/>
      </c>
      <c r="H66" s="2">
        <f>C66-D66-F66-G66</f>
        <v/>
      </c>
      <c r="I66" s="2">
        <f>N65</f>
        <v/>
      </c>
      <c r="J66" s="2">
        <f>I66*Inputs!$B$33</f>
        <v/>
      </c>
      <c r="K66" s="2">
        <f>(I66-J66)*Inputs!$C$7/12</f>
        <v/>
      </c>
      <c r="L66" s="2">
        <f>IF(MAX(Inputs!$D$7-(A66-1),0)&lt;=0,0,(I66-J66)*((Inputs!$C$7/12)/(1-(1+Inputs!$C$7/12)^(-MAX(Inputs!$D$7-(A66-1),0)))-Inputs!$C$7/12))</f>
        <v/>
      </c>
      <c r="M66" s="2">
        <f>(I66-J66-L66)*Inputs!$B$32</f>
        <v/>
      </c>
      <c r="N66" s="2">
        <f>I66-J66-L66-M66</f>
        <v/>
      </c>
      <c r="O66" s="2">
        <f>T65</f>
        <v/>
      </c>
      <c r="P66" s="2">
        <f>O66*Inputs!$B$33</f>
        <v/>
      </c>
      <c r="Q66" s="2">
        <f>(O66-P66)*Inputs!$C$8/12</f>
        <v/>
      </c>
      <c r="R66" s="2">
        <f>IF(MAX(Inputs!$D$8-(A66-1),0)&lt;=0,0,(O66-P66)*((Inputs!$C$8/12)/(1-(1+Inputs!$C$8/12)^(-MAX(Inputs!$D$8-(A66-1),0)))-Inputs!$C$8/12))</f>
        <v/>
      </c>
      <c r="S66" s="2">
        <f>(O66-P66-R66)*Inputs!$B$32</f>
        <v/>
      </c>
      <c r="T66" s="2">
        <f>O66-P66-R66-S66</f>
        <v/>
      </c>
      <c r="U66" s="2">
        <f>Z65</f>
        <v/>
      </c>
      <c r="V66" s="2">
        <f>U66*Inputs!$B$33</f>
        <v/>
      </c>
      <c r="W66" s="2">
        <f>(U66-V66)*Inputs!$C$9/12</f>
        <v/>
      </c>
      <c r="X66" s="2">
        <f>IF(MAX(Inputs!$D$9-(A66-1),0)&lt;=0,0,(U66-V66)*((Inputs!$C$9/12)/(1-(1+Inputs!$C$9/12)^(-MAX(Inputs!$D$9-(A66-1),0)))-Inputs!$C$9/12))</f>
        <v/>
      </c>
      <c r="Y66" s="2">
        <f>(U66-V66-X66)*Inputs!$B$32</f>
        <v/>
      </c>
      <c r="Z66" s="2">
        <f>U66-V66-X66-Y66</f>
        <v/>
      </c>
      <c r="AA66" s="2">
        <f>AF65</f>
        <v/>
      </c>
      <c r="AB66" s="2">
        <f>AA66*Inputs!$B$33</f>
        <v/>
      </c>
      <c r="AC66" s="2">
        <f>(AA66-AB66)*Inputs!$C$10/12</f>
        <v/>
      </c>
      <c r="AD66" s="2">
        <f>IF(MAX(Inputs!$D$10-(A66-1),0)&lt;=0,0,(AA66-AB66)*((Inputs!$C$10/12)/(1-(1+Inputs!$C$10/12)^(-MAX(Inputs!$D$10-(A66-1),0)))-Inputs!$C$10/12))</f>
        <v/>
      </c>
      <c r="AE66" s="2">
        <f>(AA66-AB66-AD66)*Inputs!$B$32</f>
        <v/>
      </c>
      <c r="AF66" s="2">
        <f>AA66-AB66-AD66-AE66</f>
        <v/>
      </c>
      <c r="AG66" s="2">
        <f>AL65</f>
        <v/>
      </c>
      <c r="AH66" s="2">
        <f>AG66*Inputs!$B$33</f>
        <v/>
      </c>
      <c r="AI66" s="2">
        <f>(AG66-AH66)*Inputs!$C$11/12</f>
        <v/>
      </c>
      <c r="AJ66" s="2">
        <f>IF(MAX(Inputs!$D$11-(A66-1),0)&lt;=0,0,(AG66-AH66)*((Inputs!$C$11/12)/(1-(1+Inputs!$C$11/12)^(-MAX(Inputs!$D$11-(A66-1),0)))-Inputs!$C$11/12))</f>
        <v/>
      </c>
      <c r="AK66" s="2">
        <f>(AG66-AH66-AJ66)*Inputs!$B$32</f>
        <v/>
      </c>
      <c r="AL66" s="2">
        <f>AG66-AH66-AJ66-AK66</f>
        <v/>
      </c>
      <c r="AM66" s="2">
        <f>AR65</f>
        <v/>
      </c>
      <c r="AN66" s="2">
        <f>AM66*Inputs!$B$33</f>
        <v/>
      </c>
      <c r="AO66" s="2">
        <f>(AM66-AN66)*Inputs!$C$12/12</f>
        <v/>
      </c>
      <c r="AP66" s="2">
        <f>IF(MAX(Inputs!$D$12-(A66-1),0)&lt;=0,0,(AM66-AN66)*((Inputs!$C$12/12)/(1-(1+Inputs!$C$12/12)^(-MAX(Inputs!$D$12-(A66-1),0)))-Inputs!$C$12/12))</f>
        <v/>
      </c>
      <c r="AQ66" s="2">
        <f>(AM66-AN66-AP66)*Inputs!$B$32</f>
        <v/>
      </c>
      <c r="AR66" s="2">
        <f>AM66-AN66-AP66-AQ66</f>
        <v/>
      </c>
      <c r="AS66" s="2">
        <f>AX65</f>
        <v/>
      </c>
      <c r="AT66" s="2">
        <f>AS66*Inputs!$B$33</f>
        <v/>
      </c>
      <c r="AU66" s="2">
        <f>(AS66-AT66)*Inputs!$C$13/12</f>
        <v/>
      </c>
      <c r="AV66" s="2">
        <f>IF(MAX(Inputs!$D$13-(A66-1),0)&lt;=0,0,(AS66-AT66)*((Inputs!$C$13/12)/(1-(1+Inputs!$C$13/12)^(-MAX(Inputs!$D$13-(A66-1),0)))-Inputs!$C$13/12))</f>
        <v/>
      </c>
      <c r="AW66" s="2">
        <f>(AS66-AT66-AV66)*Inputs!$B$32</f>
        <v/>
      </c>
      <c r="AX66" s="2">
        <f>AS66-AT66-AV66-AW66</f>
        <v/>
      </c>
      <c r="AY66" s="2">
        <f>BD65</f>
        <v/>
      </c>
      <c r="AZ66" s="2">
        <f>AY66*Inputs!$B$33</f>
        <v/>
      </c>
      <c r="BA66" s="2">
        <f>(AY66-AZ66)*Inputs!$C$14/12</f>
        <v/>
      </c>
      <c r="BB66" s="2">
        <f>IF(MAX(Inputs!$D$14-(A66-1),0)&lt;=0,0,(AY66-AZ66)*((Inputs!$C$14/12)/(1-(1+Inputs!$C$14/12)^(-MAX(Inputs!$D$14-(A66-1),0)))-Inputs!$C$14/12))</f>
        <v/>
      </c>
      <c r="BC66" s="2">
        <f>(AY66-AZ66-BB66)*Inputs!$B$32</f>
        <v/>
      </c>
      <c r="BD66" s="2">
        <f>AY66-AZ66-BB66-BC66</f>
        <v/>
      </c>
      <c r="BE66" s="2">
        <f>BJ65</f>
        <v/>
      </c>
      <c r="BF66" s="2">
        <f>BE66*Inputs!$B$33</f>
        <v/>
      </c>
      <c r="BG66" s="2">
        <f>(BE66-BF66)*Inputs!$C$15/12</f>
        <v/>
      </c>
      <c r="BH66" s="2">
        <f>IF(MAX(Inputs!$D$15-(A66-1),0)&lt;=0,0,(BE66-BF66)*((Inputs!$C$15/12)/(1-(1+Inputs!$C$15/12)^(-MAX(Inputs!$D$15-(A66-1),0)))-Inputs!$C$15/12))</f>
        <v/>
      </c>
      <c r="BI66" s="2">
        <f>(BE66-BF66-BH66)*Inputs!$B$32</f>
        <v/>
      </c>
      <c r="BJ66" s="2">
        <f>BE66-BF66-BH66-BI66</f>
        <v/>
      </c>
      <c r="BK66" s="2">
        <f>C66+I66+O66+U66+AA66+AG66+AM66+AS66+AY66+BE66</f>
        <v/>
      </c>
      <c r="BL66" s="2">
        <f>D66+J66+P66+V66+AB66+AH66+AN66+AT66+AZ66+BF66</f>
        <v/>
      </c>
      <c r="BM66" s="2">
        <f>E66+K66+Q66+W66+AC66+AI66+AO66+AU66+BA66+BG66</f>
        <v/>
      </c>
      <c r="BN66" s="2">
        <f>F66+L66+R66+X66+AD66+AJ66+AP66+AV66+BB66+BH66</f>
        <v/>
      </c>
      <c r="BO66" s="2">
        <f>G66+M66+S66+Y66+AE66+AK66+AQ66+AW66+BC66+BI66</f>
        <v/>
      </c>
      <c r="BP66" s="2">
        <f>H66+N66+T66+Z66+AF66+AL66+AR66+AX66+BD66+BJ66</f>
        <v/>
      </c>
      <c r="BQ66" s="2">
        <f>IF(A66-Inputs!$B$30&gt;=1,INDEX($BL$5:$BL$101,A66-Inputs!$B$30+1)*(1-Inputs!$B$29),0)</f>
        <v/>
      </c>
      <c r="BR66" s="2">
        <f>BR65+BL66</f>
        <v/>
      </c>
      <c r="BS66" s="2">
        <f>BS65+BQ66</f>
        <v/>
      </c>
      <c r="BT66" s="2">
        <f>BR66*Inputs!$B$29</f>
        <v/>
      </c>
      <c r="BU66" s="2">
        <f>BR66*(1-Inputs!$B$29)-BS66</f>
        <v/>
      </c>
      <c r="BV66" s="2">
        <f>BP66+BU66</f>
        <v/>
      </c>
      <c r="BW66" s="2">
        <f>BM66+BN66+BO66+BQ66</f>
        <v/>
      </c>
      <c r="BX66" s="8">
        <f>BK66-BL66-BN66-BO66-BP66</f>
        <v/>
      </c>
    </row>
    <row r="67">
      <c r="A67" s="7" t="n">
        <v>62</v>
      </c>
      <c r="B67" s="3">
        <f>Inputs!$B$36+(Inputs!$B$37-Inputs!$B$36)*(1-EXP(-A67/Inputs!$B$38))+Inputs!$B$31/10000</f>
        <v/>
      </c>
      <c r="C67" s="2">
        <f>H66</f>
        <v/>
      </c>
      <c r="D67" s="2">
        <f>C67*Inputs!$B$33</f>
        <v/>
      </c>
      <c r="E67" s="2">
        <f>(C67-D67)*Inputs!$C$6/12</f>
        <v/>
      </c>
      <c r="F67" s="2">
        <f>IF(MAX(Inputs!$D$6-(A67-1),0)&lt;=0,0,(C67-D67)*((Inputs!$C$6/12)/(1-(1+Inputs!$C$6/12)^(-MAX(Inputs!$D$6-(A67-1),0)))-Inputs!$C$6/12))</f>
        <v/>
      </c>
      <c r="G67" s="2">
        <f>(C67-D67-F67)*Inputs!$B$32</f>
        <v/>
      </c>
      <c r="H67" s="2">
        <f>C67-D67-F67-G67</f>
        <v/>
      </c>
      <c r="I67" s="2">
        <f>N66</f>
        <v/>
      </c>
      <c r="J67" s="2">
        <f>I67*Inputs!$B$33</f>
        <v/>
      </c>
      <c r="K67" s="2">
        <f>(I67-J67)*Inputs!$C$7/12</f>
        <v/>
      </c>
      <c r="L67" s="2">
        <f>IF(MAX(Inputs!$D$7-(A67-1),0)&lt;=0,0,(I67-J67)*((Inputs!$C$7/12)/(1-(1+Inputs!$C$7/12)^(-MAX(Inputs!$D$7-(A67-1),0)))-Inputs!$C$7/12))</f>
        <v/>
      </c>
      <c r="M67" s="2">
        <f>(I67-J67-L67)*Inputs!$B$32</f>
        <v/>
      </c>
      <c r="N67" s="2">
        <f>I67-J67-L67-M67</f>
        <v/>
      </c>
      <c r="O67" s="2">
        <f>T66</f>
        <v/>
      </c>
      <c r="P67" s="2">
        <f>O67*Inputs!$B$33</f>
        <v/>
      </c>
      <c r="Q67" s="2">
        <f>(O67-P67)*Inputs!$C$8/12</f>
        <v/>
      </c>
      <c r="R67" s="2">
        <f>IF(MAX(Inputs!$D$8-(A67-1),0)&lt;=0,0,(O67-P67)*((Inputs!$C$8/12)/(1-(1+Inputs!$C$8/12)^(-MAX(Inputs!$D$8-(A67-1),0)))-Inputs!$C$8/12))</f>
        <v/>
      </c>
      <c r="S67" s="2">
        <f>(O67-P67-R67)*Inputs!$B$32</f>
        <v/>
      </c>
      <c r="T67" s="2">
        <f>O67-P67-R67-S67</f>
        <v/>
      </c>
      <c r="U67" s="2">
        <f>Z66</f>
        <v/>
      </c>
      <c r="V67" s="2">
        <f>U67*Inputs!$B$33</f>
        <v/>
      </c>
      <c r="W67" s="2">
        <f>(U67-V67)*Inputs!$C$9/12</f>
        <v/>
      </c>
      <c r="X67" s="2">
        <f>IF(MAX(Inputs!$D$9-(A67-1),0)&lt;=0,0,(U67-V67)*((Inputs!$C$9/12)/(1-(1+Inputs!$C$9/12)^(-MAX(Inputs!$D$9-(A67-1),0)))-Inputs!$C$9/12))</f>
        <v/>
      </c>
      <c r="Y67" s="2">
        <f>(U67-V67-X67)*Inputs!$B$32</f>
        <v/>
      </c>
      <c r="Z67" s="2">
        <f>U67-V67-X67-Y67</f>
        <v/>
      </c>
      <c r="AA67" s="2">
        <f>AF66</f>
        <v/>
      </c>
      <c r="AB67" s="2">
        <f>AA67*Inputs!$B$33</f>
        <v/>
      </c>
      <c r="AC67" s="2">
        <f>(AA67-AB67)*Inputs!$C$10/12</f>
        <v/>
      </c>
      <c r="AD67" s="2">
        <f>IF(MAX(Inputs!$D$10-(A67-1),0)&lt;=0,0,(AA67-AB67)*((Inputs!$C$10/12)/(1-(1+Inputs!$C$10/12)^(-MAX(Inputs!$D$10-(A67-1),0)))-Inputs!$C$10/12))</f>
        <v/>
      </c>
      <c r="AE67" s="2">
        <f>(AA67-AB67-AD67)*Inputs!$B$32</f>
        <v/>
      </c>
      <c r="AF67" s="2">
        <f>AA67-AB67-AD67-AE67</f>
        <v/>
      </c>
      <c r="AG67" s="2">
        <f>AL66</f>
        <v/>
      </c>
      <c r="AH67" s="2">
        <f>AG67*Inputs!$B$33</f>
        <v/>
      </c>
      <c r="AI67" s="2">
        <f>(AG67-AH67)*Inputs!$C$11/12</f>
        <v/>
      </c>
      <c r="AJ67" s="2">
        <f>IF(MAX(Inputs!$D$11-(A67-1),0)&lt;=0,0,(AG67-AH67)*((Inputs!$C$11/12)/(1-(1+Inputs!$C$11/12)^(-MAX(Inputs!$D$11-(A67-1),0)))-Inputs!$C$11/12))</f>
        <v/>
      </c>
      <c r="AK67" s="2">
        <f>(AG67-AH67-AJ67)*Inputs!$B$32</f>
        <v/>
      </c>
      <c r="AL67" s="2">
        <f>AG67-AH67-AJ67-AK67</f>
        <v/>
      </c>
      <c r="AM67" s="2">
        <f>AR66</f>
        <v/>
      </c>
      <c r="AN67" s="2">
        <f>AM67*Inputs!$B$33</f>
        <v/>
      </c>
      <c r="AO67" s="2">
        <f>(AM67-AN67)*Inputs!$C$12/12</f>
        <v/>
      </c>
      <c r="AP67" s="2">
        <f>IF(MAX(Inputs!$D$12-(A67-1),0)&lt;=0,0,(AM67-AN67)*((Inputs!$C$12/12)/(1-(1+Inputs!$C$12/12)^(-MAX(Inputs!$D$12-(A67-1),0)))-Inputs!$C$12/12))</f>
        <v/>
      </c>
      <c r="AQ67" s="2">
        <f>(AM67-AN67-AP67)*Inputs!$B$32</f>
        <v/>
      </c>
      <c r="AR67" s="2">
        <f>AM67-AN67-AP67-AQ67</f>
        <v/>
      </c>
      <c r="AS67" s="2">
        <f>AX66</f>
        <v/>
      </c>
      <c r="AT67" s="2">
        <f>AS67*Inputs!$B$33</f>
        <v/>
      </c>
      <c r="AU67" s="2">
        <f>(AS67-AT67)*Inputs!$C$13/12</f>
        <v/>
      </c>
      <c r="AV67" s="2">
        <f>IF(MAX(Inputs!$D$13-(A67-1),0)&lt;=0,0,(AS67-AT67)*((Inputs!$C$13/12)/(1-(1+Inputs!$C$13/12)^(-MAX(Inputs!$D$13-(A67-1),0)))-Inputs!$C$13/12))</f>
        <v/>
      </c>
      <c r="AW67" s="2">
        <f>(AS67-AT67-AV67)*Inputs!$B$32</f>
        <v/>
      </c>
      <c r="AX67" s="2">
        <f>AS67-AT67-AV67-AW67</f>
        <v/>
      </c>
      <c r="AY67" s="2">
        <f>BD66</f>
        <v/>
      </c>
      <c r="AZ67" s="2">
        <f>AY67*Inputs!$B$33</f>
        <v/>
      </c>
      <c r="BA67" s="2">
        <f>(AY67-AZ67)*Inputs!$C$14/12</f>
        <v/>
      </c>
      <c r="BB67" s="2">
        <f>IF(MAX(Inputs!$D$14-(A67-1),0)&lt;=0,0,(AY67-AZ67)*((Inputs!$C$14/12)/(1-(1+Inputs!$C$14/12)^(-MAX(Inputs!$D$14-(A67-1),0)))-Inputs!$C$14/12))</f>
        <v/>
      </c>
      <c r="BC67" s="2">
        <f>(AY67-AZ67-BB67)*Inputs!$B$32</f>
        <v/>
      </c>
      <c r="BD67" s="2">
        <f>AY67-AZ67-BB67-BC67</f>
        <v/>
      </c>
      <c r="BE67" s="2">
        <f>BJ66</f>
        <v/>
      </c>
      <c r="BF67" s="2">
        <f>BE67*Inputs!$B$33</f>
        <v/>
      </c>
      <c r="BG67" s="2">
        <f>(BE67-BF67)*Inputs!$C$15/12</f>
        <v/>
      </c>
      <c r="BH67" s="2">
        <f>IF(MAX(Inputs!$D$15-(A67-1),0)&lt;=0,0,(BE67-BF67)*((Inputs!$C$15/12)/(1-(1+Inputs!$C$15/12)^(-MAX(Inputs!$D$15-(A67-1),0)))-Inputs!$C$15/12))</f>
        <v/>
      </c>
      <c r="BI67" s="2">
        <f>(BE67-BF67-BH67)*Inputs!$B$32</f>
        <v/>
      </c>
      <c r="BJ67" s="2">
        <f>BE67-BF67-BH67-BI67</f>
        <v/>
      </c>
      <c r="BK67" s="2">
        <f>C67+I67+O67+U67+AA67+AG67+AM67+AS67+AY67+BE67</f>
        <v/>
      </c>
      <c r="BL67" s="2">
        <f>D67+J67+P67+V67+AB67+AH67+AN67+AT67+AZ67+BF67</f>
        <v/>
      </c>
      <c r="BM67" s="2">
        <f>E67+K67+Q67+W67+AC67+AI67+AO67+AU67+BA67+BG67</f>
        <v/>
      </c>
      <c r="BN67" s="2">
        <f>F67+L67+R67+X67+AD67+AJ67+AP67+AV67+BB67+BH67</f>
        <v/>
      </c>
      <c r="BO67" s="2">
        <f>G67+M67+S67+Y67+AE67+AK67+AQ67+AW67+BC67+BI67</f>
        <v/>
      </c>
      <c r="BP67" s="2">
        <f>H67+N67+T67+Z67+AF67+AL67+AR67+AX67+BD67+BJ67</f>
        <v/>
      </c>
      <c r="BQ67" s="2">
        <f>IF(A67-Inputs!$B$30&gt;=1,INDEX($BL$5:$BL$101,A67-Inputs!$B$30+1)*(1-Inputs!$B$29),0)</f>
        <v/>
      </c>
      <c r="BR67" s="2">
        <f>BR66+BL67</f>
        <v/>
      </c>
      <c r="BS67" s="2">
        <f>BS66+BQ67</f>
        <v/>
      </c>
      <c r="BT67" s="2">
        <f>BR67*Inputs!$B$29</f>
        <v/>
      </c>
      <c r="BU67" s="2">
        <f>BR67*(1-Inputs!$B$29)-BS67</f>
        <v/>
      </c>
      <c r="BV67" s="2">
        <f>BP67+BU67</f>
        <v/>
      </c>
      <c r="BW67" s="2">
        <f>BM67+BN67+BO67+BQ67</f>
        <v/>
      </c>
      <c r="BX67" s="8">
        <f>BK67-BL67-BN67-BO67-BP67</f>
        <v/>
      </c>
    </row>
    <row r="68">
      <c r="A68" s="7" t="n">
        <v>63</v>
      </c>
      <c r="B68" s="3">
        <f>Inputs!$B$36+(Inputs!$B$37-Inputs!$B$36)*(1-EXP(-A68/Inputs!$B$38))+Inputs!$B$31/10000</f>
        <v/>
      </c>
      <c r="C68" s="2">
        <f>H67</f>
        <v/>
      </c>
      <c r="D68" s="2">
        <f>C68*Inputs!$B$33</f>
        <v/>
      </c>
      <c r="E68" s="2">
        <f>(C68-D68)*Inputs!$C$6/12</f>
        <v/>
      </c>
      <c r="F68" s="2">
        <f>IF(MAX(Inputs!$D$6-(A68-1),0)&lt;=0,0,(C68-D68)*((Inputs!$C$6/12)/(1-(1+Inputs!$C$6/12)^(-MAX(Inputs!$D$6-(A68-1),0)))-Inputs!$C$6/12))</f>
        <v/>
      </c>
      <c r="G68" s="2">
        <f>(C68-D68-F68)*Inputs!$B$32</f>
        <v/>
      </c>
      <c r="H68" s="2">
        <f>C68-D68-F68-G68</f>
        <v/>
      </c>
      <c r="I68" s="2">
        <f>N67</f>
        <v/>
      </c>
      <c r="J68" s="2">
        <f>I68*Inputs!$B$33</f>
        <v/>
      </c>
      <c r="K68" s="2">
        <f>(I68-J68)*Inputs!$C$7/12</f>
        <v/>
      </c>
      <c r="L68" s="2">
        <f>IF(MAX(Inputs!$D$7-(A68-1),0)&lt;=0,0,(I68-J68)*((Inputs!$C$7/12)/(1-(1+Inputs!$C$7/12)^(-MAX(Inputs!$D$7-(A68-1),0)))-Inputs!$C$7/12))</f>
        <v/>
      </c>
      <c r="M68" s="2">
        <f>(I68-J68-L68)*Inputs!$B$32</f>
        <v/>
      </c>
      <c r="N68" s="2">
        <f>I68-J68-L68-M68</f>
        <v/>
      </c>
      <c r="O68" s="2">
        <f>T67</f>
        <v/>
      </c>
      <c r="P68" s="2">
        <f>O68*Inputs!$B$33</f>
        <v/>
      </c>
      <c r="Q68" s="2">
        <f>(O68-P68)*Inputs!$C$8/12</f>
        <v/>
      </c>
      <c r="R68" s="2">
        <f>IF(MAX(Inputs!$D$8-(A68-1),0)&lt;=0,0,(O68-P68)*((Inputs!$C$8/12)/(1-(1+Inputs!$C$8/12)^(-MAX(Inputs!$D$8-(A68-1),0)))-Inputs!$C$8/12))</f>
        <v/>
      </c>
      <c r="S68" s="2">
        <f>(O68-P68-R68)*Inputs!$B$32</f>
        <v/>
      </c>
      <c r="T68" s="2">
        <f>O68-P68-R68-S68</f>
        <v/>
      </c>
      <c r="U68" s="2">
        <f>Z67</f>
        <v/>
      </c>
      <c r="V68" s="2">
        <f>U68*Inputs!$B$33</f>
        <v/>
      </c>
      <c r="W68" s="2">
        <f>(U68-V68)*Inputs!$C$9/12</f>
        <v/>
      </c>
      <c r="X68" s="2">
        <f>IF(MAX(Inputs!$D$9-(A68-1),0)&lt;=0,0,(U68-V68)*((Inputs!$C$9/12)/(1-(1+Inputs!$C$9/12)^(-MAX(Inputs!$D$9-(A68-1),0)))-Inputs!$C$9/12))</f>
        <v/>
      </c>
      <c r="Y68" s="2">
        <f>(U68-V68-X68)*Inputs!$B$32</f>
        <v/>
      </c>
      <c r="Z68" s="2">
        <f>U68-V68-X68-Y68</f>
        <v/>
      </c>
      <c r="AA68" s="2">
        <f>AF67</f>
        <v/>
      </c>
      <c r="AB68" s="2">
        <f>AA68*Inputs!$B$33</f>
        <v/>
      </c>
      <c r="AC68" s="2">
        <f>(AA68-AB68)*Inputs!$C$10/12</f>
        <v/>
      </c>
      <c r="AD68" s="2">
        <f>IF(MAX(Inputs!$D$10-(A68-1),0)&lt;=0,0,(AA68-AB68)*((Inputs!$C$10/12)/(1-(1+Inputs!$C$10/12)^(-MAX(Inputs!$D$10-(A68-1),0)))-Inputs!$C$10/12))</f>
        <v/>
      </c>
      <c r="AE68" s="2">
        <f>(AA68-AB68-AD68)*Inputs!$B$32</f>
        <v/>
      </c>
      <c r="AF68" s="2">
        <f>AA68-AB68-AD68-AE68</f>
        <v/>
      </c>
      <c r="AG68" s="2">
        <f>AL67</f>
        <v/>
      </c>
      <c r="AH68" s="2">
        <f>AG68*Inputs!$B$33</f>
        <v/>
      </c>
      <c r="AI68" s="2">
        <f>(AG68-AH68)*Inputs!$C$11/12</f>
        <v/>
      </c>
      <c r="AJ68" s="2">
        <f>IF(MAX(Inputs!$D$11-(A68-1),0)&lt;=0,0,(AG68-AH68)*((Inputs!$C$11/12)/(1-(1+Inputs!$C$11/12)^(-MAX(Inputs!$D$11-(A68-1),0)))-Inputs!$C$11/12))</f>
        <v/>
      </c>
      <c r="AK68" s="2">
        <f>(AG68-AH68-AJ68)*Inputs!$B$32</f>
        <v/>
      </c>
      <c r="AL68" s="2">
        <f>AG68-AH68-AJ68-AK68</f>
        <v/>
      </c>
      <c r="AM68" s="2">
        <f>AR67</f>
        <v/>
      </c>
      <c r="AN68" s="2">
        <f>AM68*Inputs!$B$33</f>
        <v/>
      </c>
      <c r="AO68" s="2">
        <f>(AM68-AN68)*Inputs!$C$12/12</f>
        <v/>
      </c>
      <c r="AP68" s="2">
        <f>IF(MAX(Inputs!$D$12-(A68-1),0)&lt;=0,0,(AM68-AN68)*((Inputs!$C$12/12)/(1-(1+Inputs!$C$12/12)^(-MAX(Inputs!$D$12-(A68-1),0)))-Inputs!$C$12/12))</f>
        <v/>
      </c>
      <c r="AQ68" s="2">
        <f>(AM68-AN68-AP68)*Inputs!$B$32</f>
        <v/>
      </c>
      <c r="AR68" s="2">
        <f>AM68-AN68-AP68-AQ68</f>
        <v/>
      </c>
      <c r="AS68" s="2">
        <f>AX67</f>
        <v/>
      </c>
      <c r="AT68" s="2">
        <f>AS68*Inputs!$B$33</f>
        <v/>
      </c>
      <c r="AU68" s="2">
        <f>(AS68-AT68)*Inputs!$C$13/12</f>
        <v/>
      </c>
      <c r="AV68" s="2">
        <f>IF(MAX(Inputs!$D$13-(A68-1),0)&lt;=0,0,(AS68-AT68)*((Inputs!$C$13/12)/(1-(1+Inputs!$C$13/12)^(-MAX(Inputs!$D$13-(A68-1),0)))-Inputs!$C$13/12))</f>
        <v/>
      </c>
      <c r="AW68" s="2">
        <f>(AS68-AT68-AV68)*Inputs!$B$32</f>
        <v/>
      </c>
      <c r="AX68" s="2">
        <f>AS68-AT68-AV68-AW68</f>
        <v/>
      </c>
      <c r="AY68" s="2">
        <f>BD67</f>
        <v/>
      </c>
      <c r="AZ68" s="2">
        <f>AY68*Inputs!$B$33</f>
        <v/>
      </c>
      <c r="BA68" s="2">
        <f>(AY68-AZ68)*Inputs!$C$14/12</f>
        <v/>
      </c>
      <c r="BB68" s="2">
        <f>IF(MAX(Inputs!$D$14-(A68-1),0)&lt;=0,0,(AY68-AZ68)*((Inputs!$C$14/12)/(1-(1+Inputs!$C$14/12)^(-MAX(Inputs!$D$14-(A68-1),0)))-Inputs!$C$14/12))</f>
        <v/>
      </c>
      <c r="BC68" s="2">
        <f>(AY68-AZ68-BB68)*Inputs!$B$32</f>
        <v/>
      </c>
      <c r="BD68" s="2">
        <f>AY68-AZ68-BB68-BC68</f>
        <v/>
      </c>
      <c r="BE68" s="2">
        <f>BJ67</f>
        <v/>
      </c>
      <c r="BF68" s="2">
        <f>BE68*Inputs!$B$33</f>
        <v/>
      </c>
      <c r="BG68" s="2">
        <f>(BE68-BF68)*Inputs!$C$15/12</f>
        <v/>
      </c>
      <c r="BH68" s="2">
        <f>IF(MAX(Inputs!$D$15-(A68-1),0)&lt;=0,0,(BE68-BF68)*((Inputs!$C$15/12)/(1-(1+Inputs!$C$15/12)^(-MAX(Inputs!$D$15-(A68-1),0)))-Inputs!$C$15/12))</f>
        <v/>
      </c>
      <c r="BI68" s="2">
        <f>(BE68-BF68-BH68)*Inputs!$B$32</f>
        <v/>
      </c>
      <c r="BJ68" s="2">
        <f>BE68-BF68-BH68-BI68</f>
        <v/>
      </c>
      <c r="BK68" s="2">
        <f>C68+I68+O68+U68+AA68+AG68+AM68+AS68+AY68+BE68</f>
        <v/>
      </c>
      <c r="BL68" s="2">
        <f>D68+J68+P68+V68+AB68+AH68+AN68+AT68+AZ68+BF68</f>
        <v/>
      </c>
      <c r="BM68" s="2">
        <f>E68+K68+Q68+W68+AC68+AI68+AO68+AU68+BA68+BG68</f>
        <v/>
      </c>
      <c r="BN68" s="2">
        <f>F68+L68+R68+X68+AD68+AJ68+AP68+AV68+BB68+BH68</f>
        <v/>
      </c>
      <c r="BO68" s="2">
        <f>G68+M68+S68+Y68+AE68+AK68+AQ68+AW68+BC68+BI68</f>
        <v/>
      </c>
      <c r="BP68" s="2">
        <f>H68+N68+T68+Z68+AF68+AL68+AR68+AX68+BD68+BJ68</f>
        <v/>
      </c>
      <c r="BQ68" s="2">
        <f>IF(A68-Inputs!$B$30&gt;=1,INDEX($BL$5:$BL$101,A68-Inputs!$B$30+1)*(1-Inputs!$B$29),0)</f>
        <v/>
      </c>
      <c r="BR68" s="2">
        <f>BR67+BL68</f>
        <v/>
      </c>
      <c r="BS68" s="2">
        <f>BS67+BQ68</f>
        <v/>
      </c>
      <c r="BT68" s="2">
        <f>BR68*Inputs!$B$29</f>
        <v/>
      </c>
      <c r="BU68" s="2">
        <f>BR68*(1-Inputs!$B$29)-BS68</f>
        <v/>
      </c>
      <c r="BV68" s="2">
        <f>BP68+BU68</f>
        <v/>
      </c>
      <c r="BW68" s="2">
        <f>BM68+BN68+BO68+BQ68</f>
        <v/>
      </c>
      <c r="BX68" s="8">
        <f>BK68-BL68-BN68-BO68-BP68</f>
        <v/>
      </c>
    </row>
    <row r="69">
      <c r="A69" s="7" t="n">
        <v>64</v>
      </c>
      <c r="B69" s="3">
        <f>Inputs!$B$36+(Inputs!$B$37-Inputs!$B$36)*(1-EXP(-A69/Inputs!$B$38))+Inputs!$B$31/10000</f>
        <v/>
      </c>
      <c r="C69" s="2">
        <f>H68</f>
        <v/>
      </c>
      <c r="D69" s="2">
        <f>C69*Inputs!$B$33</f>
        <v/>
      </c>
      <c r="E69" s="2">
        <f>(C69-D69)*Inputs!$C$6/12</f>
        <v/>
      </c>
      <c r="F69" s="2">
        <f>IF(MAX(Inputs!$D$6-(A69-1),0)&lt;=0,0,(C69-D69)*((Inputs!$C$6/12)/(1-(1+Inputs!$C$6/12)^(-MAX(Inputs!$D$6-(A69-1),0)))-Inputs!$C$6/12))</f>
        <v/>
      </c>
      <c r="G69" s="2">
        <f>(C69-D69-F69)*Inputs!$B$32</f>
        <v/>
      </c>
      <c r="H69" s="2">
        <f>C69-D69-F69-G69</f>
        <v/>
      </c>
      <c r="I69" s="2">
        <f>N68</f>
        <v/>
      </c>
      <c r="J69" s="2">
        <f>I69*Inputs!$B$33</f>
        <v/>
      </c>
      <c r="K69" s="2">
        <f>(I69-J69)*Inputs!$C$7/12</f>
        <v/>
      </c>
      <c r="L69" s="2">
        <f>IF(MAX(Inputs!$D$7-(A69-1),0)&lt;=0,0,(I69-J69)*((Inputs!$C$7/12)/(1-(1+Inputs!$C$7/12)^(-MAX(Inputs!$D$7-(A69-1),0)))-Inputs!$C$7/12))</f>
        <v/>
      </c>
      <c r="M69" s="2">
        <f>(I69-J69-L69)*Inputs!$B$32</f>
        <v/>
      </c>
      <c r="N69" s="2">
        <f>I69-J69-L69-M69</f>
        <v/>
      </c>
      <c r="O69" s="2">
        <f>T68</f>
        <v/>
      </c>
      <c r="P69" s="2">
        <f>O69*Inputs!$B$33</f>
        <v/>
      </c>
      <c r="Q69" s="2">
        <f>(O69-P69)*Inputs!$C$8/12</f>
        <v/>
      </c>
      <c r="R69" s="2">
        <f>IF(MAX(Inputs!$D$8-(A69-1),0)&lt;=0,0,(O69-P69)*((Inputs!$C$8/12)/(1-(1+Inputs!$C$8/12)^(-MAX(Inputs!$D$8-(A69-1),0)))-Inputs!$C$8/12))</f>
        <v/>
      </c>
      <c r="S69" s="2">
        <f>(O69-P69-R69)*Inputs!$B$32</f>
        <v/>
      </c>
      <c r="T69" s="2">
        <f>O69-P69-R69-S69</f>
        <v/>
      </c>
      <c r="U69" s="2">
        <f>Z68</f>
        <v/>
      </c>
      <c r="V69" s="2">
        <f>U69*Inputs!$B$33</f>
        <v/>
      </c>
      <c r="W69" s="2">
        <f>(U69-V69)*Inputs!$C$9/12</f>
        <v/>
      </c>
      <c r="X69" s="2">
        <f>IF(MAX(Inputs!$D$9-(A69-1),0)&lt;=0,0,(U69-V69)*((Inputs!$C$9/12)/(1-(1+Inputs!$C$9/12)^(-MAX(Inputs!$D$9-(A69-1),0)))-Inputs!$C$9/12))</f>
        <v/>
      </c>
      <c r="Y69" s="2">
        <f>(U69-V69-X69)*Inputs!$B$32</f>
        <v/>
      </c>
      <c r="Z69" s="2">
        <f>U69-V69-X69-Y69</f>
        <v/>
      </c>
      <c r="AA69" s="2">
        <f>AF68</f>
        <v/>
      </c>
      <c r="AB69" s="2">
        <f>AA69*Inputs!$B$33</f>
        <v/>
      </c>
      <c r="AC69" s="2">
        <f>(AA69-AB69)*Inputs!$C$10/12</f>
        <v/>
      </c>
      <c r="AD69" s="2">
        <f>IF(MAX(Inputs!$D$10-(A69-1),0)&lt;=0,0,(AA69-AB69)*((Inputs!$C$10/12)/(1-(1+Inputs!$C$10/12)^(-MAX(Inputs!$D$10-(A69-1),0)))-Inputs!$C$10/12))</f>
        <v/>
      </c>
      <c r="AE69" s="2">
        <f>(AA69-AB69-AD69)*Inputs!$B$32</f>
        <v/>
      </c>
      <c r="AF69" s="2">
        <f>AA69-AB69-AD69-AE69</f>
        <v/>
      </c>
      <c r="AG69" s="2">
        <f>AL68</f>
        <v/>
      </c>
      <c r="AH69" s="2">
        <f>AG69*Inputs!$B$33</f>
        <v/>
      </c>
      <c r="AI69" s="2">
        <f>(AG69-AH69)*Inputs!$C$11/12</f>
        <v/>
      </c>
      <c r="AJ69" s="2">
        <f>IF(MAX(Inputs!$D$11-(A69-1),0)&lt;=0,0,(AG69-AH69)*((Inputs!$C$11/12)/(1-(1+Inputs!$C$11/12)^(-MAX(Inputs!$D$11-(A69-1),0)))-Inputs!$C$11/12))</f>
        <v/>
      </c>
      <c r="AK69" s="2">
        <f>(AG69-AH69-AJ69)*Inputs!$B$32</f>
        <v/>
      </c>
      <c r="AL69" s="2">
        <f>AG69-AH69-AJ69-AK69</f>
        <v/>
      </c>
      <c r="AM69" s="2">
        <f>AR68</f>
        <v/>
      </c>
      <c r="AN69" s="2">
        <f>AM69*Inputs!$B$33</f>
        <v/>
      </c>
      <c r="AO69" s="2">
        <f>(AM69-AN69)*Inputs!$C$12/12</f>
        <v/>
      </c>
      <c r="AP69" s="2">
        <f>IF(MAX(Inputs!$D$12-(A69-1),0)&lt;=0,0,(AM69-AN69)*((Inputs!$C$12/12)/(1-(1+Inputs!$C$12/12)^(-MAX(Inputs!$D$12-(A69-1),0)))-Inputs!$C$12/12))</f>
        <v/>
      </c>
      <c r="AQ69" s="2">
        <f>(AM69-AN69-AP69)*Inputs!$B$32</f>
        <v/>
      </c>
      <c r="AR69" s="2">
        <f>AM69-AN69-AP69-AQ69</f>
        <v/>
      </c>
      <c r="AS69" s="2">
        <f>AX68</f>
        <v/>
      </c>
      <c r="AT69" s="2">
        <f>AS69*Inputs!$B$33</f>
        <v/>
      </c>
      <c r="AU69" s="2">
        <f>(AS69-AT69)*Inputs!$C$13/12</f>
        <v/>
      </c>
      <c r="AV69" s="2">
        <f>IF(MAX(Inputs!$D$13-(A69-1),0)&lt;=0,0,(AS69-AT69)*((Inputs!$C$13/12)/(1-(1+Inputs!$C$13/12)^(-MAX(Inputs!$D$13-(A69-1),0)))-Inputs!$C$13/12))</f>
        <v/>
      </c>
      <c r="AW69" s="2">
        <f>(AS69-AT69-AV69)*Inputs!$B$32</f>
        <v/>
      </c>
      <c r="AX69" s="2">
        <f>AS69-AT69-AV69-AW69</f>
        <v/>
      </c>
      <c r="AY69" s="2">
        <f>BD68</f>
        <v/>
      </c>
      <c r="AZ69" s="2">
        <f>AY69*Inputs!$B$33</f>
        <v/>
      </c>
      <c r="BA69" s="2">
        <f>(AY69-AZ69)*Inputs!$C$14/12</f>
        <v/>
      </c>
      <c r="BB69" s="2">
        <f>IF(MAX(Inputs!$D$14-(A69-1),0)&lt;=0,0,(AY69-AZ69)*((Inputs!$C$14/12)/(1-(1+Inputs!$C$14/12)^(-MAX(Inputs!$D$14-(A69-1),0)))-Inputs!$C$14/12))</f>
        <v/>
      </c>
      <c r="BC69" s="2">
        <f>(AY69-AZ69-BB69)*Inputs!$B$32</f>
        <v/>
      </c>
      <c r="BD69" s="2">
        <f>AY69-AZ69-BB69-BC69</f>
        <v/>
      </c>
      <c r="BE69" s="2">
        <f>BJ68</f>
        <v/>
      </c>
      <c r="BF69" s="2">
        <f>BE69*Inputs!$B$33</f>
        <v/>
      </c>
      <c r="BG69" s="2">
        <f>(BE69-BF69)*Inputs!$C$15/12</f>
        <v/>
      </c>
      <c r="BH69" s="2">
        <f>IF(MAX(Inputs!$D$15-(A69-1),0)&lt;=0,0,(BE69-BF69)*((Inputs!$C$15/12)/(1-(1+Inputs!$C$15/12)^(-MAX(Inputs!$D$15-(A69-1),0)))-Inputs!$C$15/12))</f>
        <v/>
      </c>
      <c r="BI69" s="2">
        <f>(BE69-BF69-BH69)*Inputs!$B$32</f>
        <v/>
      </c>
      <c r="BJ69" s="2">
        <f>BE69-BF69-BH69-BI69</f>
        <v/>
      </c>
      <c r="BK69" s="2">
        <f>C69+I69+O69+U69+AA69+AG69+AM69+AS69+AY69+BE69</f>
        <v/>
      </c>
      <c r="BL69" s="2">
        <f>D69+J69+P69+V69+AB69+AH69+AN69+AT69+AZ69+BF69</f>
        <v/>
      </c>
      <c r="BM69" s="2">
        <f>E69+K69+Q69+W69+AC69+AI69+AO69+AU69+BA69+BG69</f>
        <v/>
      </c>
      <c r="BN69" s="2">
        <f>F69+L69+R69+X69+AD69+AJ69+AP69+AV69+BB69+BH69</f>
        <v/>
      </c>
      <c r="BO69" s="2">
        <f>G69+M69+S69+Y69+AE69+AK69+AQ69+AW69+BC69+BI69</f>
        <v/>
      </c>
      <c r="BP69" s="2">
        <f>H69+N69+T69+Z69+AF69+AL69+AR69+AX69+BD69+BJ69</f>
        <v/>
      </c>
      <c r="BQ69" s="2">
        <f>IF(A69-Inputs!$B$30&gt;=1,INDEX($BL$5:$BL$101,A69-Inputs!$B$30+1)*(1-Inputs!$B$29),0)</f>
        <v/>
      </c>
      <c r="BR69" s="2">
        <f>BR68+BL69</f>
        <v/>
      </c>
      <c r="BS69" s="2">
        <f>BS68+BQ69</f>
        <v/>
      </c>
      <c r="BT69" s="2">
        <f>BR69*Inputs!$B$29</f>
        <v/>
      </c>
      <c r="BU69" s="2">
        <f>BR69*(1-Inputs!$B$29)-BS69</f>
        <v/>
      </c>
      <c r="BV69" s="2">
        <f>BP69+BU69</f>
        <v/>
      </c>
      <c r="BW69" s="2">
        <f>BM69+BN69+BO69+BQ69</f>
        <v/>
      </c>
      <c r="BX69" s="8">
        <f>BK69-BL69-BN69-BO69-BP69</f>
        <v/>
      </c>
    </row>
    <row r="70">
      <c r="A70" s="7" t="n">
        <v>65</v>
      </c>
      <c r="B70" s="3">
        <f>Inputs!$B$36+(Inputs!$B$37-Inputs!$B$36)*(1-EXP(-A70/Inputs!$B$38))+Inputs!$B$31/10000</f>
        <v/>
      </c>
      <c r="C70" s="2">
        <f>H69</f>
        <v/>
      </c>
      <c r="D70" s="2">
        <f>C70*Inputs!$B$33</f>
        <v/>
      </c>
      <c r="E70" s="2">
        <f>(C70-D70)*Inputs!$C$6/12</f>
        <v/>
      </c>
      <c r="F70" s="2">
        <f>IF(MAX(Inputs!$D$6-(A70-1),0)&lt;=0,0,(C70-D70)*((Inputs!$C$6/12)/(1-(1+Inputs!$C$6/12)^(-MAX(Inputs!$D$6-(A70-1),0)))-Inputs!$C$6/12))</f>
        <v/>
      </c>
      <c r="G70" s="2">
        <f>(C70-D70-F70)*Inputs!$B$32</f>
        <v/>
      </c>
      <c r="H70" s="2">
        <f>C70-D70-F70-G70</f>
        <v/>
      </c>
      <c r="I70" s="2">
        <f>N69</f>
        <v/>
      </c>
      <c r="J70" s="2">
        <f>I70*Inputs!$B$33</f>
        <v/>
      </c>
      <c r="K70" s="2">
        <f>(I70-J70)*Inputs!$C$7/12</f>
        <v/>
      </c>
      <c r="L70" s="2">
        <f>IF(MAX(Inputs!$D$7-(A70-1),0)&lt;=0,0,(I70-J70)*((Inputs!$C$7/12)/(1-(1+Inputs!$C$7/12)^(-MAX(Inputs!$D$7-(A70-1),0)))-Inputs!$C$7/12))</f>
        <v/>
      </c>
      <c r="M70" s="2">
        <f>(I70-J70-L70)*Inputs!$B$32</f>
        <v/>
      </c>
      <c r="N70" s="2">
        <f>I70-J70-L70-M70</f>
        <v/>
      </c>
      <c r="O70" s="2">
        <f>T69</f>
        <v/>
      </c>
      <c r="P70" s="2">
        <f>O70*Inputs!$B$33</f>
        <v/>
      </c>
      <c r="Q70" s="2">
        <f>(O70-P70)*Inputs!$C$8/12</f>
        <v/>
      </c>
      <c r="R70" s="2">
        <f>IF(MAX(Inputs!$D$8-(A70-1),0)&lt;=0,0,(O70-P70)*((Inputs!$C$8/12)/(1-(1+Inputs!$C$8/12)^(-MAX(Inputs!$D$8-(A70-1),0)))-Inputs!$C$8/12))</f>
        <v/>
      </c>
      <c r="S70" s="2">
        <f>(O70-P70-R70)*Inputs!$B$32</f>
        <v/>
      </c>
      <c r="T70" s="2">
        <f>O70-P70-R70-S70</f>
        <v/>
      </c>
      <c r="U70" s="2">
        <f>Z69</f>
        <v/>
      </c>
      <c r="V70" s="2">
        <f>U70*Inputs!$B$33</f>
        <v/>
      </c>
      <c r="W70" s="2">
        <f>(U70-V70)*Inputs!$C$9/12</f>
        <v/>
      </c>
      <c r="X70" s="2">
        <f>IF(MAX(Inputs!$D$9-(A70-1),0)&lt;=0,0,(U70-V70)*((Inputs!$C$9/12)/(1-(1+Inputs!$C$9/12)^(-MAX(Inputs!$D$9-(A70-1),0)))-Inputs!$C$9/12))</f>
        <v/>
      </c>
      <c r="Y70" s="2">
        <f>(U70-V70-X70)*Inputs!$B$32</f>
        <v/>
      </c>
      <c r="Z70" s="2">
        <f>U70-V70-X70-Y70</f>
        <v/>
      </c>
      <c r="AA70" s="2">
        <f>AF69</f>
        <v/>
      </c>
      <c r="AB70" s="2">
        <f>AA70*Inputs!$B$33</f>
        <v/>
      </c>
      <c r="AC70" s="2">
        <f>(AA70-AB70)*Inputs!$C$10/12</f>
        <v/>
      </c>
      <c r="AD70" s="2">
        <f>IF(MAX(Inputs!$D$10-(A70-1),0)&lt;=0,0,(AA70-AB70)*((Inputs!$C$10/12)/(1-(1+Inputs!$C$10/12)^(-MAX(Inputs!$D$10-(A70-1),0)))-Inputs!$C$10/12))</f>
        <v/>
      </c>
      <c r="AE70" s="2">
        <f>(AA70-AB70-AD70)*Inputs!$B$32</f>
        <v/>
      </c>
      <c r="AF70" s="2">
        <f>AA70-AB70-AD70-AE70</f>
        <v/>
      </c>
      <c r="AG70" s="2">
        <f>AL69</f>
        <v/>
      </c>
      <c r="AH70" s="2">
        <f>AG70*Inputs!$B$33</f>
        <v/>
      </c>
      <c r="AI70" s="2">
        <f>(AG70-AH70)*Inputs!$C$11/12</f>
        <v/>
      </c>
      <c r="AJ70" s="2">
        <f>IF(MAX(Inputs!$D$11-(A70-1),0)&lt;=0,0,(AG70-AH70)*((Inputs!$C$11/12)/(1-(1+Inputs!$C$11/12)^(-MAX(Inputs!$D$11-(A70-1),0)))-Inputs!$C$11/12))</f>
        <v/>
      </c>
      <c r="AK70" s="2">
        <f>(AG70-AH70-AJ70)*Inputs!$B$32</f>
        <v/>
      </c>
      <c r="AL70" s="2">
        <f>AG70-AH70-AJ70-AK70</f>
        <v/>
      </c>
      <c r="AM70" s="2">
        <f>AR69</f>
        <v/>
      </c>
      <c r="AN70" s="2">
        <f>AM70*Inputs!$B$33</f>
        <v/>
      </c>
      <c r="AO70" s="2">
        <f>(AM70-AN70)*Inputs!$C$12/12</f>
        <v/>
      </c>
      <c r="AP70" s="2">
        <f>IF(MAX(Inputs!$D$12-(A70-1),0)&lt;=0,0,(AM70-AN70)*((Inputs!$C$12/12)/(1-(1+Inputs!$C$12/12)^(-MAX(Inputs!$D$12-(A70-1),0)))-Inputs!$C$12/12))</f>
        <v/>
      </c>
      <c r="AQ70" s="2">
        <f>(AM70-AN70-AP70)*Inputs!$B$32</f>
        <v/>
      </c>
      <c r="AR70" s="2">
        <f>AM70-AN70-AP70-AQ70</f>
        <v/>
      </c>
      <c r="AS70" s="2">
        <f>AX69</f>
        <v/>
      </c>
      <c r="AT70" s="2">
        <f>AS70*Inputs!$B$33</f>
        <v/>
      </c>
      <c r="AU70" s="2">
        <f>(AS70-AT70)*Inputs!$C$13/12</f>
        <v/>
      </c>
      <c r="AV70" s="2">
        <f>IF(MAX(Inputs!$D$13-(A70-1),0)&lt;=0,0,(AS70-AT70)*((Inputs!$C$13/12)/(1-(1+Inputs!$C$13/12)^(-MAX(Inputs!$D$13-(A70-1),0)))-Inputs!$C$13/12))</f>
        <v/>
      </c>
      <c r="AW70" s="2">
        <f>(AS70-AT70-AV70)*Inputs!$B$32</f>
        <v/>
      </c>
      <c r="AX70" s="2">
        <f>AS70-AT70-AV70-AW70</f>
        <v/>
      </c>
      <c r="AY70" s="2">
        <f>BD69</f>
        <v/>
      </c>
      <c r="AZ70" s="2">
        <f>AY70*Inputs!$B$33</f>
        <v/>
      </c>
      <c r="BA70" s="2">
        <f>(AY70-AZ70)*Inputs!$C$14/12</f>
        <v/>
      </c>
      <c r="BB70" s="2">
        <f>IF(MAX(Inputs!$D$14-(A70-1),0)&lt;=0,0,(AY70-AZ70)*((Inputs!$C$14/12)/(1-(1+Inputs!$C$14/12)^(-MAX(Inputs!$D$14-(A70-1),0)))-Inputs!$C$14/12))</f>
        <v/>
      </c>
      <c r="BC70" s="2">
        <f>(AY70-AZ70-BB70)*Inputs!$B$32</f>
        <v/>
      </c>
      <c r="BD70" s="2">
        <f>AY70-AZ70-BB70-BC70</f>
        <v/>
      </c>
      <c r="BE70" s="2">
        <f>BJ69</f>
        <v/>
      </c>
      <c r="BF70" s="2">
        <f>BE70*Inputs!$B$33</f>
        <v/>
      </c>
      <c r="BG70" s="2">
        <f>(BE70-BF70)*Inputs!$C$15/12</f>
        <v/>
      </c>
      <c r="BH70" s="2">
        <f>IF(MAX(Inputs!$D$15-(A70-1),0)&lt;=0,0,(BE70-BF70)*((Inputs!$C$15/12)/(1-(1+Inputs!$C$15/12)^(-MAX(Inputs!$D$15-(A70-1),0)))-Inputs!$C$15/12))</f>
        <v/>
      </c>
      <c r="BI70" s="2">
        <f>(BE70-BF70-BH70)*Inputs!$B$32</f>
        <v/>
      </c>
      <c r="BJ70" s="2">
        <f>BE70-BF70-BH70-BI70</f>
        <v/>
      </c>
      <c r="BK70" s="2">
        <f>C70+I70+O70+U70+AA70+AG70+AM70+AS70+AY70+BE70</f>
        <v/>
      </c>
      <c r="BL70" s="2">
        <f>D70+J70+P70+V70+AB70+AH70+AN70+AT70+AZ70+BF70</f>
        <v/>
      </c>
      <c r="BM70" s="2">
        <f>E70+K70+Q70+W70+AC70+AI70+AO70+AU70+BA70+BG70</f>
        <v/>
      </c>
      <c r="BN70" s="2">
        <f>F70+L70+R70+X70+AD70+AJ70+AP70+AV70+BB70+BH70</f>
        <v/>
      </c>
      <c r="BO70" s="2">
        <f>G70+M70+S70+Y70+AE70+AK70+AQ70+AW70+BC70+BI70</f>
        <v/>
      </c>
      <c r="BP70" s="2">
        <f>H70+N70+T70+Z70+AF70+AL70+AR70+AX70+BD70+BJ70</f>
        <v/>
      </c>
      <c r="BQ70" s="2">
        <f>IF(A70-Inputs!$B$30&gt;=1,INDEX($BL$5:$BL$101,A70-Inputs!$B$30+1)*(1-Inputs!$B$29),0)</f>
        <v/>
      </c>
      <c r="BR70" s="2">
        <f>BR69+BL70</f>
        <v/>
      </c>
      <c r="BS70" s="2">
        <f>BS69+BQ70</f>
        <v/>
      </c>
      <c r="BT70" s="2">
        <f>BR70*Inputs!$B$29</f>
        <v/>
      </c>
      <c r="BU70" s="2">
        <f>BR70*(1-Inputs!$B$29)-BS70</f>
        <v/>
      </c>
      <c r="BV70" s="2">
        <f>BP70+BU70</f>
        <v/>
      </c>
      <c r="BW70" s="2">
        <f>BM70+BN70+BO70+BQ70</f>
        <v/>
      </c>
      <c r="BX70" s="8">
        <f>BK70-BL70-BN70-BO70-BP70</f>
        <v/>
      </c>
    </row>
    <row r="71">
      <c r="A71" s="7" t="n">
        <v>66</v>
      </c>
      <c r="B71" s="3">
        <f>Inputs!$B$36+(Inputs!$B$37-Inputs!$B$36)*(1-EXP(-A71/Inputs!$B$38))+Inputs!$B$31/10000</f>
        <v/>
      </c>
      <c r="C71" s="2">
        <f>H70</f>
        <v/>
      </c>
      <c r="D71" s="2">
        <f>C71*Inputs!$B$33</f>
        <v/>
      </c>
      <c r="E71" s="2">
        <f>(C71-D71)*Inputs!$C$6/12</f>
        <v/>
      </c>
      <c r="F71" s="2">
        <f>IF(MAX(Inputs!$D$6-(A71-1),0)&lt;=0,0,(C71-D71)*((Inputs!$C$6/12)/(1-(1+Inputs!$C$6/12)^(-MAX(Inputs!$D$6-(A71-1),0)))-Inputs!$C$6/12))</f>
        <v/>
      </c>
      <c r="G71" s="2">
        <f>(C71-D71-F71)*Inputs!$B$32</f>
        <v/>
      </c>
      <c r="H71" s="2">
        <f>C71-D71-F71-G71</f>
        <v/>
      </c>
      <c r="I71" s="2">
        <f>N70</f>
        <v/>
      </c>
      <c r="J71" s="2">
        <f>I71*Inputs!$B$33</f>
        <v/>
      </c>
      <c r="K71" s="2">
        <f>(I71-J71)*Inputs!$C$7/12</f>
        <v/>
      </c>
      <c r="L71" s="2">
        <f>IF(MAX(Inputs!$D$7-(A71-1),0)&lt;=0,0,(I71-J71)*((Inputs!$C$7/12)/(1-(1+Inputs!$C$7/12)^(-MAX(Inputs!$D$7-(A71-1),0)))-Inputs!$C$7/12))</f>
        <v/>
      </c>
      <c r="M71" s="2">
        <f>(I71-J71-L71)*Inputs!$B$32</f>
        <v/>
      </c>
      <c r="N71" s="2">
        <f>I71-J71-L71-M71</f>
        <v/>
      </c>
      <c r="O71" s="2">
        <f>T70</f>
        <v/>
      </c>
      <c r="P71" s="2">
        <f>O71*Inputs!$B$33</f>
        <v/>
      </c>
      <c r="Q71" s="2">
        <f>(O71-P71)*Inputs!$C$8/12</f>
        <v/>
      </c>
      <c r="R71" s="2">
        <f>IF(MAX(Inputs!$D$8-(A71-1),0)&lt;=0,0,(O71-P71)*((Inputs!$C$8/12)/(1-(1+Inputs!$C$8/12)^(-MAX(Inputs!$D$8-(A71-1),0)))-Inputs!$C$8/12))</f>
        <v/>
      </c>
      <c r="S71" s="2">
        <f>(O71-P71-R71)*Inputs!$B$32</f>
        <v/>
      </c>
      <c r="T71" s="2">
        <f>O71-P71-R71-S71</f>
        <v/>
      </c>
      <c r="U71" s="2">
        <f>Z70</f>
        <v/>
      </c>
      <c r="V71" s="2">
        <f>U71*Inputs!$B$33</f>
        <v/>
      </c>
      <c r="W71" s="2">
        <f>(U71-V71)*Inputs!$C$9/12</f>
        <v/>
      </c>
      <c r="X71" s="2">
        <f>IF(MAX(Inputs!$D$9-(A71-1),0)&lt;=0,0,(U71-V71)*((Inputs!$C$9/12)/(1-(1+Inputs!$C$9/12)^(-MAX(Inputs!$D$9-(A71-1),0)))-Inputs!$C$9/12))</f>
        <v/>
      </c>
      <c r="Y71" s="2">
        <f>(U71-V71-X71)*Inputs!$B$32</f>
        <v/>
      </c>
      <c r="Z71" s="2">
        <f>U71-V71-X71-Y71</f>
        <v/>
      </c>
      <c r="AA71" s="2">
        <f>AF70</f>
        <v/>
      </c>
      <c r="AB71" s="2">
        <f>AA71*Inputs!$B$33</f>
        <v/>
      </c>
      <c r="AC71" s="2">
        <f>(AA71-AB71)*Inputs!$C$10/12</f>
        <v/>
      </c>
      <c r="AD71" s="2">
        <f>IF(MAX(Inputs!$D$10-(A71-1),0)&lt;=0,0,(AA71-AB71)*((Inputs!$C$10/12)/(1-(1+Inputs!$C$10/12)^(-MAX(Inputs!$D$10-(A71-1),0)))-Inputs!$C$10/12))</f>
        <v/>
      </c>
      <c r="AE71" s="2">
        <f>(AA71-AB71-AD71)*Inputs!$B$32</f>
        <v/>
      </c>
      <c r="AF71" s="2">
        <f>AA71-AB71-AD71-AE71</f>
        <v/>
      </c>
      <c r="AG71" s="2">
        <f>AL70</f>
        <v/>
      </c>
      <c r="AH71" s="2">
        <f>AG71*Inputs!$B$33</f>
        <v/>
      </c>
      <c r="AI71" s="2">
        <f>(AG71-AH71)*Inputs!$C$11/12</f>
        <v/>
      </c>
      <c r="AJ71" s="2">
        <f>IF(MAX(Inputs!$D$11-(A71-1),0)&lt;=0,0,(AG71-AH71)*((Inputs!$C$11/12)/(1-(1+Inputs!$C$11/12)^(-MAX(Inputs!$D$11-(A71-1),0)))-Inputs!$C$11/12))</f>
        <v/>
      </c>
      <c r="AK71" s="2">
        <f>(AG71-AH71-AJ71)*Inputs!$B$32</f>
        <v/>
      </c>
      <c r="AL71" s="2">
        <f>AG71-AH71-AJ71-AK71</f>
        <v/>
      </c>
      <c r="AM71" s="2">
        <f>AR70</f>
        <v/>
      </c>
      <c r="AN71" s="2">
        <f>AM71*Inputs!$B$33</f>
        <v/>
      </c>
      <c r="AO71" s="2">
        <f>(AM71-AN71)*Inputs!$C$12/12</f>
        <v/>
      </c>
      <c r="AP71" s="2">
        <f>IF(MAX(Inputs!$D$12-(A71-1),0)&lt;=0,0,(AM71-AN71)*((Inputs!$C$12/12)/(1-(1+Inputs!$C$12/12)^(-MAX(Inputs!$D$12-(A71-1),0)))-Inputs!$C$12/12))</f>
        <v/>
      </c>
      <c r="AQ71" s="2">
        <f>(AM71-AN71-AP71)*Inputs!$B$32</f>
        <v/>
      </c>
      <c r="AR71" s="2">
        <f>AM71-AN71-AP71-AQ71</f>
        <v/>
      </c>
      <c r="AS71" s="2">
        <f>AX70</f>
        <v/>
      </c>
      <c r="AT71" s="2">
        <f>AS71*Inputs!$B$33</f>
        <v/>
      </c>
      <c r="AU71" s="2">
        <f>(AS71-AT71)*Inputs!$C$13/12</f>
        <v/>
      </c>
      <c r="AV71" s="2">
        <f>IF(MAX(Inputs!$D$13-(A71-1),0)&lt;=0,0,(AS71-AT71)*((Inputs!$C$13/12)/(1-(1+Inputs!$C$13/12)^(-MAX(Inputs!$D$13-(A71-1),0)))-Inputs!$C$13/12))</f>
        <v/>
      </c>
      <c r="AW71" s="2">
        <f>(AS71-AT71-AV71)*Inputs!$B$32</f>
        <v/>
      </c>
      <c r="AX71" s="2">
        <f>AS71-AT71-AV71-AW71</f>
        <v/>
      </c>
      <c r="AY71" s="2">
        <f>BD70</f>
        <v/>
      </c>
      <c r="AZ71" s="2">
        <f>AY71*Inputs!$B$33</f>
        <v/>
      </c>
      <c r="BA71" s="2">
        <f>(AY71-AZ71)*Inputs!$C$14/12</f>
        <v/>
      </c>
      <c r="BB71" s="2">
        <f>IF(MAX(Inputs!$D$14-(A71-1),0)&lt;=0,0,(AY71-AZ71)*((Inputs!$C$14/12)/(1-(1+Inputs!$C$14/12)^(-MAX(Inputs!$D$14-(A71-1),0)))-Inputs!$C$14/12))</f>
        <v/>
      </c>
      <c r="BC71" s="2">
        <f>(AY71-AZ71-BB71)*Inputs!$B$32</f>
        <v/>
      </c>
      <c r="BD71" s="2">
        <f>AY71-AZ71-BB71-BC71</f>
        <v/>
      </c>
      <c r="BE71" s="2">
        <f>BJ70</f>
        <v/>
      </c>
      <c r="BF71" s="2">
        <f>BE71*Inputs!$B$33</f>
        <v/>
      </c>
      <c r="BG71" s="2">
        <f>(BE71-BF71)*Inputs!$C$15/12</f>
        <v/>
      </c>
      <c r="BH71" s="2">
        <f>IF(MAX(Inputs!$D$15-(A71-1),0)&lt;=0,0,(BE71-BF71)*((Inputs!$C$15/12)/(1-(1+Inputs!$C$15/12)^(-MAX(Inputs!$D$15-(A71-1),0)))-Inputs!$C$15/12))</f>
        <v/>
      </c>
      <c r="BI71" s="2">
        <f>(BE71-BF71-BH71)*Inputs!$B$32</f>
        <v/>
      </c>
      <c r="BJ71" s="2">
        <f>BE71-BF71-BH71-BI71</f>
        <v/>
      </c>
      <c r="BK71" s="2">
        <f>C71+I71+O71+U71+AA71+AG71+AM71+AS71+AY71+BE71</f>
        <v/>
      </c>
      <c r="BL71" s="2">
        <f>D71+J71+P71+V71+AB71+AH71+AN71+AT71+AZ71+BF71</f>
        <v/>
      </c>
      <c r="BM71" s="2">
        <f>E71+K71+Q71+W71+AC71+AI71+AO71+AU71+BA71+BG71</f>
        <v/>
      </c>
      <c r="BN71" s="2">
        <f>F71+L71+R71+X71+AD71+AJ71+AP71+AV71+BB71+BH71</f>
        <v/>
      </c>
      <c r="BO71" s="2">
        <f>G71+M71+S71+Y71+AE71+AK71+AQ71+AW71+BC71+BI71</f>
        <v/>
      </c>
      <c r="BP71" s="2">
        <f>H71+N71+T71+Z71+AF71+AL71+AR71+AX71+BD71+BJ71</f>
        <v/>
      </c>
      <c r="BQ71" s="2">
        <f>IF(A71-Inputs!$B$30&gt;=1,INDEX($BL$5:$BL$101,A71-Inputs!$B$30+1)*(1-Inputs!$B$29),0)</f>
        <v/>
      </c>
      <c r="BR71" s="2">
        <f>BR70+BL71</f>
        <v/>
      </c>
      <c r="BS71" s="2">
        <f>BS70+BQ71</f>
        <v/>
      </c>
      <c r="BT71" s="2">
        <f>BR71*Inputs!$B$29</f>
        <v/>
      </c>
      <c r="BU71" s="2">
        <f>BR71*(1-Inputs!$B$29)-BS71</f>
        <v/>
      </c>
      <c r="BV71" s="2">
        <f>BP71+BU71</f>
        <v/>
      </c>
      <c r="BW71" s="2">
        <f>BM71+BN71+BO71+BQ71</f>
        <v/>
      </c>
      <c r="BX71" s="8">
        <f>BK71-BL71-BN71-BO71-BP71</f>
        <v/>
      </c>
    </row>
    <row r="72">
      <c r="A72" s="7" t="n">
        <v>67</v>
      </c>
      <c r="B72" s="3">
        <f>Inputs!$B$36+(Inputs!$B$37-Inputs!$B$36)*(1-EXP(-A72/Inputs!$B$38))+Inputs!$B$31/10000</f>
        <v/>
      </c>
      <c r="C72" s="2">
        <f>H71</f>
        <v/>
      </c>
      <c r="D72" s="2">
        <f>C72*Inputs!$B$33</f>
        <v/>
      </c>
      <c r="E72" s="2">
        <f>(C72-D72)*Inputs!$C$6/12</f>
        <v/>
      </c>
      <c r="F72" s="2">
        <f>IF(MAX(Inputs!$D$6-(A72-1),0)&lt;=0,0,(C72-D72)*((Inputs!$C$6/12)/(1-(1+Inputs!$C$6/12)^(-MAX(Inputs!$D$6-(A72-1),0)))-Inputs!$C$6/12))</f>
        <v/>
      </c>
      <c r="G72" s="2">
        <f>(C72-D72-F72)*Inputs!$B$32</f>
        <v/>
      </c>
      <c r="H72" s="2">
        <f>C72-D72-F72-G72</f>
        <v/>
      </c>
      <c r="I72" s="2">
        <f>N71</f>
        <v/>
      </c>
      <c r="J72" s="2">
        <f>I72*Inputs!$B$33</f>
        <v/>
      </c>
      <c r="K72" s="2">
        <f>(I72-J72)*Inputs!$C$7/12</f>
        <v/>
      </c>
      <c r="L72" s="2">
        <f>IF(MAX(Inputs!$D$7-(A72-1),0)&lt;=0,0,(I72-J72)*((Inputs!$C$7/12)/(1-(1+Inputs!$C$7/12)^(-MAX(Inputs!$D$7-(A72-1),0)))-Inputs!$C$7/12))</f>
        <v/>
      </c>
      <c r="M72" s="2">
        <f>(I72-J72-L72)*Inputs!$B$32</f>
        <v/>
      </c>
      <c r="N72" s="2">
        <f>I72-J72-L72-M72</f>
        <v/>
      </c>
      <c r="O72" s="2">
        <f>T71</f>
        <v/>
      </c>
      <c r="P72" s="2">
        <f>O72*Inputs!$B$33</f>
        <v/>
      </c>
      <c r="Q72" s="2">
        <f>(O72-P72)*Inputs!$C$8/12</f>
        <v/>
      </c>
      <c r="R72" s="2">
        <f>IF(MAX(Inputs!$D$8-(A72-1),0)&lt;=0,0,(O72-P72)*((Inputs!$C$8/12)/(1-(1+Inputs!$C$8/12)^(-MAX(Inputs!$D$8-(A72-1),0)))-Inputs!$C$8/12))</f>
        <v/>
      </c>
      <c r="S72" s="2">
        <f>(O72-P72-R72)*Inputs!$B$32</f>
        <v/>
      </c>
      <c r="T72" s="2">
        <f>O72-P72-R72-S72</f>
        <v/>
      </c>
      <c r="U72" s="2">
        <f>Z71</f>
        <v/>
      </c>
      <c r="V72" s="2">
        <f>U72*Inputs!$B$33</f>
        <v/>
      </c>
      <c r="W72" s="2">
        <f>(U72-V72)*Inputs!$C$9/12</f>
        <v/>
      </c>
      <c r="X72" s="2">
        <f>IF(MAX(Inputs!$D$9-(A72-1),0)&lt;=0,0,(U72-V72)*((Inputs!$C$9/12)/(1-(1+Inputs!$C$9/12)^(-MAX(Inputs!$D$9-(A72-1),0)))-Inputs!$C$9/12))</f>
        <v/>
      </c>
      <c r="Y72" s="2">
        <f>(U72-V72-X72)*Inputs!$B$32</f>
        <v/>
      </c>
      <c r="Z72" s="2">
        <f>U72-V72-X72-Y72</f>
        <v/>
      </c>
      <c r="AA72" s="2">
        <f>AF71</f>
        <v/>
      </c>
      <c r="AB72" s="2">
        <f>AA72*Inputs!$B$33</f>
        <v/>
      </c>
      <c r="AC72" s="2">
        <f>(AA72-AB72)*Inputs!$C$10/12</f>
        <v/>
      </c>
      <c r="AD72" s="2">
        <f>IF(MAX(Inputs!$D$10-(A72-1),0)&lt;=0,0,(AA72-AB72)*((Inputs!$C$10/12)/(1-(1+Inputs!$C$10/12)^(-MAX(Inputs!$D$10-(A72-1),0)))-Inputs!$C$10/12))</f>
        <v/>
      </c>
      <c r="AE72" s="2">
        <f>(AA72-AB72-AD72)*Inputs!$B$32</f>
        <v/>
      </c>
      <c r="AF72" s="2">
        <f>AA72-AB72-AD72-AE72</f>
        <v/>
      </c>
      <c r="AG72" s="2">
        <f>AL71</f>
        <v/>
      </c>
      <c r="AH72" s="2">
        <f>AG72*Inputs!$B$33</f>
        <v/>
      </c>
      <c r="AI72" s="2">
        <f>(AG72-AH72)*Inputs!$C$11/12</f>
        <v/>
      </c>
      <c r="AJ72" s="2">
        <f>IF(MAX(Inputs!$D$11-(A72-1),0)&lt;=0,0,(AG72-AH72)*((Inputs!$C$11/12)/(1-(1+Inputs!$C$11/12)^(-MAX(Inputs!$D$11-(A72-1),0)))-Inputs!$C$11/12))</f>
        <v/>
      </c>
      <c r="AK72" s="2">
        <f>(AG72-AH72-AJ72)*Inputs!$B$32</f>
        <v/>
      </c>
      <c r="AL72" s="2">
        <f>AG72-AH72-AJ72-AK72</f>
        <v/>
      </c>
      <c r="AM72" s="2">
        <f>AR71</f>
        <v/>
      </c>
      <c r="AN72" s="2">
        <f>AM72*Inputs!$B$33</f>
        <v/>
      </c>
      <c r="AO72" s="2">
        <f>(AM72-AN72)*Inputs!$C$12/12</f>
        <v/>
      </c>
      <c r="AP72" s="2">
        <f>IF(MAX(Inputs!$D$12-(A72-1),0)&lt;=0,0,(AM72-AN72)*((Inputs!$C$12/12)/(1-(1+Inputs!$C$12/12)^(-MAX(Inputs!$D$12-(A72-1),0)))-Inputs!$C$12/12))</f>
        <v/>
      </c>
      <c r="AQ72" s="2">
        <f>(AM72-AN72-AP72)*Inputs!$B$32</f>
        <v/>
      </c>
      <c r="AR72" s="2">
        <f>AM72-AN72-AP72-AQ72</f>
        <v/>
      </c>
      <c r="AS72" s="2">
        <f>AX71</f>
        <v/>
      </c>
      <c r="AT72" s="2">
        <f>AS72*Inputs!$B$33</f>
        <v/>
      </c>
      <c r="AU72" s="2">
        <f>(AS72-AT72)*Inputs!$C$13/12</f>
        <v/>
      </c>
      <c r="AV72" s="2">
        <f>IF(MAX(Inputs!$D$13-(A72-1),0)&lt;=0,0,(AS72-AT72)*((Inputs!$C$13/12)/(1-(1+Inputs!$C$13/12)^(-MAX(Inputs!$D$13-(A72-1),0)))-Inputs!$C$13/12))</f>
        <v/>
      </c>
      <c r="AW72" s="2">
        <f>(AS72-AT72-AV72)*Inputs!$B$32</f>
        <v/>
      </c>
      <c r="AX72" s="2">
        <f>AS72-AT72-AV72-AW72</f>
        <v/>
      </c>
      <c r="AY72" s="2">
        <f>BD71</f>
        <v/>
      </c>
      <c r="AZ72" s="2">
        <f>AY72*Inputs!$B$33</f>
        <v/>
      </c>
      <c r="BA72" s="2">
        <f>(AY72-AZ72)*Inputs!$C$14/12</f>
        <v/>
      </c>
      <c r="BB72" s="2">
        <f>IF(MAX(Inputs!$D$14-(A72-1),0)&lt;=0,0,(AY72-AZ72)*((Inputs!$C$14/12)/(1-(1+Inputs!$C$14/12)^(-MAX(Inputs!$D$14-(A72-1),0)))-Inputs!$C$14/12))</f>
        <v/>
      </c>
      <c r="BC72" s="2">
        <f>(AY72-AZ72-BB72)*Inputs!$B$32</f>
        <v/>
      </c>
      <c r="BD72" s="2">
        <f>AY72-AZ72-BB72-BC72</f>
        <v/>
      </c>
      <c r="BE72" s="2">
        <f>BJ71</f>
        <v/>
      </c>
      <c r="BF72" s="2">
        <f>BE72*Inputs!$B$33</f>
        <v/>
      </c>
      <c r="BG72" s="2">
        <f>(BE72-BF72)*Inputs!$C$15/12</f>
        <v/>
      </c>
      <c r="BH72" s="2">
        <f>IF(MAX(Inputs!$D$15-(A72-1),0)&lt;=0,0,(BE72-BF72)*((Inputs!$C$15/12)/(1-(1+Inputs!$C$15/12)^(-MAX(Inputs!$D$15-(A72-1),0)))-Inputs!$C$15/12))</f>
        <v/>
      </c>
      <c r="BI72" s="2">
        <f>(BE72-BF72-BH72)*Inputs!$B$32</f>
        <v/>
      </c>
      <c r="BJ72" s="2">
        <f>BE72-BF72-BH72-BI72</f>
        <v/>
      </c>
      <c r="BK72" s="2">
        <f>C72+I72+O72+U72+AA72+AG72+AM72+AS72+AY72+BE72</f>
        <v/>
      </c>
      <c r="BL72" s="2">
        <f>D72+J72+P72+V72+AB72+AH72+AN72+AT72+AZ72+BF72</f>
        <v/>
      </c>
      <c r="BM72" s="2">
        <f>E72+K72+Q72+W72+AC72+AI72+AO72+AU72+BA72+BG72</f>
        <v/>
      </c>
      <c r="BN72" s="2">
        <f>F72+L72+R72+X72+AD72+AJ72+AP72+AV72+BB72+BH72</f>
        <v/>
      </c>
      <c r="BO72" s="2">
        <f>G72+M72+S72+Y72+AE72+AK72+AQ72+AW72+BC72+BI72</f>
        <v/>
      </c>
      <c r="BP72" s="2">
        <f>H72+N72+T72+Z72+AF72+AL72+AR72+AX72+BD72+BJ72</f>
        <v/>
      </c>
      <c r="BQ72" s="2">
        <f>IF(A72-Inputs!$B$30&gt;=1,INDEX($BL$5:$BL$101,A72-Inputs!$B$30+1)*(1-Inputs!$B$29),0)</f>
        <v/>
      </c>
      <c r="BR72" s="2">
        <f>BR71+BL72</f>
        <v/>
      </c>
      <c r="BS72" s="2">
        <f>BS71+BQ72</f>
        <v/>
      </c>
      <c r="BT72" s="2">
        <f>BR72*Inputs!$B$29</f>
        <v/>
      </c>
      <c r="BU72" s="2">
        <f>BR72*(1-Inputs!$B$29)-BS72</f>
        <v/>
      </c>
      <c r="BV72" s="2">
        <f>BP72+BU72</f>
        <v/>
      </c>
      <c r="BW72" s="2">
        <f>BM72+BN72+BO72+BQ72</f>
        <v/>
      </c>
      <c r="BX72" s="8">
        <f>BK72-BL72-BN72-BO72-BP72</f>
        <v/>
      </c>
    </row>
    <row r="73">
      <c r="A73" s="7" t="n">
        <v>68</v>
      </c>
      <c r="B73" s="3">
        <f>Inputs!$B$36+(Inputs!$B$37-Inputs!$B$36)*(1-EXP(-A73/Inputs!$B$38))+Inputs!$B$31/10000</f>
        <v/>
      </c>
      <c r="C73" s="2">
        <f>H72</f>
        <v/>
      </c>
      <c r="D73" s="2">
        <f>C73*Inputs!$B$33</f>
        <v/>
      </c>
      <c r="E73" s="2">
        <f>(C73-D73)*Inputs!$C$6/12</f>
        <v/>
      </c>
      <c r="F73" s="2">
        <f>IF(MAX(Inputs!$D$6-(A73-1),0)&lt;=0,0,(C73-D73)*((Inputs!$C$6/12)/(1-(1+Inputs!$C$6/12)^(-MAX(Inputs!$D$6-(A73-1),0)))-Inputs!$C$6/12))</f>
        <v/>
      </c>
      <c r="G73" s="2">
        <f>(C73-D73-F73)*Inputs!$B$32</f>
        <v/>
      </c>
      <c r="H73" s="2">
        <f>C73-D73-F73-G73</f>
        <v/>
      </c>
      <c r="I73" s="2">
        <f>N72</f>
        <v/>
      </c>
      <c r="J73" s="2">
        <f>I73*Inputs!$B$33</f>
        <v/>
      </c>
      <c r="K73" s="2">
        <f>(I73-J73)*Inputs!$C$7/12</f>
        <v/>
      </c>
      <c r="L73" s="2">
        <f>IF(MAX(Inputs!$D$7-(A73-1),0)&lt;=0,0,(I73-J73)*((Inputs!$C$7/12)/(1-(1+Inputs!$C$7/12)^(-MAX(Inputs!$D$7-(A73-1),0)))-Inputs!$C$7/12))</f>
        <v/>
      </c>
      <c r="M73" s="2">
        <f>(I73-J73-L73)*Inputs!$B$32</f>
        <v/>
      </c>
      <c r="N73" s="2">
        <f>I73-J73-L73-M73</f>
        <v/>
      </c>
      <c r="O73" s="2">
        <f>T72</f>
        <v/>
      </c>
      <c r="P73" s="2">
        <f>O73*Inputs!$B$33</f>
        <v/>
      </c>
      <c r="Q73" s="2">
        <f>(O73-P73)*Inputs!$C$8/12</f>
        <v/>
      </c>
      <c r="R73" s="2">
        <f>IF(MAX(Inputs!$D$8-(A73-1),0)&lt;=0,0,(O73-P73)*((Inputs!$C$8/12)/(1-(1+Inputs!$C$8/12)^(-MAX(Inputs!$D$8-(A73-1),0)))-Inputs!$C$8/12))</f>
        <v/>
      </c>
      <c r="S73" s="2">
        <f>(O73-P73-R73)*Inputs!$B$32</f>
        <v/>
      </c>
      <c r="T73" s="2">
        <f>O73-P73-R73-S73</f>
        <v/>
      </c>
      <c r="U73" s="2">
        <f>Z72</f>
        <v/>
      </c>
      <c r="V73" s="2">
        <f>U73*Inputs!$B$33</f>
        <v/>
      </c>
      <c r="W73" s="2">
        <f>(U73-V73)*Inputs!$C$9/12</f>
        <v/>
      </c>
      <c r="X73" s="2">
        <f>IF(MAX(Inputs!$D$9-(A73-1),0)&lt;=0,0,(U73-V73)*((Inputs!$C$9/12)/(1-(1+Inputs!$C$9/12)^(-MAX(Inputs!$D$9-(A73-1),0)))-Inputs!$C$9/12))</f>
        <v/>
      </c>
      <c r="Y73" s="2">
        <f>(U73-V73-X73)*Inputs!$B$32</f>
        <v/>
      </c>
      <c r="Z73" s="2">
        <f>U73-V73-X73-Y73</f>
        <v/>
      </c>
      <c r="AA73" s="2">
        <f>AF72</f>
        <v/>
      </c>
      <c r="AB73" s="2">
        <f>AA73*Inputs!$B$33</f>
        <v/>
      </c>
      <c r="AC73" s="2">
        <f>(AA73-AB73)*Inputs!$C$10/12</f>
        <v/>
      </c>
      <c r="AD73" s="2">
        <f>IF(MAX(Inputs!$D$10-(A73-1),0)&lt;=0,0,(AA73-AB73)*((Inputs!$C$10/12)/(1-(1+Inputs!$C$10/12)^(-MAX(Inputs!$D$10-(A73-1),0)))-Inputs!$C$10/12))</f>
        <v/>
      </c>
      <c r="AE73" s="2">
        <f>(AA73-AB73-AD73)*Inputs!$B$32</f>
        <v/>
      </c>
      <c r="AF73" s="2">
        <f>AA73-AB73-AD73-AE73</f>
        <v/>
      </c>
      <c r="AG73" s="2">
        <f>AL72</f>
        <v/>
      </c>
      <c r="AH73" s="2">
        <f>AG73*Inputs!$B$33</f>
        <v/>
      </c>
      <c r="AI73" s="2">
        <f>(AG73-AH73)*Inputs!$C$11/12</f>
        <v/>
      </c>
      <c r="AJ73" s="2">
        <f>IF(MAX(Inputs!$D$11-(A73-1),0)&lt;=0,0,(AG73-AH73)*((Inputs!$C$11/12)/(1-(1+Inputs!$C$11/12)^(-MAX(Inputs!$D$11-(A73-1),0)))-Inputs!$C$11/12))</f>
        <v/>
      </c>
      <c r="AK73" s="2">
        <f>(AG73-AH73-AJ73)*Inputs!$B$32</f>
        <v/>
      </c>
      <c r="AL73" s="2">
        <f>AG73-AH73-AJ73-AK73</f>
        <v/>
      </c>
      <c r="AM73" s="2">
        <f>AR72</f>
        <v/>
      </c>
      <c r="AN73" s="2">
        <f>AM73*Inputs!$B$33</f>
        <v/>
      </c>
      <c r="AO73" s="2">
        <f>(AM73-AN73)*Inputs!$C$12/12</f>
        <v/>
      </c>
      <c r="AP73" s="2">
        <f>IF(MAX(Inputs!$D$12-(A73-1),0)&lt;=0,0,(AM73-AN73)*((Inputs!$C$12/12)/(1-(1+Inputs!$C$12/12)^(-MAX(Inputs!$D$12-(A73-1),0)))-Inputs!$C$12/12))</f>
        <v/>
      </c>
      <c r="AQ73" s="2">
        <f>(AM73-AN73-AP73)*Inputs!$B$32</f>
        <v/>
      </c>
      <c r="AR73" s="2">
        <f>AM73-AN73-AP73-AQ73</f>
        <v/>
      </c>
      <c r="AS73" s="2">
        <f>AX72</f>
        <v/>
      </c>
      <c r="AT73" s="2">
        <f>AS73*Inputs!$B$33</f>
        <v/>
      </c>
      <c r="AU73" s="2">
        <f>(AS73-AT73)*Inputs!$C$13/12</f>
        <v/>
      </c>
      <c r="AV73" s="2">
        <f>IF(MAX(Inputs!$D$13-(A73-1),0)&lt;=0,0,(AS73-AT73)*((Inputs!$C$13/12)/(1-(1+Inputs!$C$13/12)^(-MAX(Inputs!$D$13-(A73-1),0)))-Inputs!$C$13/12))</f>
        <v/>
      </c>
      <c r="AW73" s="2">
        <f>(AS73-AT73-AV73)*Inputs!$B$32</f>
        <v/>
      </c>
      <c r="AX73" s="2">
        <f>AS73-AT73-AV73-AW73</f>
        <v/>
      </c>
      <c r="AY73" s="2">
        <f>BD72</f>
        <v/>
      </c>
      <c r="AZ73" s="2">
        <f>AY73*Inputs!$B$33</f>
        <v/>
      </c>
      <c r="BA73" s="2">
        <f>(AY73-AZ73)*Inputs!$C$14/12</f>
        <v/>
      </c>
      <c r="BB73" s="2">
        <f>IF(MAX(Inputs!$D$14-(A73-1),0)&lt;=0,0,(AY73-AZ73)*((Inputs!$C$14/12)/(1-(1+Inputs!$C$14/12)^(-MAX(Inputs!$D$14-(A73-1),0)))-Inputs!$C$14/12))</f>
        <v/>
      </c>
      <c r="BC73" s="2">
        <f>(AY73-AZ73-BB73)*Inputs!$B$32</f>
        <v/>
      </c>
      <c r="BD73" s="2">
        <f>AY73-AZ73-BB73-BC73</f>
        <v/>
      </c>
      <c r="BE73" s="2">
        <f>BJ72</f>
        <v/>
      </c>
      <c r="BF73" s="2">
        <f>BE73*Inputs!$B$33</f>
        <v/>
      </c>
      <c r="BG73" s="2">
        <f>(BE73-BF73)*Inputs!$C$15/12</f>
        <v/>
      </c>
      <c r="BH73" s="2">
        <f>IF(MAX(Inputs!$D$15-(A73-1),0)&lt;=0,0,(BE73-BF73)*((Inputs!$C$15/12)/(1-(1+Inputs!$C$15/12)^(-MAX(Inputs!$D$15-(A73-1),0)))-Inputs!$C$15/12))</f>
        <v/>
      </c>
      <c r="BI73" s="2">
        <f>(BE73-BF73-BH73)*Inputs!$B$32</f>
        <v/>
      </c>
      <c r="BJ73" s="2">
        <f>BE73-BF73-BH73-BI73</f>
        <v/>
      </c>
      <c r="BK73" s="2">
        <f>C73+I73+O73+U73+AA73+AG73+AM73+AS73+AY73+BE73</f>
        <v/>
      </c>
      <c r="BL73" s="2">
        <f>D73+J73+P73+V73+AB73+AH73+AN73+AT73+AZ73+BF73</f>
        <v/>
      </c>
      <c r="BM73" s="2">
        <f>E73+K73+Q73+W73+AC73+AI73+AO73+AU73+BA73+BG73</f>
        <v/>
      </c>
      <c r="BN73" s="2">
        <f>F73+L73+R73+X73+AD73+AJ73+AP73+AV73+BB73+BH73</f>
        <v/>
      </c>
      <c r="BO73" s="2">
        <f>G73+M73+S73+Y73+AE73+AK73+AQ73+AW73+BC73+BI73</f>
        <v/>
      </c>
      <c r="BP73" s="2">
        <f>H73+N73+T73+Z73+AF73+AL73+AR73+AX73+BD73+BJ73</f>
        <v/>
      </c>
      <c r="BQ73" s="2">
        <f>IF(A73-Inputs!$B$30&gt;=1,INDEX($BL$5:$BL$101,A73-Inputs!$B$30+1)*(1-Inputs!$B$29),0)</f>
        <v/>
      </c>
      <c r="BR73" s="2">
        <f>BR72+BL73</f>
        <v/>
      </c>
      <c r="BS73" s="2">
        <f>BS72+BQ73</f>
        <v/>
      </c>
      <c r="BT73" s="2">
        <f>BR73*Inputs!$B$29</f>
        <v/>
      </c>
      <c r="BU73" s="2">
        <f>BR73*(1-Inputs!$B$29)-BS73</f>
        <v/>
      </c>
      <c r="BV73" s="2">
        <f>BP73+BU73</f>
        <v/>
      </c>
      <c r="BW73" s="2">
        <f>BM73+BN73+BO73+BQ73</f>
        <v/>
      </c>
      <c r="BX73" s="8">
        <f>BK73-BL73-BN73-BO73-BP73</f>
        <v/>
      </c>
    </row>
    <row r="74">
      <c r="A74" s="7" t="n">
        <v>69</v>
      </c>
      <c r="B74" s="3">
        <f>Inputs!$B$36+(Inputs!$B$37-Inputs!$B$36)*(1-EXP(-A74/Inputs!$B$38))+Inputs!$B$31/10000</f>
        <v/>
      </c>
      <c r="C74" s="2">
        <f>H73</f>
        <v/>
      </c>
      <c r="D74" s="2">
        <f>C74*Inputs!$B$33</f>
        <v/>
      </c>
      <c r="E74" s="2">
        <f>(C74-D74)*Inputs!$C$6/12</f>
        <v/>
      </c>
      <c r="F74" s="2">
        <f>IF(MAX(Inputs!$D$6-(A74-1),0)&lt;=0,0,(C74-D74)*((Inputs!$C$6/12)/(1-(1+Inputs!$C$6/12)^(-MAX(Inputs!$D$6-(A74-1),0)))-Inputs!$C$6/12))</f>
        <v/>
      </c>
      <c r="G74" s="2">
        <f>(C74-D74-F74)*Inputs!$B$32</f>
        <v/>
      </c>
      <c r="H74" s="2">
        <f>C74-D74-F74-G74</f>
        <v/>
      </c>
      <c r="I74" s="2">
        <f>N73</f>
        <v/>
      </c>
      <c r="J74" s="2">
        <f>I74*Inputs!$B$33</f>
        <v/>
      </c>
      <c r="K74" s="2">
        <f>(I74-J74)*Inputs!$C$7/12</f>
        <v/>
      </c>
      <c r="L74" s="2">
        <f>IF(MAX(Inputs!$D$7-(A74-1),0)&lt;=0,0,(I74-J74)*((Inputs!$C$7/12)/(1-(1+Inputs!$C$7/12)^(-MAX(Inputs!$D$7-(A74-1),0)))-Inputs!$C$7/12))</f>
        <v/>
      </c>
      <c r="M74" s="2">
        <f>(I74-J74-L74)*Inputs!$B$32</f>
        <v/>
      </c>
      <c r="N74" s="2">
        <f>I74-J74-L74-M74</f>
        <v/>
      </c>
      <c r="O74" s="2">
        <f>T73</f>
        <v/>
      </c>
      <c r="P74" s="2">
        <f>O74*Inputs!$B$33</f>
        <v/>
      </c>
      <c r="Q74" s="2">
        <f>(O74-P74)*Inputs!$C$8/12</f>
        <v/>
      </c>
      <c r="R74" s="2">
        <f>IF(MAX(Inputs!$D$8-(A74-1),0)&lt;=0,0,(O74-P74)*((Inputs!$C$8/12)/(1-(1+Inputs!$C$8/12)^(-MAX(Inputs!$D$8-(A74-1),0)))-Inputs!$C$8/12))</f>
        <v/>
      </c>
      <c r="S74" s="2">
        <f>(O74-P74-R74)*Inputs!$B$32</f>
        <v/>
      </c>
      <c r="T74" s="2">
        <f>O74-P74-R74-S74</f>
        <v/>
      </c>
      <c r="U74" s="2">
        <f>Z73</f>
        <v/>
      </c>
      <c r="V74" s="2">
        <f>U74*Inputs!$B$33</f>
        <v/>
      </c>
      <c r="W74" s="2">
        <f>(U74-V74)*Inputs!$C$9/12</f>
        <v/>
      </c>
      <c r="X74" s="2">
        <f>IF(MAX(Inputs!$D$9-(A74-1),0)&lt;=0,0,(U74-V74)*((Inputs!$C$9/12)/(1-(1+Inputs!$C$9/12)^(-MAX(Inputs!$D$9-(A74-1),0)))-Inputs!$C$9/12))</f>
        <v/>
      </c>
      <c r="Y74" s="2">
        <f>(U74-V74-X74)*Inputs!$B$32</f>
        <v/>
      </c>
      <c r="Z74" s="2">
        <f>U74-V74-X74-Y74</f>
        <v/>
      </c>
      <c r="AA74" s="2">
        <f>AF73</f>
        <v/>
      </c>
      <c r="AB74" s="2">
        <f>AA74*Inputs!$B$33</f>
        <v/>
      </c>
      <c r="AC74" s="2">
        <f>(AA74-AB74)*Inputs!$C$10/12</f>
        <v/>
      </c>
      <c r="AD74" s="2">
        <f>IF(MAX(Inputs!$D$10-(A74-1),0)&lt;=0,0,(AA74-AB74)*((Inputs!$C$10/12)/(1-(1+Inputs!$C$10/12)^(-MAX(Inputs!$D$10-(A74-1),0)))-Inputs!$C$10/12))</f>
        <v/>
      </c>
      <c r="AE74" s="2">
        <f>(AA74-AB74-AD74)*Inputs!$B$32</f>
        <v/>
      </c>
      <c r="AF74" s="2">
        <f>AA74-AB74-AD74-AE74</f>
        <v/>
      </c>
      <c r="AG74" s="2">
        <f>AL73</f>
        <v/>
      </c>
      <c r="AH74" s="2">
        <f>AG74*Inputs!$B$33</f>
        <v/>
      </c>
      <c r="AI74" s="2">
        <f>(AG74-AH74)*Inputs!$C$11/12</f>
        <v/>
      </c>
      <c r="AJ74" s="2">
        <f>IF(MAX(Inputs!$D$11-(A74-1),0)&lt;=0,0,(AG74-AH74)*((Inputs!$C$11/12)/(1-(1+Inputs!$C$11/12)^(-MAX(Inputs!$D$11-(A74-1),0)))-Inputs!$C$11/12))</f>
        <v/>
      </c>
      <c r="AK74" s="2">
        <f>(AG74-AH74-AJ74)*Inputs!$B$32</f>
        <v/>
      </c>
      <c r="AL74" s="2">
        <f>AG74-AH74-AJ74-AK74</f>
        <v/>
      </c>
      <c r="AM74" s="2">
        <f>AR73</f>
        <v/>
      </c>
      <c r="AN74" s="2">
        <f>AM74*Inputs!$B$33</f>
        <v/>
      </c>
      <c r="AO74" s="2">
        <f>(AM74-AN74)*Inputs!$C$12/12</f>
        <v/>
      </c>
      <c r="AP74" s="2">
        <f>IF(MAX(Inputs!$D$12-(A74-1),0)&lt;=0,0,(AM74-AN74)*((Inputs!$C$12/12)/(1-(1+Inputs!$C$12/12)^(-MAX(Inputs!$D$12-(A74-1),0)))-Inputs!$C$12/12))</f>
        <v/>
      </c>
      <c r="AQ74" s="2">
        <f>(AM74-AN74-AP74)*Inputs!$B$32</f>
        <v/>
      </c>
      <c r="AR74" s="2">
        <f>AM74-AN74-AP74-AQ74</f>
        <v/>
      </c>
      <c r="AS74" s="2">
        <f>AX73</f>
        <v/>
      </c>
      <c r="AT74" s="2">
        <f>AS74*Inputs!$B$33</f>
        <v/>
      </c>
      <c r="AU74" s="2">
        <f>(AS74-AT74)*Inputs!$C$13/12</f>
        <v/>
      </c>
      <c r="AV74" s="2">
        <f>IF(MAX(Inputs!$D$13-(A74-1),0)&lt;=0,0,(AS74-AT74)*((Inputs!$C$13/12)/(1-(1+Inputs!$C$13/12)^(-MAX(Inputs!$D$13-(A74-1),0)))-Inputs!$C$13/12))</f>
        <v/>
      </c>
      <c r="AW74" s="2">
        <f>(AS74-AT74-AV74)*Inputs!$B$32</f>
        <v/>
      </c>
      <c r="AX74" s="2">
        <f>AS74-AT74-AV74-AW74</f>
        <v/>
      </c>
      <c r="AY74" s="2">
        <f>BD73</f>
        <v/>
      </c>
      <c r="AZ74" s="2">
        <f>AY74*Inputs!$B$33</f>
        <v/>
      </c>
      <c r="BA74" s="2">
        <f>(AY74-AZ74)*Inputs!$C$14/12</f>
        <v/>
      </c>
      <c r="BB74" s="2">
        <f>IF(MAX(Inputs!$D$14-(A74-1),0)&lt;=0,0,(AY74-AZ74)*((Inputs!$C$14/12)/(1-(1+Inputs!$C$14/12)^(-MAX(Inputs!$D$14-(A74-1),0)))-Inputs!$C$14/12))</f>
        <v/>
      </c>
      <c r="BC74" s="2">
        <f>(AY74-AZ74-BB74)*Inputs!$B$32</f>
        <v/>
      </c>
      <c r="BD74" s="2">
        <f>AY74-AZ74-BB74-BC74</f>
        <v/>
      </c>
      <c r="BE74" s="2">
        <f>BJ73</f>
        <v/>
      </c>
      <c r="BF74" s="2">
        <f>BE74*Inputs!$B$33</f>
        <v/>
      </c>
      <c r="BG74" s="2">
        <f>(BE74-BF74)*Inputs!$C$15/12</f>
        <v/>
      </c>
      <c r="BH74" s="2">
        <f>IF(MAX(Inputs!$D$15-(A74-1),0)&lt;=0,0,(BE74-BF74)*((Inputs!$C$15/12)/(1-(1+Inputs!$C$15/12)^(-MAX(Inputs!$D$15-(A74-1),0)))-Inputs!$C$15/12))</f>
        <v/>
      </c>
      <c r="BI74" s="2">
        <f>(BE74-BF74-BH74)*Inputs!$B$32</f>
        <v/>
      </c>
      <c r="BJ74" s="2">
        <f>BE74-BF74-BH74-BI74</f>
        <v/>
      </c>
      <c r="BK74" s="2">
        <f>C74+I74+O74+U74+AA74+AG74+AM74+AS74+AY74+BE74</f>
        <v/>
      </c>
      <c r="BL74" s="2">
        <f>D74+J74+P74+V74+AB74+AH74+AN74+AT74+AZ74+BF74</f>
        <v/>
      </c>
      <c r="BM74" s="2">
        <f>E74+K74+Q74+W74+AC74+AI74+AO74+AU74+BA74+BG74</f>
        <v/>
      </c>
      <c r="BN74" s="2">
        <f>F74+L74+R74+X74+AD74+AJ74+AP74+AV74+BB74+BH74</f>
        <v/>
      </c>
      <c r="BO74" s="2">
        <f>G74+M74+S74+Y74+AE74+AK74+AQ74+AW74+BC74+BI74</f>
        <v/>
      </c>
      <c r="BP74" s="2">
        <f>H74+N74+T74+Z74+AF74+AL74+AR74+AX74+BD74+BJ74</f>
        <v/>
      </c>
      <c r="BQ74" s="2">
        <f>IF(A74-Inputs!$B$30&gt;=1,INDEX($BL$5:$BL$101,A74-Inputs!$B$30+1)*(1-Inputs!$B$29),0)</f>
        <v/>
      </c>
      <c r="BR74" s="2">
        <f>BR73+BL74</f>
        <v/>
      </c>
      <c r="BS74" s="2">
        <f>BS73+BQ74</f>
        <v/>
      </c>
      <c r="BT74" s="2">
        <f>BR74*Inputs!$B$29</f>
        <v/>
      </c>
      <c r="BU74" s="2">
        <f>BR74*(1-Inputs!$B$29)-BS74</f>
        <v/>
      </c>
      <c r="BV74" s="2">
        <f>BP74+BU74</f>
        <v/>
      </c>
      <c r="BW74" s="2">
        <f>BM74+BN74+BO74+BQ74</f>
        <v/>
      </c>
      <c r="BX74" s="8">
        <f>BK74-BL74-BN74-BO74-BP74</f>
        <v/>
      </c>
    </row>
    <row r="75">
      <c r="A75" s="7" t="n">
        <v>70</v>
      </c>
      <c r="B75" s="3">
        <f>Inputs!$B$36+(Inputs!$B$37-Inputs!$B$36)*(1-EXP(-A75/Inputs!$B$38))+Inputs!$B$31/10000</f>
        <v/>
      </c>
      <c r="C75" s="2">
        <f>H74</f>
        <v/>
      </c>
      <c r="D75" s="2">
        <f>C75*Inputs!$B$33</f>
        <v/>
      </c>
      <c r="E75" s="2">
        <f>(C75-D75)*Inputs!$C$6/12</f>
        <v/>
      </c>
      <c r="F75" s="2">
        <f>IF(MAX(Inputs!$D$6-(A75-1),0)&lt;=0,0,(C75-D75)*((Inputs!$C$6/12)/(1-(1+Inputs!$C$6/12)^(-MAX(Inputs!$D$6-(A75-1),0)))-Inputs!$C$6/12))</f>
        <v/>
      </c>
      <c r="G75" s="2">
        <f>(C75-D75-F75)*Inputs!$B$32</f>
        <v/>
      </c>
      <c r="H75" s="2">
        <f>C75-D75-F75-G75</f>
        <v/>
      </c>
      <c r="I75" s="2">
        <f>N74</f>
        <v/>
      </c>
      <c r="J75" s="2">
        <f>I75*Inputs!$B$33</f>
        <v/>
      </c>
      <c r="K75" s="2">
        <f>(I75-J75)*Inputs!$C$7/12</f>
        <v/>
      </c>
      <c r="L75" s="2">
        <f>IF(MAX(Inputs!$D$7-(A75-1),0)&lt;=0,0,(I75-J75)*((Inputs!$C$7/12)/(1-(1+Inputs!$C$7/12)^(-MAX(Inputs!$D$7-(A75-1),0)))-Inputs!$C$7/12))</f>
        <v/>
      </c>
      <c r="M75" s="2">
        <f>(I75-J75-L75)*Inputs!$B$32</f>
        <v/>
      </c>
      <c r="N75" s="2">
        <f>I75-J75-L75-M75</f>
        <v/>
      </c>
      <c r="O75" s="2">
        <f>T74</f>
        <v/>
      </c>
      <c r="P75" s="2">
        <f>O75*Inputs!$B$33</f>
        <v/>
      </c>
      <c r="Q75" s="2">
        <f>(O75-P75)*Inputs!$C$8/12</f>
        <v/>
      </c>
      <c r="R75" s="2">
        <f>IF(MAX(Inputs!$D$8-(A75-1),0)&lt;=0,0,(O75-P75)*((Inputs!$C$8/12)/(1-(1+Inputs!$C$8/12)^(-MAX(Inputs!$D$8-(A75-1),0)))-Inputs!$C$8/12))</f>
        <v/>
      </c>
      <c r="S75" s="2">
        <f>(O75-P75-R75)*Inputs!$B$32</f>
        <v/>
      </c>
      <c r="T75" s="2">
        <f>O75-P75-R75-S75</f>
        <v/>
      </c>
      <c r="U75" s="2">
        <f>Z74</f>
        <v/>
      </c>
      <c r="V75" s="2">
        <f>U75*Inputs!$B$33</f>
        <v/>
      </c>
      <c r="W75" s="2">
        <f>(U75-V75)*Inputs!$C$9/12</f>
        <v/>
      </c>
      <c r="X75" s="2">
        <f>IF(MAX(Inputs!$D$9-(A75-1),0)&lt;=0,0,(U75-V75)*((Inputs!$C$9/12)/(1-(1+Inputs!$C$9/12)^(-MAX(Inputs!$D$9-(A75-1),0)))-Inputs!$C$9/12))</f>
        <v/>
      </c>
      <c r="Y75" s="2">
        <f>(U75-V75-X75)*Inputs!$B$32</f>
        <v/>
      </c>
      <c r="Z75" s="2">
        <f>U75-V75-X75-Y75</f>
        <v/>
      </c>
      <c r="AA75" s="2">
        <f>AF74</f>
        <v/>
      </c>
      <c r="AB75" s="2">
        <f>AA75*Inputs!$B$33</f>
        <v/>
      </c>
      <c r="AC75" s="2">
        <f>(AA75-AB75)*Inputs!$C$10/12</f>
        <v/>
      </c>
      <c r="AD75" s="2">
        <f>IF(MAX(Inputs!$D$10-(A75-1),0)&lt;=0,0,(AA75-AB75)*((Inputs!$C$10/12)/(1-(1+Inputs!$C$10/12)^(-MAX(Inputs!$D$10-(A75-1),0)))-Inputs!$C$10/12))</f>
        <v/>
      </c>
      <c r="AE75" s="2">
        <f>(AA75-AB75-AD75)*Inputs!$B$32</f>
        <v/>
      </c>
      <c r="AF75" s="2">
        <f>AA75-AB75-AD75-AE75</f>
        <v/>
      </c>
      <c r="AG75" s="2">
        <f>AL74</f>
        <v/>
      </c>
      <c r="AH75" s="2">
        <f>AG75*Inputs!$B$33</f>
        <v/>
      </c>
      <c r="AI75" s="2">
        <f>(AG75-AH75)*Inputs!$C$11/12</f>
        <v/>
      </c>
      <c r="AJ75" s="2">
        <f>IF(MAX(Inputs!$D$11-(A75-1),0)&lt;=0,0,(AG75-AH75)*((Inputs!$C$11/12)/(1-(1+Inputs!$C$11/12)^(-MAX(Inputs!$D$11-(A75-1),0)))-Inputs!$C$11/12))</f>
        <v/>
      </c>
      <c r="AK75" s="2">
        <f>(AG75-AH75-AJ75)*Inputs!$B$32</f>
        <v/>
      </c>
      <c r="AL75" s="2">
        <f>AG75-AH75-AJ75-AK75</f>
        <v/>
      </c>
      <c r="AM75" s="2">
        <f>AR74</f>
        <v/>
      </c>
      <c r="AN75" s="2">
        <f>AM75*Inputs!$B$33</f>
        <v/>
      </c>
      <c r="AO75" s="2">
        <f>(AM75-AN75)*Inputs!$C$12/12</f>
        <v/>
      </c>
      <c r="AP75" s="2">
        <f>IF(MAX(Inputs!$D$12-(A75-1),0)&lt;=0,0,(AM75-AN75)*((Inputs!$C$12/12)/(1-(1+Inputs!$C$12/12)^(-MAX(Inputs!$D$12-(A75-1),0)))-Inputs!$C$12/12))</f>
        <v/>
      </c>
      <c r="AQ75" s="2">
        <f>(AM75-AN75-AP75)*Inputs!$B$32</f>
        <v/>
      </c>
      <c r="AR75" s="2">
        <f>AM75-AN75-AP75-AQ75</f>
        <v/>
      </c>
      <c r="AS75" s="2">
        <f>AX74</f>
        <v/>
      </c>
      <c r="AT75" s="2">
        <f>AS75*Inputs!$B$33</f>
        <v/>
      </c>
      <c r="AU75" s="2">
        <f>(AS75-AT75)*Inputs!$C$13/12</f>
        <v/>
      </c>
      <c r="AV75" s="2">
        <f>IF(MAX(Inputs!$D$13-(A75-1),0)&lt;=0,0,(AS75-AT75)*((Inputs!$C$13/12)/(1-(1+Inputs!$C$13/12)^(-MAX(Inputs!$D$13-(A75-1),0)))-Inputs!$C$13/12))</f>
        <v/>
      </c>
      <c r="AW75" s="2">
        <f>(AS75-AT75-AV75)*Inputs!$B$32</f>
        <v/>
      </c>
      <c r="AX75" s="2">
        <f>AS75-AT75-AV75-AW75</f>
        <v/>
      </c>
      <c r="AY75" s="2">
        <f>BD74</f>
        <v/>
      </c>
      <c r="AZ75" s="2">
        <f>AY75*Inputs!$B$33</f>
        <v/>
      </c>
      <c r="BA75" s="2">
        <f>(AY75-AZ75)*Inputs!$C$14/12</f>
        <v/>
      </c>
      <c r="BB75" s="2">
        <f>IF(MAX(Inputs!$D$14-(A75-1),0)&lt;=0,0,(AY75-AZ75)*((Inputs!$C$14/12)/(1-(1+Inputs!$C$14/12)^(-MAX(Inputs!$D$14-(A75-1),0)))-Inputs!$C$14/12))</f>
        <v/>
      </c>
      <c r="BC75" s="2">
        <f>(AY75-AZ75-BB75)*Inputs!$B$32</f>
        <v/>
      </c>
      <c r="BD75" s="2">
        <f>AY75-AZ75-BB75-BC75</f>
        <v/>
      </c>
      <c r="BE75" s="2">
        <f>BJ74</f>
        <v/>
      </c>
      <c r="BF75" s="2">
        <f>BE75*Inputs!$B$33</f>
        <v/>
      </c>
      <c r="BG75" s="2">
        <f>(BE75-BF75)*Inputs!$C$15/12</f>
        <v/>
      </c>
      <c r="BH75" s="2">
        <f>IF(MAX(Inputs!$D$15-(A75-1),0)&lt;=0,0,(BE75-BF75)*((Inputs!$C$15/12)/(1-(1+Inputs!$C$15/12)^(-MAX(Inputs!$D$15-(A75-1),0)))-Inputs!$C$15/12))</f>
        <v/>
      </c>
      <c r="BI75" s="2">
        <f>(BE75-BF75-BH75)*Inputs!$B$32</f>
        <v/>
      </c>
      <c r="BJ75" s="2">
        <f>BE75-BF75-BH75-BI75</f>
        <v/>
      </c>
      <c r="BK75" s="2">
        <f>C75+I75+O75+U75+AA75+AG75+AM75+AS75+AY75+BE75</f>
        <v/>
      </c>
      <c r="BL75" s="2">
        <f>D75+J75+P75+V75+AB75+AH75+AN75+AT75+AZ75+BF75</f>
        <v/>
      </c>
      <c r="BM75" s="2">
        <f>E75+K75+Q75+W75+AC75+AI75+AO75+AU75+BA75+BG75</f>
        <v/>
      </c>
      <c r="BN75" s="2">
        <f>F75+L75+R75+X75+AD75+AJ75+AP75+AV75+BB75+BH75</f>
        <v/>
      </c>
      <c r="BO75" s="2">
        <f>G75+M75+S75+Y75+AE75+AK75+AQ75+AW75+BC75+BI75</f>
        <v/>
      </c>
      <c r="BP75" s="2">
        <f>H75+N75+T75+Z75+AF75+AL75+AR75+AX75+BD75+BJ75</f>
        <v/>
      </c>
      <c r="BQ75" s="2">
        <f>IF(A75-Inputs!$B$30&gt;=1,INDEX($BL$5:$BL$101,A75-Inputs!$B$30+1)*(1-Inputs!$B$29),0)</f>
        <v/>
      </c>
      <c r="BR75" s="2">
        <f>BR74+BL75</f>
        <v/>
      </c>
      <c r="BS75" s="2">
        <f>BS74+BQ75</f>
        <v/>
      </c>
      <c r="BT75" s="2">
        <f>BR75*Inputs!$B$29</f>
        <v/>
      </c>
      <c r="BU75" s="2">
        <f>BR75*(1-Inputs!$B$29)-BS75</f>
        <v/>
      </c>
      <c r="BV75" s="2">
        <f>BP75+BU75</f>
        <v/>
      </c>
      <c r="BW75" s="2">
        <f>BM75+BN75+BO75+BQ75</f>
        <v/>
      </c>
      <c r="BX75" s="8">
        <f>BK75-BL75-BN75-BO75-BP75</f>
        <v/>
      </c>
    </row>
    <row r="76">
      <c r="A76" s="7" t="n">
        <v>71</v>
      </c>
      <c r="B76" s="3">
        <f>Inputs!$B$36+(Inputs!$B$37-Inputs!$B$36)*(1-EXP(-A76/Inputs!$B$38))+Inputs!$B$31/10000</f>
        <v/>
      </c>
      <c r="C76" s="2">
        <f>H75</f>
        <v/>
      </c>
      <c r="D76" s="2">
        <f>C76*Inputs!$B$33</f>
        <v/>
      </c>
      <c r="E76" s="2">
        <f>(C76-D76)*Inputs!$C$6/12</f>
        <v/>
      </c>
      <c r="F76" s="2">
        <f>IF(MAX(Inputs!$D$6-(A76-1),0)&lt;=0,0,(C76-D76)*((Inputs!$C$6/12)/(1-(1+Inputs!$C$6/12)^(-MAX(Inputs!$D$6-(A76-1),0)))-Inputs!$C$6/12))</f>
        <v/>
      </c>
      <c r="G76" s="2">
        <f>(C76-D76-F76)*Inputs!$B$32</f>
        <v/>
      </c>
      <c r="H76" s="2">
        <f>C76-D76-F76-G76</f>
        <v/>
      </c>
      <c r="I76" s="2">
        <f>N75</f>
        <v/>
      </c>
      <c r="J76" s="2">
        <f>I76*Inputs!$B$33</f>
        <v/>
      </c>
      <c r="K76" s="2">
        <f>(I76-J76)*Inputs!$C$7/12</f>
        <v/>
      </c>
      <c r="L76" s="2">
        <f>IF(MAX(Inputs!$D$7-(A76-1),0)&lt;=0,0,(I76-J76)*((Inputs!$C$7/12)/(1-(1+Inputs!$C$7/12)^(-MAX(Inputs!$D$7-(A76-1),0)))-Inputs!$C$7/12))</f>
        <v/>
      </c>
      <c r="M76" s="2">
        <f>(I76-J76-L76)*Inputs!$B$32</f>
        <v/>
      </c>
      <c r="N76" s="2">
        <f>I76-J76-L76-M76</f>
        <v/>
      </c>
      <c r="O76" s="2">
        <f>T75</f>
        <v/>
      </c>
      <c r="P76" s="2">
        <f>O76*Inputs!$B$33</f>
        <v/>
      </c>
      <c r="Q76" s="2">
        <f>(O76-P76)*Inputs!$C$8/12</f>
        <v/>
      </c>
      <c r="R76" s="2">
        <f>IF(MAX(Inputs!$D$8-(A76-1),0)&lt;=0,0,(O76-P76)*((Inputs!$C$8/12)/(1-(1+Inputs!$C$8/12)^(-MAX(Inputs!$D$8-(A76-1),0)))-Inputs!$C$8/12))</f>
        <v/>
      </c>
      <c r="S76" s="2">
        <f>(O76-P76-R76)*Inputs!$B$32</f>
        <v/>
      </c>
      <c r="T76" s="2">
        <f>O76-P76-R76-S76</f>
        <v/>
      </c>
      <c r="U76" s="2">
        <f>Z75</f>
        <v/>
      </c>
      <c r="V76" s="2">
        <f>U76*Inputs!$B$33</f>
        <v/>
      </c>
      <c r="W76" s="2">
        <f>(U76-V76)*Inputs!$C$9/12</f>
        <v/>
      </c>
      <c r="X76" s="2">
        <f>IF(MAX(Inputs!$D$9-(A76-1),0)&lt;=0,0,(U76-V76)*((Inputs!$C$9/12)/(1-(1+Inputs!$C$9/12)^(-MAX(Inputs!$D$9-(A76-1),0)))-Inputs!$C$9/12))</f>
        <v/>
      </c>
      <c r="Y76" s="2">
        <f>(U76-V76-X76)*Inputs!$B$32</f>
        <v/>
      </c>
      <c r="Z76" s="2">
        <f>U76-V76-X76-Y76</f>
        <v/>
      </c>
      <c r="AA76" s="2">
        <f>AF75</f>
        <v/>
      </c>
      <c r="AB76" s="2">
        <f>AA76*Inputs!$B$33</f>
        <v/>
      </c>
      <c r="AC76" s="2">
        <f>(AA76-AB76)*Inputs!$C$10/12</f>
        <v/>
      </c>
      <c r="AD76" s="2">
        <f>IF(MAX(Inputs!$D$10-(A76-1),0)&lt;=0,0,(AA76-AB76)*((Inputs!$C$10/12)/(1-(1+Inputs!$C$10/12)^(-MAX(Inputs!$D$10-(A76-1),0)))-Inputs!$C$10/12))</f>
        <v/>
      </c>
      <c r="AE76" s="2">
        <f>(AA76-AB76-AD76)*Inputs!$B$32</f>
        <v/>
      </c>
      <c r="AF76" s="2">
        <f>AA76-AB76-AD76-AE76</f>
        <v/>
      </c>
      <c r="AG76" s="2">
        <f>AL75</f>
        <v/>
      </c>
      <c r="AH76" s="2">
        <f>AG76*Inputs!$B$33</f>
        <v/>
      </c>
      <c r="AI76" s="2">
        <f>(AG76-AH76)*Inputs!$C$11/12</f>
        <v/>
      </c>
      <c r="AJ76" s="2">
        <f>IF(MAX(Inputs!$D$11-(A76-1),0)&lt;=0,0,(AG76-AH76)*((Inputs!$C$11/12)/(1-(1+Inputs!$C$11/12)^(-MAX(Inputs!$D$11-(A76-1),0)))-Inputs!$C$11/12))</f>
        <v/>
      </c>
      <c r="AK76" s="2">
        <f>(AG76-AH76-AJ76)*Inputs!$B$32</f>
        <v/>
      </c>
      <c r="AL76" s="2">
        <f>AG76-AH76-AJ76-AK76</f>
        <v/>
      </c>
      <c r="AM76" s="2">
        <f>AR75</f>
        <v/>
      </c>
      <c r="AN76" s="2">
        <f>AM76*Inputs!$B$33</f>
        <v/>
      </c>
      <c r="AO76" s="2">
        <f>(AM76-AN76)*Inputs!$C$12/12</f>
        <v/>
      </c>
      <c r="AP76" s="2">
        <f>IF(MAX(Inputs!$D$12-(A76-1),0)&lt;=0,0,(AM76-AN76)*((Inputs!$C$12/12)/(1-(1+Inputs!$C$12/12)^(-MAX(Inputs!$D$12-(A76-1),0)))-Inputs!$C$12/12))</f>
        <v/>
      </c>
      <c r="AQ76" s="2">
        <f>(AM76-AN76-AP76)*Inputs!$B$32</f>
        <v/>
      </c>
      <c r="AR76" s="2">
        <f>AM76-AN76-AP76-AQ76</f>
        <v/>
      </c>
      <c r="AS76" s="2">
        <f>AX75</f>
        <v/>
      </c>
      <c r="AT76" s="2">
        <f>AS76*Inputs!$B$33</f>
        <v/>
      </c>
      <c r="AU76" s="2">
        <f>(AS76-AT76)*Inputs!$C$13/12</f>
        <v/>
      </c>
      <c r="AV76" s="2">
        <f>IF(MAX(Inputs!$D$13-(A76-1),0)&lt;=0,0,(AS76-AT76)*((Inputs!$C$13/12)/(1-(1+Inputs!$C$13/12)^(-MAX(Inputs!$D$13-(A76-1),0)))-Inputs!$C$13/12))</f>
        <v/>
      </c>
      <c r="AW76" s="2">
        <f>(AS76-AT76-AV76)*Inputs!$B$32</f>
        <v/>
      </c>
      <c r="AX76" s="2">
        <f>AS76-AT76-AV76-AW76</f>
        <v/>
      </c>
      <c r="AY76" s="2">
        <f>BD75</f>
        <v/>
      </c>
      <c r="AZ76" s="2">
        <f>AY76*Inputs!$B$33</f>
        <v/>
      </c>
      <c r="BA76" s="2">
        <f>(AY76-AZ76)*Inputs!$C$14/12</f>
        <v/>
      </c>
      <c r="BB76" s="2">
        <f>IF(MAX(Inputs!$D$14-(A76-1),0)&lt;=0,0,(AY76-AZ76)*((Inputs!$C$14/12)/(1-(1+Inputs!$C$14/12)^(-MAX(Inputs!$D$14-(A76-1),0)))-Inputs!$C$14/12))</f>
        <v/>
      </c>
      <c r="BC76" s="2">
        <f>(AY76-AZ76-BB76)*Inputs!$B$32</f>
        <v/>
      </c>
      <c r="BD76" s="2">
        <f>AY76-AZ76-BB76-BC76</f>
        <v/>
      </c>
      <c r="BE76" s="2">
        <f>BJ75</f>
        <v/>
      </c>
      <c r="BF76" s="2">
        <f>BE76*Inputs!$B$33</f>
        <v/>
      </c>
      <c r="BG76" s="2">
        <f>(BE76-BF76)*Inputs!$C$15/12</f>
        <v/>
      </c>
      <c r="BH76" s="2">
        <f>IF(MAX(Inputs!$D$15-(A76-1),0)&lt;=0,0,(BE76-BF76)*((Inputs!$C$15/12)/(1-(1+Inputs!$C$15/12)^(-MAX(Inputs!$D$15-(A76-1),0)))-Inputs!$C$15/12))</f>
        <v/>
      </c>
      <c r="BI76" s="2">
        <f>(BE76-BF76-BH76)*Inputs!$B$32</f>
        <v/>
      </c>
      <c r="BJ76" s="2">
        <f>BE76-BF76-BH76-BI76</f>
        <v/>
      </c>
      <c r="BK76" s="2">
        <f>C76+I76+O76+U76+AA76+AG76+AM76+AS76+AY76+BE76</f>
        <v/>
      </c>
      <c r="BL76" s="2">
        <f>D76+J76+P76+V76+AB76+AH76+AN76+AT76+AZ76+BF76</f>
        <v/>
      </c>
      <c r="BM76" s="2">
        <f>E76+K76+Q76+W76+AC76+AI76+AO76+AU76+BA76+BG76</f>
        <v/>
      </c>
      <c r="BN76" s="2">
        <f>F76+L76+R76+X76+AD76+AJ76+AP76+AV76+BB76+BH76</f>
        <v/>
      </c>
      <c r="BO76" s="2">
        <f>G76+M76+S76+Y76+AE76+AK76+AQ76+AW76+BC76+BI76</f>
        <v/>
      </c>
      <c r="BP76" s="2">
        <f>H76+N76+T76+Z76+AF76+AL76+AR76+AX76+BD76+BJ76</f>
        <v/>
      </c>
      <c r="BQ76" s="2">
        <f>IF(A76-Inputs!$B$30&gt;=1,INDEX($BL$5:$BL$101,A76-Inputs!$B$30+1)*(1-Inputs!$B$29),0)</f>
        <v/>
      </c>
      <c r="BR76" s="2">
        <f>BR75+BL76</f>
        <v/>
      </c>
      <c r="BS76" s="2">
        <f>BS75+BQ76</f>
        <v/>
      </c>
      <c r="BT76" s="2">
        <f>BR76*Inputs!$B$29</f>
        <v/>
      </c>
      <c r="BU76" s="2">
        <f>BR76*(1-Inputs!$B$29)-BS76</f>
        <v/>
      </c>
      <c r="BV76" s="2">
        <f>BP76+BU76</f>
        <v/>
      </c>
      <c r="BW76" s="2">
        <f>BM76+BN76+BO76+BQ76</f>
        <v/>
      </c>
      <c r="BX76" s="8">
        <f>BK76-BL76-BN76-BO76-BP76</f>
        <v/>
      </c>
    </row>
    <row r="77">
      <c r="A77" s="7" t="n">
        <v>72</v>
      </c>
      <c r="B77" s="3">
        <f>Inputs!$B$36+(Inputs!$B$37-Inputs!$B$36)*(1-EXP(-A77/Inputs!$B$38))+Inputs!$B$31/10000</f>
        <v/>
      </c>
      <c r="C77" s="2">
        <f>H76</f>
        <v/>
      </c>
      <c r="D77" s="2">
        <f>C77*Inputs!$B$33</f>
        <v/>
      </c>
      <c r="E77" s="2">
        <f>(C77-D77)*Inputs!$C$6/12</f>
        <v/>
      </c>
      <c r="F77" s="2">
        <f>IF(MAX(Inputs!$D$6-(A77-1),0)&lt;=0,0,(C77-D77)*((Inputs!$C$6/12)/(1-(1+Inputs!$C$6/12)^(-MAX(Inputs!$D$6-(A77-1),0)))-Inputs!$C$6/12))</f>
        <v/>
      </c>
      <c r="G77" s="2">
        <f>(C77-D77-F77)*Inputs!$B$32</f>
        <v/>
      </c>
      <c r="H77" s="2">
        <f>C77-D77-F77-G77</f>
        <v/>
      </c>
      <c r="I77" s="2">
        <f>N76</f>
        <v/>
      </c>
      <c r="J77" s="2">
        <f>I77*Inputs!$B$33</f>
        <v/>
      </c>
      <c r="K77" s="2">
        <f>(I77-J77)*Inputs!$C$7/12</f>
        <v/>
      </c>
      <c r="L77" s="2">
        <f>IF(MAX(Inputs!$D$7-(A77-1),0)&lt;=0,0,(I77-J77)*((Inputs!$C$7/12)/(1-(1+Inputs!$C$7/12)^(-MAX(Inputs!$D$7-(A77-1),0)))-Inputs!$C$7/12))</f>
        <v/>
      </c>
      <c r="M77" s="2">
        <f>(I77-J77-L77)*Inputs!$B$32</f>
        <v/>
      </c>
      <c r="N77" s="2">
        <f>I77-J77-L77-M77</f>
        <v/>
      </c>
      <c r="O77" s="2">
        <f>T76</f>
        <v/>
      </c>
      <c r="P77" s="2">
        <f>O77*Inputs!$B$33</f>
        <v/>
      </c>
      <c r="Q77" s="2">
        <f>(O77-P77)*Inputs!$C$8/12</f>
        <v/>
      </c>
      <c r="R77" s="2">
        <f>IF(MAX(Inputs!$D$8-(A77-1),0)&lt;=0,0,(O77-P77)*((Inputs!$C$8/12)/(1-(1+Inputs!$C$8/12)^(-MAX(Inputs!$D$8-(A77-1),0)))-Inputs!$C$8/12))</f>
        <v/>
      </c>
      <c r="S77" s="2">
        <f>(O77-P77-R77)*Inputs!$B$32</f>
        <v/>
      </c>
      <c r="T77" s="2">
        <f>O77-P77-R77-S77</f>
        <v/>
      </c>
      <c r="U77" s="2">
        <f>Z76</f>
        <v/>
      </c>
      <c r="V77" s="2">
        <f>U77*Inputs!$B$33</f>
        <v/>
      </c>
      <c r="W77" s="2">
        <f>(U77-V77)*Inputs!$C$9/12</f>
        <v/>
      </c>
      <c r="X77" s="2">
        <f>IF(MAX(Inputs!$D$9-(A77-1),0)&lt;=0,0,(U77-V77)*((Inputs!$C$9/12)/(1-(1+Inputs!$C$9/12)^(-MAX(Inputs!$D$9-(A77-1),0)))-Inputs!$C$9/12))</f>
        <v/>
      </c>
      <c r="Y77" s="2">
        <f>(U77-V77-X77)*Inputs!$B$32</f>
        <v/>
      </c>
      <c r="Z77" s="2">
        <f>U77-V77-X77-Y77</f>
        <v/>
      </c>
      <c r="AA77" s="2">
        <f>AF76</f>
        <v/>
      </c>
      <c r="AB77" s="2">
        <f>AA77*Inputs!$B$33</f>
        <v/>
      </c>
      <c r="AC77" s="2">
        <f>(AA77-AB77)*Inputs!$C$10/12</f>
        <v/>
      </c>
      <c r="AD77" s="2">
        <f>IF(MAX(Inputs!$D$10-(A77-1),0)&lt;=0,0,(AA77-AB77)*((Inputs!$C$10/12)/(1-(1+Inputs!$C$10/12)^(-MAX(Inputs!$D$10-(A77-1),0)))-Inputs!$C$10/12))</f>
        <v/>
      </c>
      <c r="AE77" s="2">
        <f>(AA77-AB77-AD77)*Inputs!$B$32</f>
        <v/>
      </c>
      <c r="AF77" s="2">
        <f>AA77-AB77-AD77-AE77</f>
        <v/>
      </c>
      <c r="AG77" s="2">
        <f>AL76</f>
        <v/>
      </c>
      <c r="AH77" s="2">
        <f>AG77*Inputs!$B$33</f>
        <v/>
      </c>
      <c r="AI77" s="2">
        <f>(AG77-AH77)*Inputs!$C$11/12</f>
        <v/>
      </c>
      <c r="AJ77" s="2">
        <f>IF(MAX(Inputs!$D$11-(A77-1),0)&lt;=0,0,(AG77-AH77)*((Inputs!$C$11/12)/(1-(1+Inputs!$C$11/12)^(-MAX(Inputs!$D$11-(A77-1),0)))-Inputs!$C$11/12))</f>
        <v/>
      </c>
      <c r="AK77" s="2">
        <f>(AG77-AH77-AJ77)*Inputs!$B$32</f>
        <v/>
      </c>
      <c r="AL77" s="2">
        <f>AG77-AH77-AJ77-AK77</f>
        <v/>
      </c>
      <c r="AM77" s="2">
        <f>AR76</f>
        <v/>
      </c>
      <c r="AN77" s="2">
        <f>AM77*Inputs!$B$33</f>
        <v/>
      </c>
      <c r="AO77" s="2">
        <f>(AM77-AN77)*Inputs!$C$12/12</f>
        <v/>
      </c>
      <c r="AP77" s="2">
        <f>IF(MAX(Inputs!$D$12-(A77-1),0)&lt;=0,0,(AM77-AN77)*((Inputs!$C$12/12)/(1-(1+Inputs!$C$12/12)^(-MAX(Inputs!$D$12-(A77-1),0)))-Inputs!$C$12/12))</f>
        <v/>
      </c>
      <c r="AQ77" s="2">
        <f>(AM77-AN77-AP77)*Inputs!$B$32</f>
        <v/>
      </c>
      <c r="AR77" s="2">
        <f>AM77-AN77-AP77-AQ77</f>
        <v/>
      </c>
      <c r="AS77" s="2">
        <f>AX76</f>
        <v/>
      </c>
      <c r="AT77" s="2">
        <f>AS77*Inputs!$B$33</f>
        <v/>
      </c>
      <c r="AU77" s="2">
        <f>(AS77-AT77)*Inputs!$C$13/12</f>
        <v/>
      </c>
      <c r="AV77" s="2">
        <f>IF(MAX(Inputs!$D$13-(A77-1),0)&lt;=0,0,(AS77-AT77)*((Inputs!$C$13/12)/(1-(1+Inputs!$C$13/12)^(-MAX(Inputs!$D$13-(A77-1),0)))-Inputs!$C$13/12))</f>
        <v/>
      </c>
      <c r="AW77" s="2">
        <f>(AS77-AT77-AV77)*Inputs!$B$32</f>
        <v/>
      </c>
      <c r="AX77" s="2">
        <f>AS77-AT77-AV77-AW77</f>
        <v/>
      </c>
      <c r="AY77" s="2">
        <f>BD76</f>
        <v/>
      </c>
      <c r="AZ77" s="2">
        <f>AY77*Inputs!$B$33</f>
        <v/>
      </c>
      <c r="BA77" s="2">
        <f>(AY77-AZ77)*Inputs!$C$14/12</f>
        <v/>
      </c>
      <c r="BB77" s="2">
        <f>IF(MAX(Inputs!$D$14-(A77-1),0)&lt;=0,0,(AY77-AZ77)*((Inputs!$C$14/12)/(1-(1+Inputs!$C$14/12)^(-MAX(Inputs!$D$14-(A77-1),0)))-Inputs!$C$14/12))</f>
        <v/>
      </c>
      <c r="BC77" s="2">
        <f>(AY77-AZ77-BB77)*Inputs!$B$32</f>
        <v/>
      </c>
      <c r="BD77" s="2">
        <f>AY77-AZ77-BB77-BC77</f>
        <v/>
      </c>
      <c r="BE77" s="2">
        <f>BJ76</f>
        <v/>
      </c>
      <c r="BF77" s="2">
        <f>BE77*Inputs!$B$33</f>
        <v/>
      </c>
      <c r="BG77" s="2">
        <f>(BE77-BF77)*Inputs!$C$15/12</f>
        <v/>
      </c>
      <c r="BH77" s="2">
        <f>IF(MAX(Inputs!$D$15-(A77-1),0)&lt;=0,0,(BE77-BF77)*((Inputs!$C$15/12)/(1-(1+Inputs!$C$15/12)^(-MAX(Inputs!$D$15-(A77-1),0)))-Inputs!$C$15/12))</f>
        <v/>
      </c>
      <c r="BI77" s="2">
        <f>(BE77-BF77-BH77)*Inputs!$B$32</f>
        <v/>
      </c>
      <c r="BJ77" s="2">
        <f>BE77-BF77-BH77-BI77</f>
        <v/>
      </c>
      <c r="BK77" s="2">
        <f>C77+I77+O77+U77+AA77+AG77+AM77+AS77+AY77+BE77</f>
        <v/>
      </c>
      <c r="BL77" s="2">
        <f>D77+J77+P77+V77+AB77+AH77+AN77+AT77+AZ77+BF77</f>
        <v/>
      </c>
      <c r="BM77" s="2">
        <f>E77+K77+Q77+W77+AC77+AI77+AO77+AU77+BA77+BG77</f>
        <v/>
      </c>
      <c r="BN77" s="2">
        <f>F77+L77+R77+X77+AD77+AJ77+AP77+AV77+BB77+BH77</f>
        <v/>
      </c>
      <c r="BO77" s="2">
        <f>G77+M77+S77+Y77+AE77+AK77+AQ77+AW77+BC77+BI77</f>
        <v/>
      </c>
      <c r="BP77" s="2">
        <f>H77+N77+T77+Z77+AF77+AL77+AR77+AX77+BD77+BJ77</f>
        <v/>
      </c>
      <c r="BQ77" s="2">
        <f>IF(A77-Inputs!$B$30&gt;=1,INDEX($BL$5:$BL$101,A77-Inputs!$B$30+1)*(1-Inputs!$B$29),0)</f>
        <v/>
      </c>
      <c r="BR77" s="2">
        <f>BR76+BL77</f>
        <v/>
      </c>
      <c r="BS77" s="2">
        <f>BS76+BQ77</f>
        <v/>
      </c>
      <c r="BT77" s="2">
        <f>BR77*Inputs!$B$29</f>
        <v/>
      </c>
      <c r="BU77" s="2">
        <f>BR77*(1-Inputs!$B$29)-BS77</f>
        <v/>
      </c>
      <c r="BV77" s="2">
        <f>BP77+BU77</f>
        <v/>
      </c>
      <c r="BW77" s="2">
        <f>BM77+BN77+BO77+BQ77</f>
        <v/>
      </c>
      <c r="BX77" s="8">
        <f>BK77-BL77-BN77-BO77-BP77</f>
        <v/>
      </c>
    </row>
    <row r="78">
      <c r="A78" s="7" t="n">
        <v>73</v>
      </c>
      <c r="B78" s="3">
        <f>Inputs!$B$36+(Inputs!$B$37-Inputs!$B$36)*(1-EXP(-A78/Inputs!$B$38))+Inputs!$B$31/10000</f>
        <v/>
      </c>
      <c r="C78" s="2">
        <f>H77</f>
        <v/>
      </c>
      <c r="D78" s="2">
        <f>C78*Inputs!$B$33</f>
        <v/>
      </c>
      <c r="E78" s="2">
        <f>(C78-D78)*Inputs!$C$6/12</f>
        <v/>
      </c>
      <c r="F78" s="2">
        <f>IF(MAX(Inputs!$D$6-(A78-1),0)&lt;=0,0,(C78-D78)*((Inputs!$C$6/12)/(1-(1+Inputs!$C$6/12)^(-MAX(Inputs!$D$6-(A78-1),0)))-Inputs!$C$6/12))</f>
        <v/>
      </c>
      <c r="G78" s="2">
        <f>(C78-D78-F78)*Inputs!$B$32</f>
        <v/>
      </c>
      <c r="H78" s="2">
        <f>C78-D78-F78-G78</f>
        <v/>
      </c>
      <c r="I78" s="2">
        <f>N77</f>
        <v/>
      </c>
      <c r="J78" s="2">
        <f>I78*Inputs!$B$33</f>
        <v/>
      </c>
      <c r="K78" s="2">
        <f>(I78-J78)*Inputs!$C$7/12</f>
        <v/>
      </c>
      <c r="L78" s="2">
        <f>IF(MAX(Inputs!$D$7-(A78-1),0)&lt;=0,0,(I78-J78)*((Inputs!$C$7/12)/(1-(1+Inputs!$C$7/12)^(-MAX(Inputs!$D$7-(A78-1),0)))-Inputs!$C$7/12))</f>
        <v/>
      </c>
      <c r="M78" s="2">
        <f>(I78-J78-L78)*Inputs!$B$32</f>
        <v/>
      </c>
      <c r="N78" s="2">
        <f>I78-J78-L78-M78</f>
        <v/>
      </c>
      <c r="O78" s="2">
        <f>T77</f>
        <v/>
      </c>
      <c r="P78" s="2">
        <f>O78*Inputs!$B$33</f>
        <v/>
      </c>
      <c r="Q78" s="2">
        <f>(O78-P78)*Inputs!$C$8/12</f>
        <v/>
      </c>
      <c r="R78" s="2">
        <f>IF(MAX(Inputs!$D$8-(A78-1),0)&lt;=0,0,(O78-P78)*((Inputs!$C$8/12)/(1-(1+Inputs!$C$8/12)^(-MAX(Inputs!$D$8-(A78-1),0)))-Inputs!$C$8/12))</f>
        <v/>
      </c>
      <c r="S78" s="2">
        <f>(O78-P78-R78)*Inputs!$B$32</f>
        <v/>
      </c>
      <c r="T78" s="2">
        <f>O78-P78-R78-S78</f>
        <v/>
      </c>
      <c r="U78" s="2">
        <f>Z77</f>
        <v/>
      </c>
      <c r="V78" s="2">
        <f>U78*Inputs!$B$33</f>
        <v/>
      </c>
      <c r="W78" s="2">
        <f>(U78-V78)*Inputs!$C$9/12</f>
        <v/>
      </c>
      <c r="X78" s="2">
        <f>IF(MAX(Inputs!$D$9-(A78-1),0)&lt;=0,0,(U78-V78)*((Inputs!$C$9/12)/(1-(1+Inputs!$C$9/12)^(-MAX(Inputs!$D$9-(A78-1),0)))-Inputs!$C$9/12))</f>
        <v/>
      </c>
      <c r="Y78" s="2">
        <f>(U78-V78-X78)*Inputs!$B$32</f>
        <v/>
      </c>
      <c r="Z78" s="2">
        <f>U78-V78-X78-Y78</f>
        <v/>
      </c>
      <c r="AA78" s="2">
        <f>AF77</f>
        <v/>
      </c>
      <c r="AB78" s="2">
        <f>AA78*Inputs!$B$33</f>
        <v/>
      </c>
      <c r="AC78" s="2">
        <f>(AA78-AB78)*Inputs!$C$10/12</f>
        <v/>
      </c>
      <c r="AD78" s="2">
        <f>IF(MAX(Inputs!$D$10-(A78-1),0)&lt;=0,0,(AA78-AB78)*((Inputs!$C$10/12)/(1-(1+Inputs!$C$10/12)^(-MAX(Inputs!$D$10-(A78-1),0)))-Inputs!$C$10/12))</f>
        <v/>
      </c>
      <c r="AE78" s="2">
        <f>(AA78-AB78-AD78)*Inputs!$B$32</f>
        <v/>
      </c>
      <c r="AF78" s="2">
        <f>AA78-AB78-AD78-AE78</f>
        <v/>
      </c>
      <c r="AG78" s="2">
        <f>AL77</f>
        <v/>
      </c>
      <c r="AH78" s="2">
        <f>AG78*Inputs!$B$33</f>
        <v/>
      </c>
      <c r="AI78" s="2">
        <f>(AG78-AH78)*Inputs!$C$11/12</f>
        <v/>
      </c>
      <c r="AJ78" s="2">
        <f>IF(MAX(Inputs!$D$11-(A78-1),0)&lt;=0,0,(AG78-AH78)*((Inputs!$C$11/12)/(1-(1+Inputs!$C$11/12)^(-MAX(Inputs!$D$11-(A78-1),0)))-Inputs!$C$11/12))</f>
        <v/>
      </c>
      <c r="AK78" s="2">
        <f>(AG78-AH78-AJ78)*Inputs!$B$32</f>
        <v/>
      </c>
      <c r="AL78" s="2">
        <f>AG78-AH78-AJ78-AK78</f>
        <v/>
      </c>
      <c r="AM78" s="2">
        <f>AR77</f>
        <v/>
      </c>
      <c r="AN78" s="2">
        <f>AM78*Inputs!$B$33</f>
        <v/>
      </c>
      <c r="AO78" s="2">
        <f>(AM78-AN78)*Inputs!$C$12/12</f>
        <v/>
      </c>
      <c r="AP78" s="2">
        <f>IF(MAX(Inputs!$D$12-(A78-1),0)&lt;=0,0,(AM78-AN78)*((Inputs!$C$12/12)/(1-(1+Inputs!$C$12/12)^(-MAX(Inputs!$D$12-(A78-1),0)))-Inputs!$C$12/12))</f>
        <v/>
      </c>
      <c r="AQ78" s="2">
        <f>(AM78-AN78-AP78)*Inputs!$B$32</f>
        <v/>
      </c>
      <c r="AR78" s="2">
        <f>AM78-AN78-AP78-AQ78</f>
        <v/>
      </c>
      <c r="AS78" s="2">
        <f>AX77</f>
        <v/>
      </c>
      <c r="AT78" s="2">
        <f>AS78*Inputs!$B$33</f>
        <v/>
      </c>
      <c r="AU78" s="2">
        <f>(AS78-AT78)*Inputs!$C$13/12</f>
        <v/>
      </c>
      <c r="AV78" s="2">
        <f>IF(MAX(Inputs!$D$13-(A78-1),0)&lt;=0,0,(AS78-AT78)*((Inputs!$C$13/12)/(1-(1+Inputs!$C$13/12)^(-MAX(Inputs!$D$13-(A78-1),0)))-Inputs!$C$13/12))</f>
        <v/>
      </c>
      <c r="AW78" s="2">
        <f>(AS78-AT78-AV78)*Inputs!$B$32</f>
        <v/>
      </c>
      <c r="AX78" s="2">
        <f>AS78-AT78-AV78-AW78</f>
        <v/>
      </c>
      <c r="AY78" s="2">
        <f>BD77</f>
        <v/>
      </c>
      <c r="AZ78" s="2">
        <f>AY78*Inputs!$B$33</f>
        <v/>
      </c>
      <c r="BA78" s="2">
        <f>(AY78-AZ78)*Inputs!$C$14/12</f>
        <v/>
      </c>
      <c r="BB78" s="2">
        <f>IF(MAX(Inputs!$D$14-(A78-1),0)&lt;=0,0,(AY78-AZ78)*((Inputs!$C$14/12)/(1-(1+Inputs!$C$14/12)^(-MAX(Inputs!$D$14-(A78-1),0)))-Inputs!$C$14/12))</f>
        <v/>
      </c>
      <c r="BC78" s="2">
        <f>(AY78-AZ78-BB78)*Inputs!$B$32</f>
        <v/>
      </c>
      <c r="BD78" s="2">
        <f>AY78-AZ78-BB78-BC78</f>
        <v/>
      </c>
      <c r="BE78" s="2">
        <f>BJ77</f>
        <v/>
      </c>
      <c r="BF78" s="2">
        <f>BE78*Inputs!$B$33</f>
        <v/>
      </c>
      <c r="BG78" s="2">
        <f>(BE78-BF78)*Inputs!$C$15/12</f>
        <v/>
      </c>
      <c r="BH78" s="2">
        <f>IF(MAX(Inputs!$D$15-(A78-1),0)&lt;=0,0,(BE78-BF78)*((Inputs!$C$15/12)/(1-(1+Inputs!$C$15/12)^(-MAX(Inputs!$D$15-(A78-1),0)))-Inputs!$C$15/12))</f>
        <v/>
      </c>
      <c r="BI78" s="2">
        <f>(BE78-BF78-BH78)*Inputs!$B$32</f>
        <v/>
      </c>
      <c r="BJ78" s="2">
        <f>BE78-BF78-BH78-BI78</f>
        <v/>
      </c>
      <c r="BK78" s="2">
        <f>C78+I78+O78+U78+AA78+AG78+AM78+AS78+AY78+BE78</f>
        <v/>
      </c>
      <c r="BL78" s="2">
        <f>D78+J78+P78+V78+AB78+AH78+AN78+AT78+AZ78+BF78</f>
        <v/>
      </c>
      <c r="BM78" s="2">
        <f>E78+K78+Q78+W78+AC78+AI78+AO78+AU78+BA78+BG78</f>
        <v/>
      </c>
      <c r="BN78" s="2">
        <f>F78+L78+R78+X78+AD78+AJ78+AP78+AV78+BB78+BH78</f>
        <v/>
      </c>
      <c r="BO78" s="2">
        <f>G78+M78+S78+Y78+AE78+AK78+AQ78+AW78+BC78+BI78</f>
        <v/>
      </c>
      <c r="BP78" s="2">
        <f>H78+N78+T78+Z78+AF78+AL78+AR78+AX78+BD78+BJ78</f>
        <v/>
      </c>
      <c r="BQ78" s="2">
        <f>IF(A78-Inputs!$B$30&gt;=1,INDEX($BL$5:$BL$101,A78-Inputs!$B$30+1)*(1-Inputs!$B$29),0)</f>
        <v/>
      </c>
      <c r="BR78" s="2">
        <f>BR77+BL78</f>
        <v/>
      </c>
      <c r="BS78" s="2">
        <f>BS77+BQ78</f>
        <v/>
      </c>
      <c r="BT78" s="2">
        <f>BR78*Inputs!$B$29</f>
        <v/>
      </c>
      <c r="BU78" s="2">
        <f>BR78*(1-Inputs!$B$29)-BS78</f>
        <v/>
      </c>
      <c r="BV78" s="2">
        <f>BP78+BU78</f>
        <v/>
      </c>
      <c r="BW78" s="2">
        <f>BM78+BN78+BO78+BQ78</f>
        <v/>
      </c>
      <c r="BX78" s="8">
        <f>BK78-BL78-BN78-BO78-BP78</f>
        <v/>
      </c>
    </row>
    <row r="79">
      <c r="A79" s="7" t="n">
        <v>74</v>
      </c>
      <c r="B79" s="3">
        <f>Inputs!$B$36+(Inputs!$B$37-Inputs!$B$36)*(1-EXP(-A79/Inputs!$B$38))+Inputs!$B$31/10000</f>
        <v/>
      </c>
      <c r="C79" s="2">
        <f>H78</f>
        <v/>
      </c>
      <c r="D79" s="2">
        <f>C79*Inputs!$B$33</f>
        <v/>
      </c>
      <c r="E79" s="2">
        <f>(C79-D79)*Inputs!$C$6/12</f>
        <v/>
      </c>
      <c r="F79" s="2">
        <f>IF(MAX(Inputs!$D$6-(A79-1),0)&lt;=0,0,(C79-D79)*((Inputs!$C$6/12)/(1-(1+Inputs!$C$6/12)^(-MAX(Inputs!$D$6-(A79-1),0)))-Inputs!$C$6/12))</f>
        <v/>
      </c>
      <c r="G79" s="2">
        <f>(C79-D79-F79)*Inputs!$B$32</f>
        <v/>
      </c>
      <c r="H79" s="2">
        <f>C79-D79-F79-G79</f>
        <v/>
      </c>
      <c r="I79" s="2">
        <f>N78</f>
        <v/>
      </c>
      <c r="J79" s="2">
        <f>I79*Inputs!$B$33</f>
        <v/>
      </c>
      <c r="K79" s="2">
        <f>(I79-J79)*Inputs!$C$7/12</f>
        <v/>
      </c>
      <c r="L79" s="2">
        <f>IF(MAX(Inputs!$D$7-(A79-1),0)&lt;=0,0,(I79-J79)*((Inputs!$C$7/12)/(1-(1+Inputs!$C$7/12)^(-MAX(Inputs!$D$7-(A79-1),0)))-Inputs!$C$7/12))</f>
        <v/>
      </c>
      <c r="M79" s="2">
        <f>(I79-J79-L79)*Inputs!$B$32</f>
        <v/>
      </c>
      <c r="N79" s="2">
        <f>I79-J79-L79-M79</f>
        <v/>
      </c>
      <c r="O79" s="2">
        <f>T78</f>
        <v/>
      </c>
      <c r="P79" s="2">
        <f>O79*Inputs!$B$33</f>
        <v/>
      </c>
      <c r="Q79" s="2">
        <f>(O79-P79)*Inputs!$C$8/12</f>
        <v/>
      </c>
      <c r="R79" s="2">
        <f>IF(MAX(Inputs!$D$8-(A79-1),0)&lt;=0,0,(O79-P79)*((Inputs!$C$8/12)/(1-(1+Inputs!$C$8/12)^(-MAX(Inputs!$D$8-(A79-1),0)))-Inputs!$C$8/12))</f>
        <v/>
      </c>
      <c r="S79" s="2">
        <f>(O79-P79-R79)*Inputs!$B$32</f>
        <v/>
      </c>
      <c r="T79" s="2">
        <f>O79-P79-R79-S79</f>
        <v/>
      </c>
      <c r="U79" s="2">
        <f>Z78</f>
        <v/>
      </c>
      <c r="V79" s="2">
        <f>U79*Inputs!$B$33</f>
        <v/>
      </c>
      <c r="W79" s="2">
        <f>(U79-V79)*Inputs!$C$9/12</f>
        <v/>
      </c>
      <c r="X79" s="2">
        <f>IF(MAX(Inputs!$D$9-(A79-1),0)&lt;=0,0,(U79-V79)*((Inputs!$C$9/12)/(1-(1+Inputs!$C$9/12)^(-MAX(Inputs!$D$9-(A79-1),0)))-Inputs!$C$9/12))</f>
        <v/>
      </c>
      <c r="Y79" s="2">
        <f>(U79-V79-X79)*Inputs!$B$32</f>
        <v/>
      </c>
      <c r="Z79" s="2">
        <f>U79-V79-X79-Y79</f>
        <v/>
      </c>
      <c r="AA79" s="2">
        <f>AF78</f>
        <v/>
      </c>
      <c r="AB79" s="2">
        <f>AA79*Inputs!$B$33</f>
        <v/>
      </c>
      <c r="AC79" s="2">
        <f>(AA79-AB79)*Inputs!$C$10/12</f>
        <v/>
      </c>
      <c r="AD79" s="2">
        <f>IF(MAX(Inputs!$D$10-(A79-1),0)&lt;=0,0,(AA79-AB79)*((Inputs!$C$10/12)/(1-(1+Inputs!$C$10/12)^(-MAX(Inputs!$D$10-(A79-1),0)))-Inputs!$C$10/12))</f>
        <v/>
      </c>
      <c r="AE79" s="2">
        <f>(AA79-AB79-AD79)*Inputs!$B$32</f>
        <v/>
      </c>
      <c r="AF79" s="2">
        <f>AA79-AB79-AD79-AE79</f>
        <v/>
      </c>
      <c r="AG79" s="2">
        <f>AL78</f>
        <v/>
      </c>
      <c r="AH79" s="2">
        <f>AG79*Inputs!$B$33</f>
        <v/>
      </c>
      <c r="AI79" s="2">
        <f>(AG79-AH79)*Inputs!$C$11/12</f>
        <v/>
      </c>
      <c r="AJ79" s="2">
        <f>IF(MAX(Inputs!$D$11-(A79-1),0)&lt;=0,0,(AG79-AH79)*((Inputs!$C$11/12)/(1-(1+Inputs!$C$11/12)^(-MAX(Inputs!$D$11-(A79-1),0)))-Inputs!$C$11/12))</f>
        <v/>
      </c>
      <c r="AK79" s="2">
        <f>(AG79-AH79-AJ79)*Inputs!$B$32</f>
        <v/>
      </c>
      <c r="AL79" s="2">
        <f>AG79-AH79-AJ79-AK79</f>
        <v/>
      </c>
      <c r="AM79" s="2">
        <f>AR78</f>
        <v/>
      </c>
      <c r="AN79" s="2">
        <f>AM79*Inputs!$B$33</f>
        <v/>
      </c>
      <c r="AO79" s="2">
        <f>(AM79-AN79)*Inputs!$C$12/12</f>
        <v/>
      </c>
      <c r="AP79" s="2">
        <f>IF(MAX(Inputs!$D$12-(A79-1),0)&lt;=0,0,(AM79-AN79)*((Inputs!$C$12/12)/(1-(1+Inputs!$C$12/12)^(-MAX(Inputs!$D$12-(A79-1),0)))-Inputs!$C$12/12))</f>
        <v/>
      </c>
      <c r="AQ79" s="2">
        <f>(AM79-AN79-AP79)*Inputs!$B$32</f>
        <v/>
      </c>
      <c r="AR79" s="2">
        <f>AM79-AN79-AP79-AQ79</f>
        <v/>
      </c>
      <c r="AS79" s="2">
        <f>AX78</f>
        <v/>
      </c>
      <c r="AT79" s="2">
        <f>AS79*Inputs!$B$33</f>
        <v/>
      </c>
      <c r="AU79" s="2">
        <f>(AS79-AT79)*Inputs!$C$13/12</f>
        <v/>
      </c>
      <c r="AV79" s="2">
        <f>IF(MAX(Inputs!$D$13-(A79-1),0)&lt;=0,0,(AS79-AT79)*((Inputs!$C$13/12)/(1-(1+Inputs!$C$13/12)^(-MAX(Inputs!$D$13-(A79-1),0)))-Inputs!$C$13/12))</f>
        <v/>
      </c>
      <c r="AW79" s="2">
        <f>(AS79-AT79-AV79)*Inputs!$B$32</f>
        <v/>
      </c>
      <c r="AX79" s="2">
        <f>AS79-AT79-AV79-AW79</f>
        <v/>
      </c>
      <c r="AY79" s="2">
        <f>BD78</f>
        <v/>
      </c>
      <c r="AZ79" s="2">
        <f>AY79*Inputs!$B$33</f>
        <v/>
      </c>
      <c r="BA79" s="2">
        <f>(AY79-AZ79)*Inputs!$C$14/12</f>
        <v/>
      </c>
      <c r="BB79" s="2">
        <f>IF(MAX(Inputs!$D$14-(A79-1),0)&lt;=0,0,(AY79-AZ79)*((Inputs!$C$14/12)/(1-(1+Inputs!$C$14/12)^(-MAX(Inputs!$D$14-(A79-1),0)))-Inputs!$C$14/12))</f>
        <v/>
      </c>
      <c r="BC79" s="2">
        <f>(AY79-AZ79-BB79)*Inputs!$B$32</f>
        <v/>
      </c>
      <c r="BD79" s="2">
        <f>AY79-AZ79-BB79-BC79</f>
        <v/>
      </c>
      <c r="BE79" s="2">
        <f>BJ78</f>
        <v/>
      </c>
      <c r="BF79" s="2">
        <f>BE79*Inputs!$B$33</f>
        <v/>
      </c>
      <c r="BG79" s="2">
        <f>(BE79-BF79)*Inputs!$C$15/12</f>
        <v/>
      </c>
      <c r="BH79" s="2">
        <f>IF(MAX(Inputs!$D$15-(A79-1),0)&lt;=0,0,(BE79-BF79)*((Inputs!$C$15/12)/(1-(1+Inputs!$C$15/12)^(-MAX(Inputs!$D$15-(A79-1),0)))-Inputs!$C$15/12))</f>
        <v/>
      </c>
      <c r="BI79" s="2">
        <f>(BE79-BF79-BH79)*Inputs!$B$32</f>
        <v/>
      </c>
      <c r="BJ79" s="2">
        <f>BE79-BF79-BH79-BI79</f>
        <v/>
      </c>
      <c r="BK79" s="2">
        <f>C79+I79+O79+U79+AA79+AG79+AM79+AS79+AY79+BE79</f>
        <v/>
      </c>
      <c r="BL79" s="2">
        <f>D79+J79+P79+V79+AB79+AH79+AN79+AT79+AZ79+BF79</f>
        <v/>
      </c>
      <c r="BM79" s="2">
        <f>E79+K79+Q79+W79+AC79+AI79+AO79+AU79+BA79+BG79</f>
        <v/>
      </c>
      <c r="BN79" s="2">
        <f>F79+L79+R79+X79+AD79+AJ79+AP79+AV79+BB79+BH79</f>
        <v/>
      </c>
      <c r="BO79" s="2">
        <f>G79+M79+S79+Y79+AE79+AK79+AQ79+AW79+BC79+BI79</f>
        <v/>
      </c>
      <c r="BP79" s="2">
        <f>H79+N79+T79+Z79+AF79+AL79+AR79+AX79+BD79+BJ79</f>
        <v/>
      </c>
      <c r="BQ79" s="2">
        <f>IF(A79-Inputs!$B$30&gt;=1,INDEX($BL$5:$BL$101,A79-Inputs!$B$30+1)*(1-Inputs!$B$29),0)</f>
        <v/>
      </c>
      <c r="BR79" s="2">
        <f>BR78+BL79</f>
        <v/>
      </c>
      <c r="BS79" s="2">
        <f>BS78+BQ79</f>
        <v/>
      </c>
      <c r="BT79" s="2">
        <f>BR79*Inputs!$B$29</f>
        <v/>
      </c>
      <c r="BU79" s="2">
        <f>BR79*(1-Inputs!$B$29)-BS79</f>
        <v/>
      </c>
      <c r="BV79" s="2">
        <f>BP79+BU79</f>
        <v/>
      </c>
      <c r="BW79" s="2">
        <f>BM79+BN79+BO79+BQ79</f>
        <v/>
      </c>
      <c r="BX79" s="8">
        <f>BK79-BL79-BN79-BO79-BP79</f>
        <v/>
      </c>
    </row>
    <row r="80">
      <c r="A80" s="7" t="n">
        <v>75</v>
      </c>
      <c r="B80" s="3">
        <f>Inputs!$B$36+(Inputs!$B$37-Inputs!$B$36)*(1-EXP(-A80/Inputs!$B$38))+Inputs!$B$31/10000</f>
        <v/>
      </c>
      <c r="C80" s="2">
        <f>H79</f>
        <v/>
      </c>
      <c r="D80" s="2">
        <f>C80*Inputs!$B$33</f>
        <v/>
      </c>
      <c r="E80" s="2">
        <f>(C80-D80)*Inputs!$C$6/12</f>
        <v/>
      </c>
      <c r="F80" s="2">
        <f>IF(MAX(Inputs!$D$6-(A80-1),0)&lt;=0,0,(C80-D80)*((Inputs!$C$6/12)/(1-(1+Inputs!$C$6/12)^(-MAX(Inputs!$D$6-(A80-1),0)))-Inputs!$C$6/12))</f>
        <v/>
      </c>
      <c r="G80" s="2">
        <f>(C80-D80-F80)*Inputs!$B$32</f>
        <v/>
      </c>
      <c r="H80" s="2">
        <f>C80-D80-F80-G80</f>
        <v/>
      </c>
      <c r="I80" s="2">
        <f>N79</f>
        <v/>
      </c>
      <c r="J80" s="2">
        <f>I80*Inputs!$B$33</f>
        <v/>
      </c>
      <c r="K80" s="2">
        <f>(I80-J80)*Inputs!$C$7/12</f>
        <v/>
      </c>
      <c r="L80" s="2">
        <f>IF(MAX(Inputs!$D$7-(A80-1),0)&lt;=0,0,(I80-J80)*((Inputs!$C$7/12)/(1-(1+Inputs!$C$7/12)^(-MAX(Inputs!$D$7-(A80-1),0)))-Inputs!$C$7/12))</f>
        <v/>
      </c>
      <c r="M80" s="2">
        <f>(I80-J80-L80)*Inputs!$B$32</f>
        <v/>
      </c>
      <c r="N80" s="2">
        <f>I80-J80-L80-M80</f>
        <v/>
      </c>
      <c r="O80" s="2">
        <f>T79</f>
        <v/>
      </c>
      <c r="P80" s="2">
        <f>O80*Inputs!$B$33</f>
        <v/>
      </c>
      <c r="Q80" s="2">
        <f>(O80-P80)*Inputs!$C$8/12</f>
        <v/>
      </c>
      <c r="R80" s="2">
        <f>IF(MAX(Inputs!$D$8-(A80-1),0)&lt;=0,0,(O80-P80)*((Inputs!$C$8/12)/(1-(1+Inputs!$C$8/12)^(-MAX(Inputs!$D$8-(A80-1),0)))-Inputs!$C$8/12))</f>
        <v/>
      </c>
      <c r="S80" s="2">
        <f>(O80-P80-R80)*Inputs!$B$32</f>
        <v/>
      </c>
      <c r="T80" s="2">
        <f>O80-P80-R80-S80</f>
        <v/>
      </c>
      <c r="U80" s="2">
        <f>Z79</f>
        <v/>
      </c>
      <c r="V80" s="2">
        <f>U80*Inputs!$B$33</f>
        <v/>
      </c>
      <c r="W80" s="2">
        <f>(U80-V80)*Inputs!$C$9/12</f>
        <v/>
      </c>
      <c r="X80" s="2">
        <f>IF(MAX(Inputs!$D$9-(A80-1),0)&lt;=0,0,(U80-V80)*((Inputs!$C$9/12)/(1-(1+Inputs!$C$9/12)^(-MAX(Inputs!$D$9-(A80-1),0)))-Inputs!$C$9/12))</f>
        <v/>
      </c>
      <c r="Y80" s="2">
        <f>(U80-V80-X80)*Inputs!$B$32</f>
        <v/>
      </c>
      <c r="Z80" s="2">
        <f>U80-V80-X80-Y80</f>
        <v/>
      </c>
      <c r="AA80" s="2">
        <f>AF79</f>
        <v/>
      </c>
      <c r="AB80" s="2">
        <f>AA80*Inputs!$B$33</f>
        <v/>
      </c>
      <c r="AC80" s="2">
        <f>(AA80-AB80)*Inputs!$C$10/12</f>
        <v/>
      </c>
      <c r="AD80" s="2">
        <f>IF(MAX(Inputs!$D$10-(A80-1),0)&lt;=0,0,(AA80-AB80)*((Inputs!$C$10/12)/(1-(1+Inputs!$C$10/12)^(-MAX(Inputs!$D$10-(A80-1),0)))-Inputs!$C$10/12))</f>
        <v/>
      </c>
      <c r="AE80" s="2">
        <f>(AA80-AB80-AD80)*Inputs!$B$32</f>
        <v/>
      </c>
      <c r="AF80" s="2">
        <f>AA80-AB80-AD80-AE80</f>
        <v/>
      </c>
      <c r="AG80" s="2">
        <f>AL79</f>
        <v/>
      </c>
      <c r="AH80" s="2">
        <f>AG80*Inputs!$B$33</f>
        <v/>
      </c>
      <c r="AI80" s="2">
        <f>(AG80-AH80)*Inputs!$C$11/12</f>
        <v/>
      </c>
      <c r="AJ80" s="2">
        <f>IF(MAX(Inputs!$D$11-(A80-1),0)&lt;=0,0,(AG80-AH80)*((Inputs!$C$11/12)/(1-(1+Inputs!$C$11/12)^(-MAX(Inputs!$D$11-(A80-1),0)))-Inputs!$C$11/12))</f>
        <v/>
      </c>
      <c r="AK80" s="2">
        <f>(AG80-AH80-AJ80)*Inputs!$B$32</f>
        <v/>
      </c>
      <c r="AL80" s="2">
        <f>AG80-AH80-AJ80-AK80</f>
        <v/>
      </c>
      <c r="AM80" s="2">
        <f>AR79</f>
        <v/>
      </c>
      <c r="AN80" s="2">
        <f>AM80*Inputs!$B$33</f>
        <v/>
      </c>
      <c r="AO80" s="2">
        <f>(AM80-AN80)*Inputs!$C$12/12</f>
        <v/>
      </c>
      <c r="AP80" s="2">
        <f>IF(MAX(Inputs!$D$12-(A80-1),0)&lt;=0,0,(AM80-AN80)*((Inputs!$C$12/12)/(1-(1+Inputs!$C$12/12)^(-MAX(Inputs!$D$12-(A80-1),0)))-Inputs!$C$12/12))</f>
        <v/>
      </c>
      <c r="AQ80" s="2">
        <f>(AM80-AN80-AP80)*Inputs!$B$32</f>
        <v/>
      </c>
      <c r="AR80" s="2">
        <f>AM80-AN80-AP80-AQ80</f>
        <v/>
      </c>
      <c r="AS80" s="2">
        <f>AX79</f>
        <v/>
      </c>
      <c r="AT80" s="2">
        <f>AS80*Inputs!$B$33</f>
        <v/>
      </c>
      <c r="AU80" s="2">
        <f>(AS80-AT80)*Inputs!$C$13/12</f>
        <v/>
      </c>
      <c r="AV80" s="2">
        <f>IF(MAX(Inputs!$D$13-(A80-1),0)&lt;=0,0,(AS80-AT80)*((Inputs!$C$13/12)/(1-(1+Inputs!$C$13/12)^(-MAX(Inputs!$D$13-(A80-1),0)))-Inputs!$C$13/12))</f>
        <v/>
      </c>
      <c r="AW80" s="2">
        <f>(AS80-AT80-AV80)*Inputs!$B$32</f>
        <v/>
      </c>
      <c r="AX80" s="2">
        <f>AS80-AT80-AV80-AW80</f>
        <v/>
      </c>
      <c r="AY80" s="2">
        <f>BD79</f>
        <v/>
      </c>
      <c r="AZ80" s="2">
        <f>AY80*Inputs!$B$33</f>
        <v/>
      </c>
      <c r="BA80" s="2">
        <f>(AY80-AZ80)*Inputs!$C$14/12</f>
        <v/>
      </c>
      <c r="BB80" s="2">
        <f>IF(MAX(Inputs!$D$14-(A80-1),0)&lt;=0,0,(AY80-AZ80)*((Inputs!$C$14/12)/(1-(1+Inputs!$C$14/12)^(-MAX(Inputs!$D$14-(A80-1),0)))-Inputs!$C$14/12))</f>
        <v/>
      </c>
      <c r="BC80" s="2">
        <f>(AY80-AZ80-BB80)*Inputs!$B$32</f>
        <v/>
      </c>
      <c r="BD80" s="2">
        <f>AY80-AZ80-BB80-BC80</f>
        <v/>
      </c>
      <c r="BE80" s="2">
        <f>BJ79</f>
        <v/>
      </c>
      <c r="BF80" s="2">
        <f>BE80*Inputs!$B$33</f>
        <v/>
      </c>
      <c r="BG80" s="2">
        <f>(BE80-BF80)*Inputs!$C$15/12</f>
        <v/>
      </c>
      <c r="BH80" s="2">
        <f>IF(MAX(Inputs!$D$15-(A80-1),0)&lt;=0,0,(BE80-BF80)*((Inputs!$C$15/12)/(1-(1+Inputs!$C$15/12)^(-MAX(Inputs!$D$15-(A80-1),0)))-Inputs!$C$15/12))</f>
        <v/>
      </c>
      <c r="BI80" s="2">
        <f>(BE80-BF80-BH80)*Inputs!$B$32</f>
        <v/>
      </c>
      <c r="BJ80" s="2">
        <f>BE80-BF80-BH80-BI80</f>
        <v/>
      </c>
      <c r="BK80" s="2">
        <f>C80+I80+O80+U80+AA80+AG80+AM80+AS80+AY80+BE80</f>
        <v/>
      </c>
      <c r="BL80" s="2">
        <f>D80+J80+P80+V80+AB80+AH80+AN80+AT80+AZ80+BF80</f>
        <v/>
      </c>
      <c r="BM80" s="2">
        <f>E80+K80+Q80+W80+AC80+AI80+AO80+AU80+BA80+BG80</f>
        <v/>
      </c>
      <c r="BN80" s="2">
        <f>F80+L80+R80+X80+AD80+AJ80+AP80+AV80+BB80+BH80</f>
        <v/>
      </c>
      <c r="BO80" s="2">
        <f>G80+M80+S80+Y80+AE80+AK80+AQ80+AW80+BC80+BI80</f>
        <v/>
      </c>
      <c r="BP80" s="2">
        <f>H80+N80+T80+Z80+AF80+AL80+AR80+AX80+BD80+BJ80</f>
        <v/>
      </c>
      <c r="BQ80" s="2">
        <f>IF(A80-Inputs!$B$30&gt;=1,INDEX($BL$5:$BL$101,A80-Inputs!$B$30+1)*(1-Inputs!$B$29),0)</f>
        <v/>
      </c>
      <c r="BR80" s="2">
        <f>BR79+BL80</f>
        <v/>
      </c>
      <c r="BS80" s="2">
        <f>BS79+BQ80</f>
        <v/>
      </c>
      <c r="BT80" s="2">
        <f>BR80*Inputs!$B$29</f>
        <v/>
      </c>
      <c r="BU80" s="2">
        <f>BR80*(1-Inputs!$B$29)-BS80</f>
        <v/>
      </c>
      <c r="BV80" s="2">
        <f>BP80+BU80</f>
        <v/>
      </c>
      <c r="BW80" s="2">
        <f>BM80+BN80+BO80+BQ80</f>
        <v/>
      </c>
      <c r="BX80" s="8">
        <f>BK80-BL80-BN80-BO80-BP80</f>
        <v/>
      </c>
    </row>
    <row r="81">
      <c r="A81" s="7" t="n">
        <v>76</v>
      </c>
      <c r="B81" s="3">
        <f>Inputs!$B$36+(Inputs!$B$37-Inputs!$B$36)*(1-EXP(-A81/Inputs!$B$38))+Inputs!$B$31/10000</f>
        <v/>
      </c>
      <c r="C81" s="2">
        <f>H80</f>
        <v/>
      </c>
      <c r="D81" s="2">
        <f>C81*Inputs!$B$33</f>
        <v/>
      </c>
      <c r="E81" s="2">
        <f>(C81-D81)*Inputs!$C$6/12</f>
        <v/>
      </c>
      <c r="F81" s="2">
        <f>IF(MAX(Inputs!$D$6-(A81-1),0)&lt;=0,0,(C81-D81)*((Inputs!$C$6/12)/(1-(1+Inputs!$C$6/12)^(-MAX(Inputs!$D$6-(A81-1),0)))-Inputs!$C$6/12))</f>
        <v/>
      </c>
      <c r="G81" s="2">
        <f>(C81-D81-F81)*Inputs!$B$32</f>
        <v/>
      </c>
      <c r="H81" s="2">
        <f>C81-D81-F81-G81</f>
        <v/>
      </c>
      <c r="I81" s="2">
        <f>N80</f>
        <v/>
      </c>
      <c r="J81" s="2">
        <f>I81*Inputs!$B$33</f>
        <v/>
      </c>
      <c r="K81" s="2">
        <f>(I81-J81)*Inputs!$C$7/12</f>
        <v/>
      </c>
      <c r="L81" s="2">
        <f>IF(MAX(Inputs!$D$7-(A81-1),0)&lt;=0,0,(I81-J81)*((Inputs!$C$7/12)/(1-(1+Inputs!$C$7/12)^(-MAX(Inputs!$D$7-(A81-1),0)))-Inputs!$C$7/12))</f>
        <v/>
      </c>
      <c r="M81" s="2">
        <f>(I81-J81-L81)*Inputs!$B$32</f>
        <v/>
      </c>
      <c r="N81" s="2">
        <f>I81-J81-L81-M81</f>
        <v/>
      </c>
      <c r="O81" s="2">
        <f>T80</f>
        <v/>
      </c>
      <c r="P81" s="2">
        <f>O81*Inputs!$B$33</f>
        <v/>
      </c>
      <c r="Q81" s="2">
        <f>(O81-P81)*Inputs!$C$8/12</f>
        <v/>
      </c>
      <c r="R81" s="2">
        <f>IF(MAX(Inputs!$D$8-(A81-1),0)&lt;=0,0,(O81-P81)*((Inputs!$C$8/12)/(1-(1+Inputs!$C$8/12)^(-MAX(Inputs!$D$8-(A81-1),0)))-Inputs!$C$8/12))</f>
        <v/>
      </c>
      <c r="S81" s="2">
        <f>(O81-P81-R81)*Inputs!$B$32</f>
        <v/>
      </c>
      <c r="T81" s="2">
        <f>O81-P81-R81-S81</f>
        <v/>
      </c>
      <c r="U81" s="2">
        <f>Z80</f>
        <v/>
      </c>
      <c r="V81" s="2">
        <f>U81*Inputs!$B$33</f>
        <v/>
      </c>
      <c r="W81" s="2">
        <f>(U81-V81)*Inputs!$C$9/12</f>
        <v/>
      </c>
      <c r="X81" s="2">
        <f>IF(MAX(Inputs!$D$9-(A81-1),0)&lt;=0,0,(U81-V81)*((Inputs!$C$9/12)/(1-(1+Inputs!$C$9/12)^(-MAX(Inputs!$D$9-(A81-1),0)))-Inputs!$C$9/12))</f>
        <v/>
      </c>
      <c r="Y81" s="2">
        <f>(U81-V81-X81)*Inputs!$B$32</f>
        <v/>
      </c>
      <c r="Z81" s="2">
        <f>U81-V81-X81-Y81</f>
        <v/>
      </c>
      <c r="AA81" s="2">
        <f>AF80</f>
        <v/>
      </c>
      <c r="AB81" s="2">
        <f>AA81*Inputs!$B$33</f>
        <v/>
      </c>
      <c r="AC81" s="2">
        <f>(AA81-AB81)*Inputs!$C$10/12</f>
        <v/>
      </c>
      <c r="AD81" s="2">
        <f>IF(MAX(Inputs!$D$10-(A81-1),0)&lt;=0,0,(AA81-AB81)*((Inputs!$C$10/12)/(1-(1+Inputs!$C$10/12)^(-MAX(Inputs!$D$10-(A81-1),0)))-Inputs!$C$10/12))</f>
        <v/>
      </c>
      <c r="AE81" s="2">
        <f>(AA81-AB81-AD81)*Inputs!$B$32</f>
        <v/>
      </c>
      <c r="AF81" s="2">
        <f>AA81-AB81-AD81-AE81</f>
        <v/>
      </c>
      <c r="AG81" s="2">
        <f>AL80</f>
        <v/>
      </c>
      <c r="AH81" s="2">
        <f>AG81*Inputs!$B$33</f>
        <v/>
      </c>
      <c r="AI81" s="2">
        <f>(AG81-AH81)*Inputs!$C$11/12</f>
        <v/>
      </c>
      <c r="AJ81" s="2">
        <f>IF(MAX(Inputs!$D$11-(A81-1),0)&lt;=0,0,(AG81-AH81)*((Inputs!$C$11/12)/(1-(1+Inputs!$C$11/12)^(-MAX(Inputs!$D$11-(A81-1),0)))-Inputs!$C$11/12))</f>
        <v/>
      </c>
      <c r="AK81" s="2">
        <f>(AG81-AH81-AJ81)*Inputs!$B$32</f>
        <v/>
      </c>
      <c r="AL81" s="2">
        <f>AG81-AH81-AJ81-AK81</f>
        <v/>
      </c>
      <c r="AM81" s="2">
        <f>AR80</f>
        <v/>
      </c>
      <c r="AN81" s="2">
        <f>AM81*Inputs!$B$33</f>
        <v/>
      </c>
      <c r="AO81" s="2">
        <f>(AM81-AN81)*Inputs!$C$12/12</f>
        <v/>
      </c>
      <c r="AP81" s="2">
        <f>IF(MAX(Inputs!$D$12-(A81-1),0)&lt;=0,0,(AM81-AN81)*((Inputs!$C$12/12)/(1-(1+Inputs!$C$12/12)^(-MAX(Inputs!$D$12-(A81-1),0)))-Inputs!$C$12/12))</f>
        <v/>
      </c>
      <c r="AQ81" s="2">
        <f>(AM81-AN81-AP81)*Inputs!$B$32</f>
        <v/>
      </c>
      <c r="AR81" s="2">
        <f>AM81-AN81-AP81-AQ81</f>
        <v/>
      </c>
      <c r="AS81" s="2">
        <f>AX80</f>
        <v/>
      </c>
      <c r="AT81" s="2">
        <f>AS81*Inputs!$B$33</f>
        <v/>
      </c>
      <c r="AU81" s="2">
        <f>(AS81-AT81)*Inputs!$C$13/12</f>
        <v/>
      </c>
      <c r="AV81" s="2">
        <f>IF(MAX(Inputs!$D$13-(A81-1),0)&lt;=0,0,(AS81-AT81)*((Inputs!$C$13/12)/(1-(1+Inputs!$C$13/12)^(-MAX(Inputs!$D$13-(A81-1),0)))-Inputs!$C$13/12))</f>
        <v/>
      </c>
      <c r="AW81" s="2">
        <f>(AS81-AT81-AV81)*Inputs!$B$32</f>
        <v/>
      </c>
      <c r="AX81" s="2">
        <f>AS81-AT81-AV81-AW81</f>
        <v/>
      </c>
      <c r="AY81" s="2">
        <f>BD80</f>
        <v/>
      </c>
      <c r="AZ81" s="2">
        <f>AY81*Inputs!$B$33</f>
        <v/>
      </c>
      <c r="BA81" s="2">
        <f>(AY81-AZ81)*Inputs!$C$14/12</f>
        <v/>
      </c>
      <c r="BB81" s="2">
        <f>IF(MAX(Inputs!$D$14-(A81-1),0)&lt;=0,0,(AY81-AZ81)*((Inputs!$C$14/12)/(1-(1+Inputs!$C$14/12)^(-MAX(Inputs!$D$14-(A81-1),0)))-Inputs!$C$14/12))</f>
        <v/>
      </c>
      <c r="BC81" s="2">
        <f>(AY81-AZ81-BB81)*Inputs!$B$32</f>
        <v/>
      </c>
      <c r="BD81" s="2">
        <f>AY81-AZ81-BB81-BC81</f>
        <v/>
      </c>
      <c r="BE81" s="2">
        <f>BJ80</f>
        <v/>
      </c>
      <c r="BF81" s="2">
        <f>BE81*Inputs!$B$33</f>
        <v/>
      </c>
      <c r="BG81" s="2">
        <f>(BE81-BF81)*Inputs!$C$15/12</f>
        <v/>
      </c>
      <c r="BH81" s="2">
        <f>IF(MAX(Inputs!$D$15-(A81-1),0)&lt;=0,0,(BE81-BF81)*((Inputs!$C$15/12)/(1-(1+Inputs!$C$15/12)^(-MAX(Inputs!$D$15-(A81-1),0)))-Inputs!$C$15/12))</f>
        <v/>
      </c>
      <c r="BI81" s="2">
        <f>(BE81-BF81-BH81)*Inputs!$B$32</f>
        <v/>
      </c>
      <c r="BJ81" s="2">
        <f>BE81-BF81-BH81-BI81</f>
        <v/>
      </c>
      <c r="BK81" s="2">
        <f>C81+I81+O81+U81+AA81+AG81+AM81+AS81+AY81+BE81</f>
        <v/>
      </c>
      <c r="BL81" s="2">
        <f>D81+J81+P81+V81+AB81+AH81+AN81+AT81+AZ81+BF81</f>
        <v/>
      </c>
      <c r="BM81" s="2">
        <f>E81+K81+Q81+W81+AC81+AI81+AO81+AU81+BA81+BG81</f>
        <v/>
      </c>
      <c r="BN81" s="2">
        <f>F81+L81+R81+X81+AD81+AJ81+AP81+AV81+BB81+BH81</f>
        <v/>
      </c>
      <c r="BO81" s="2">
        <f>G81+M81+S81+Y81+AE81+AK81+AQ81+AW81+BC81+BI81</f>
        <v/>
      </c>
      <c r="BP81" s="2">
        <f>H81+N81+T81+Z81+AF81+AL81+AR81+AX81+BD81+BJ81</f>
        <v/>
      </c>
      <c r="BQ81" s="2">
        <f>IF(A81-Inputs!$B$30&gt;=1,INDEX($BL$5:$BL$101,A81-Inputs!$B$30+1)*(1-Inputs!$B$29),0)</f>
        <v/>
      </c>
      <c r="BR81" s="2">
        <f>BR80+BL81</f>
        <v/>
      </c>
      <c r="BS81" s="2">
        <f>BS80+BQ81</f>
        <v/>
      </c>
      <c r="BT81" s="2">
        <f>BR81*Inputs!$B$29</f>
        <v/>
      </c>
      <c r="BU81" s="2">
        <f>BR81*(1-Inputs!$B$29)-BS81</f>
        <v/>
      </c>
      <c r="BV81" s="2">
        <f>BP81+BU81</f>
        <v/>
      </c>
      <c r="BW81" s="2">
        <f>BM81+BN81+BO81+BQ81</f>
        <v/>
      </c>
      <c r="BX81" s="8">
        <f>BK81-BL81-BN81-BO81-BP81</f>
        <v/>
      </c>
    </row>
    <row r="82">
      <c r="A82" s="7" t="n">
        <v>77</v>
      </c>
      <c r="B82" s="3">
        <f>Inputs!$B$36+(Inputs!$B$37-Inputs!$B$36)*(1-EXP(-A82/Inputs!$B$38))+Inputs!$B$31/10000</f>
        <v/>
      </c>
      <c r="C82" s="2">
        <f>H81</f>
        <v/>
      </c>
      <c r="D82" s="2">
        <f>C82*Inputs!$B$33</f>
        <v/>
      </c>
      <c r="E82" s="2">
        <f>(C82-D82)*Inputs!$C$6/12</f>
        <v/>
      </c>
      <c r="F82" s="2">
        <f>IF(MAX(Inputs!$D$6-(A82-1),0)&lt;=0,0,(C82-D82)*((Inputs!$C$6/12)/(1-(1+Inputs!$C$6/12)^(-MAX(Inputs!$D$6-(A82-1),0)))-Inputs!$C$6/12))</f>
        <v/>
      </c>
      <c r="G82" s="2">
        <f>(C82-D82-F82)*Inputs!$B$32</f>
        <v/>
      </c>
      <c r="H82" s="2">
        <f>C82-D82-F82-G82</f>
        <v/>
      </c>
      <c r="I82" s="2">
        <f>N81</f>
        <v/>
      </c>
      <c r="J82" s="2">
        <f>I82*Inputs!$B$33</f>
        <v/>
      </c>
      <c r="K82" s="2">
        <f>(I82-J82)*Inputs!$C$7/12</f>
        <v/>
      </c>
      <c r="L82" s="2">
        <f>IF(MAX(Inputs!$D$7-(A82-1),0)&lt;=0,0,(I82-J82)*((Inputs!$C$7/12)/(1-(1+Inputs!$C$7/12)^(-MAX(Inputs!$D$7-(A82-1),0)))-Inputs!$C$7/12))</f>
        <v/>
      </c>
      <c r="M82" s="2">
        <f>(I82-J82-L82)*Inputs!$B$32</f>
        <v/>
      </c>
      <c r="N82" s="2">
        <f>I82-J82-L82-M82</f>
        <v/>
      </c>
      <c r="O82" s="2">
        <f>T81</f>
        <v/>
      </c>
      <c r="P82" s="2">
        <f>O82*Inputs!$B$33</f>
        <v/>
      </c>
      <c r="Q82" s="2">
        <f>(O82-P82)*Inputs!$C$8/12</f>
        <v/>
      </c>
      <c r="R82" s="2">
        <f>IF(MAX(Inputs!$D$8-(A82-1),0)&lt;=0,0,(O82-P82)*((Inputs!$C$8/12)/(1-(1+Inputs!$C$8/12)^(-MAX(Inputs!$D$8-(A82-1),0)))-Inputs!$C$8/12))</f>
        <v/>
      </c>
      <c r="S82" s="2">
        <f>(O82-P82-R82)*Inputs!$B$32</f>
        <v/>
      </c>
      <c r="T82" s="2">
        <f>O82-P82-R82-S82</f>
        <v/>
      </c>
      <c r="U82" s="2">
        <f>Z81</f>
        <v/>
      </c>
      <c r="V82" s="2">
        <f>U82*Inputs!$B$33</f>
        <v/>
      </c>
      <c r="W82" s="2">
        <f>(U82-V82)*Inputs!$C$9/12</f>
        <v/>
      </c>
      <c r="X82" s="2">
        <f>IF(MAX(Inputs!$D$9-(A82-1),0)&lt;=0,0,(U82-V82)*((Inputs!$C$9/12)/(1-(1+Inputs!$C$9/12)^(-MAX(Inputs!$D$9-(A82-1),0)))-Inputs!$C$9/12))</f>
        <v/>
      </c>
      <c r="Y82" s="2">
        <f>(U82-V82-X82)*Inputs!$B$32</f>
        <v/>
      </c>
      <c r="Z82" s="2">
        <f>U82-V82-X82-Y82</f>
        <v/>
      </c>
      <c r="AA82" s="2">
        <f>AF81</f>
        <v/>
      </c>
      <c r="AB82" s="2">
        <f>AA82*Inputs!$B$33</f>
        <v/>
      </c>
      <c r="AC82" s="2">
        <f>(AA82-AB82)*Inputs!$C$10/12</f>
        <v/>
      </c>
      <c r="AD82" s="2">
        <f>IF(MAX(Inputs!$D$10-(A82-1),0)&lt;=0,0,(AA82-AB82)*((Inputs!$C$10/12)/(1-(1+Inputs!$C$10/12)^(-MAX(Inputs!$D$10-(A82-1),0)))-Inputs!$C$10/12))</f>
        <v/>
      </c>
      <c r="AE82" s="2">
        <f>(AA82-AB82-AD82)*Inputs!$B$32</f>
        <v/>
      </c>
      <c r="AF82" s="2">
        <f>AA82-AB82-AD82-AE82</f>
        <v/>
      </c>
      <c r="AG82" s="2">
        <f>AL81</f>
        <v/>
      </c>
      <c r="AH82" s="2">
        <f>AG82*Inputs!$B$33</f>
        <v/>
      </c>
      <c r="AI82" s="2">
        <f>(AG82-AH82)*Inputs!$C$11/12</f>
        <v/>
      </c>
      <c r="AJ82" s="2">
        <f>IF(MAX(Inputs!$D$11-(A82-1),0)&lt;=0,0,(AG82-AH82)*((Inputs!$C$11/12)/(1-(1+Inputs!$C$11/12)^(-MAX(Inputs!$D$11-(A82-1),0)))-Inputs!$C$11/12))</f>
        <v/>
      </c>
      <c r="AK82" s="2">
        <f>(AG82-AH82-AJ82)*Inputs!$B$32</f>
        <v/>
      </c>
      <c r="AL82" s="2">
        <f>AG82-AH82-AJ82-AK82</f>
        <v/>
      </c>
      <c r="AM82" s="2">
        <f>AR81</f>
        <v/>
      </c>
      <c r="AN82" s="2">
        <f>AM82*Inputs!$B$33</f>
        <v/>
      </c>
      <c r="AO82" s="2">
        <f>(AM82-AN82)*Inputs!$C$12/12</f>
        <v/>
      </c>
      <c r="AP82" s="2">
        <f>IF(MAX(Inputs!$D$12-(A82-1),0)&lt;=0,0,(AM82-AN82)*((Inputs!$C$12/12)/(1-(1+Inputs!$C$12/12)^(-MAX(Inputs!$D$12-(A82-1),0)))-Inputs!$C$12/12))</f>
        <v/>
      </c>
      <c r="AQ82" s="2">
        <f>(AM82-AN82-AP82)*Inputs!$B$32</f>
        <v/>
      </c>
      <c r="AR82" s="2">
        <f>AM82-AN82-AP82-AQ82</f>
        <v/>
      </c>
      <c r="AS82" s="2">
        <f>AX81</f>
        <v/>
      </c>
      <c r="AT82" s="2">
        <f>AS82*Inputs!$B$33</f>
        <v/>
      </c>
      <c r="AU82" s="2">
        <f>(AS82-AT82)*Inputs!$C$13/12</f>
        <v/>
      </c>
      <c r="AV82" s="2">
        <f>IF(MAX(Inputs!$D$13-(A82-1),0)&lt;=0,0,(AS82-AT82)*((Inputs!$C$13/12)/(1-(1+Inputs!$C$13/12)^(-MAX(Inputs!$D$13-(A82-1),0)))-Inputs!$C$13/12))</f>
        <v/>
      </c>
      <c r="AW82" s="2">
        <f>(AS82-AT82-AV82)*Inputs!$B$32</f>
        <v/>
      </c>
      <c r="AX82" s="2">
        <f>AS82-AT82-AV82-AW82</f>
        <v/>
      </c>
      <c r="AY82" s="2">
        <f>BD81</f>
        <v/>
      </c>
      <c r="AZ82" s="2">
        <f>AY82*Inputs!$B$33</f>
        <v/>
      </c>
      <c r="BA82" s="2">
        <f>(AY82-AZ82)*Inputs!$C$14/12</f>
        <v/>
      </c>
      <c r="BB82" s="2">
        <f>IF(MAX(Inputs!$D$14-(A82-1),0)&lt;=0,0,(AY82-AZ82)*((Inputs!$C$14/12)/(1-(1+Inputs!$C$14/12)^(-MAX(Inputs!$D$14-(A82-1),0)))-Inputs!$C$14/12))</f>
        <v/>
      </c>
      <c r="BC82" s="2">
        <f>(AY82-AZ82-BB82)*Inputs!$B$32</f>
        <v/>
      </c>
      <c r="BD82" s="2">
        <f>AY82-AZ82-BB82-BC82</f>
        <v/>
      </c>
      <c r="BE82" s="2">
        <f>BJ81</f>
        <v/>
      </c>
      <c r="BF82" s="2">
        <f>BE82*Inputs!$B$33</f>
        <v/>
      </c>
      <c r="BG82" s="2">
        <f>(BE82-BF82)*Inputs!$C$15/12</f>
        <v/>
      </c>
      <c r="BH82" s="2">
        <f>IF(MAX(Inputs!$D$15-(A82-1),0)&lt;=0,0,(BE82-BF82)*((Inputs!$C$15/12)/(1-(1+Inputs!$C$15/12)^(-MAX(Inputs!$D$15-(A82-1),0)))-Inputs!$C$15/12))</f>
        <v/>
      </c>
      <c r="BI82" s="2">
        <f>(BE82-BF82-BH82)*Inputs!$B$32</f>
        <v/>
      </c>
      <c r="BJ82" s="2">
        <f>BE82-BF82-BH82-BI82</f>
        <v/>
      </c>
      <c r="BK82" s="2">
        <f>C82+I82+O82+U82+AA82+AG82+AM82+AS82+AY82+BE82</f>
        <v/>
      </c>
      <c r="BL82" s="2">
        <f>D82+J82+P82+V82+AB82+AH82+AN82+AT82+AZ82+BF82</f>
        <v/>
      </c>
      <c r="BM82" s="2">
        <f>E82+K82+Q82+W82+AC82+AI82+AO82+AU82+BA82+BG82</f>
        <v/>
      </c>
      <c r="BN82" s="2">
        <f>F82+L82+R82+X82+AD82+AJ82+AP82+AV82+BB82+BH82</f>
        <v/>
      </c>
      <c r="BO82" s="2">
        <f>G82+M82+S82+Y82+AE82+AK82+AQ82+AW82+BC82+BI82</f>
        <v/>
      </c>
      <c r="BP82" s="2">
        <f>H82+N82+T82+Z82+AF82+AL82+AR82+AX82+BD82+BJ82</f>
        <v/>
      </c>
      <c r="BQ82" s="2">
        <f>IF(A82-Inputs!$B$30&gt;=1,INDEX($BL$5:$BL$101,A82-Inputs!$B$30+1)*(1-Inputs!$B$29),0)</f>
        <v/>
      </c>
      <c r="BR82" s="2">
        <f>BR81+BL82</f>
        <v/>
      </c>
      <c r="BS82" s="2">
        <f>BS81+BQ82</f>
        <v/>
      </c>
      <c r="BT82" s="2">
        <f>BR82*Inputs!$B$29</f>
        <v/>
      </c>
      <c r="BU82" s="2">
        <f>BR82*(1-Inputs!$B$29)-BS82</f>
        <v/>
      </c>
      <c r="BV82" s="2">
        <f>BP82+BU82</f>
        <v/>
      </c>
      <c r="BW82" s="2">
        <f>BM82+BN82+BO82+BQ82</f>
        <v/>
      </c>
      <c r="BX82" s="8">
        <f>BK82-BL82-BN82-BO82-BP82</f>
        <v/>
      </c>
    </row>
    <row r="83">
      <c r="A83" s="7" t="n">
        <v>78</v>
      </c>
      <c r="B83" s="3">
        <f>Inputs!$B$36+(Inputs!$B$37-Inputs!$B$36)*(1-EXP(-A83/Inputs!$B$38))+Inputs!$B$31/10000</f>
        <v/>
      </c>
      <c r="C83" s="2">
        <f>H82</f>
        <v/>
      </c>
      <c r="D83" s="2">
        <f>C83*Inputs!$B$33</f>
        <v/>
      </c>
      <c r="E83" s="2">
        <f>(C83-D83)*Inputs!$C$6/12</f>
        <v/>
      </c>
      <c r="F83" s="2">
        <f>IF(MAX(Inputs!$D$6-(A83-1),0)&lt;=0,0,(C83-D83)*((Inputs!$C$6/12)/(1-(1+Inputs!$C$6/12)^(-MAX(Inputs!$D$6-(A83-1),0)))-Inputs!$C$6/12))</f>
        <v/>
      </c>
      <c r="G83" s="2">
        <f>(C83-D83-F83)*Inputs!$B$32</f>
        <v/>
      </c>
      <c r="H83" s="2">
        <f>C83-D83-F83-G83</f>
        <v/>
      </c>
      <c r="I83" s="2">
        <f>N82</f>
        <v/>
      </c>
      <c r="J83" s="2">
        <f>I83*Inputs!$B$33</f>
        <v/>
      </c>
      <c r="K83" s="2">
        <f>(I83-J83)*Inputs!$C$7/12</f>
        <v/>
      </c>
      <c r="L83" s="2">
        <f>IF(MAX(Inputs!$D$7-(A83-1),0)&lt;=0,0,(I83-J83)*((Inputs!$C$7/12)/(1-(1+Inputs!$C$7/12)^(-MAX(Inputs!$D$7-(A83-1),0)))-Inputs!$C$7/12))</f>
        <v/>
      </c>
      <c r="M83" s="2">
        <f>(I83-J83-L83)*Inputs!$B$32</f>
        <v/>
      </c>
      <c r="N83" s="2">
        <f>I83-J83-L83-M83</f>
        <v/>
      </c>
      <c r="O83" s="2">
        <f>T82</f>
        <v/>
      </c>
      <c r="P83" s="2">
        <f>O83*Inputs!$B$33</f>
        <v/>
      </c>
      <c r="Q83" s="2">
        <f>(O83-P83)*Inputs!$C$8/12</f>
        <v/>
      </c>
      <c r="R83" s="2">
        <f>IF(MAX(Inputs!$D$8-(A83-1),0)&lt;=0,0,(O83-P83)*((Inputs!$C$8/12)/(1-(1+Inputs!$C$8/12)^(-MAX(Inputs!$D$8-(A83-1),0)))-Inputs!$C$8/12))</f>
        <v/>
      </c>
      <c r="S83" s="2">
        <f>(O83-P83-R83)*Inputs!$B$32</f>
        <v/>
      </c>
      <c r="T83" s="2">
        <f>O83-P83-R83-S83</f>
        <v/>
      </c>
      <c r="U83" s="2">
        <f>Z82</f>
        <v/>
      </c>
      <c r="V83" s="2">
        <f>U83*Inputs!$B$33</f>
        <v/>
      </c>
      <c r="W83" s="2">
        <f>(U83-V83)*Inputs!$C$9/12</f>
        <v/>
      </c>
      <c r="X83" s="2">
        <f>IF(MAX(Inputs!$D$9-(A83-1),0)&lt;=0,0,(U83-V83)*((Inputs!$C$9/12)/(1-(1+Inputs!$C$9/12)^(-MAX(Inputs!$D$9-(A83-1),0)))-Inputs!$C$9/12))</f>
        <v/>
      </c>
      <c r="Y83" s="2">
        <f>(U83-V83-X83)*Inputs!$B$32</f>
        <v/>
      </c>
      <c r="Z83" s="2">
        <f>U83-V83-X83-Y83</f>
        <v/>
      </c>
      <c r="AA83" s="2">
        <f>AF82</f>
        <v/>
      </c>
      <c r="AB83" s="2">
        <f>AA83*Inputs!$B$33</f>
        <v/>
      </c>
      <c r="AC83" s="2">
        <f>(AA83-AB83)*Inputs!$C$10/12</f>
        <v/>
      </c>
      <c r="AD83" s="2">
        <f>IF(MAX(Inputs!$D$10-(A83-1),0)&lt;=0,0,(AA83-AB83)*((Inputs!$C$10/12)/(1-(1+Inputs!$C$10/12)^(-MAX(Inputs!$D$10-(A83-1),0)))-Inputs!$C$10/12))</f>
        <v/>
      </c>
      <c r="AE83" s="2">
        <f>(AA83-AB83-AD83)*Inputs!$B$32</f>
        <v/>
      </c>
      <c r="AF83" s="2">
        <f>AA83-AB83-AD83-AE83</f>
        <v/>
      </c>
      <c r="AG83" s="2">
        <f>AL82</f>
        <v/>
      </c>
      <c r="AH83" s="2">
        <f>AG83*Inputs!$B$33</f>
        <v/>
      </c>
      <c r="AI83" s="2">
        <f>(AG83-AH83)*Inputs!$C$11/12</f>
        <v/>
      </c>
      <c r="AJ83" s="2">
        <f>IF(MAX(Inputs!$D$11-(A83-1),0)&lt;=0,0,(AG83-AH83)*((Inputs!$C$11/12)/(1-(1+Inputs!$C$11/12)^(-MAX(Inputs!$D$11-(A83-1),0)))-Inputs!$C$11/12))</f>
        <v/>
      </c>
      <c r="AK83" s="2">
        <f>(AG83-AH83-AJ83)*Inputs!$B$32</f>
        <v/>
      </c>
      <c r="AL83" s="2">
        <f>AG83-AH83-AJ83-AK83</f>
        <v/>
      </c>
      <c r="AM83" s="2">
        <f>AR82</f>
        <v/>
      </c>
      <c r="AN83" s="2">
        <f>AM83*Inputs!$B$33</f>
        <v/>
      </c>
      <c r="AO83" s="2">
        <f>(AM83-AN83)*Inputs!$C$12/12</f>
        <v/>
      </c>
      <c r="AP83" s="2">
        <f>IF(MAX(Inputs!$D$12-(A83-1),0)&lt;=0,0,(AM83-AN83)*((Inputs!$C$12/12)/(1-(1+Inputs!$C$12/12)^(-MAX(Inputs!$D$12-(A83-1),0)))-Inputs!$C$12/12))</f>
        <v/>
      </c>
      <c r="AQ83" s="2">
        <f>(AM83-AN83-AP83)*Inputs!$B$32</f>
        <v/>
      </c>
      <c r="AR83" s="2">
        <f>AM83-AN83-AP83-AQ83</f>
        <v/>
      </c>
      <c r="AS83" s="2">
        <f>AX82</f>
        <v/>
      </c>
      <c r="AT83" s="2">
        <f>AS83*Inputs!$B$33</f>
        <v/>
      </c>
      <c r="AU83" s="2">
        <f>(AS83-AT83)*Inputs!$C$13/12</f>
        <v/>
      </c>
      <c r="AV83" s="2">
        <f>IF(MAX(Inputs!$D$13-(A83-1),0)&lt;=0,0,(AS83-AT83)*((Inputs!$C$13/12)/(1-(1+Inputs!$C$13/12)^(-MAX(Inputs!$D$13-(A83-1),0)))-Inputs!$C$13/12))</f>
        <v/>
      </c>
      <c r="AW83" s="2">
        <f>(AS83-AT83-AV83)*Inputs!$B$32</f>
        <v/>
      </c>
      <c r="AX83" s="2">
        <f>AS83-AT83-AV83-AW83</f>
        <v/>
      </c>
      <c r="AY83" s="2">
        <f>BD82</f>
        <v/>
      </c>
      <c r="AZ83" s="2">
        <f>AY83*Inputs!$B$33</f>
        <v/>
      </c>
      <c r="BA83" s="2">
        <f>(AY83-AZ83)*Inputs!$C$14/12</f>
        <v/>
      </c>
      <c r="BB83" s="2">
        <f>IF(MAX(Inputs!$D$14-(A83-1),0)&lt;=0,0,(AY83-AZ83)*((Inputs!$C$14/12)/(1-(1+Inputs!$C$14/12)^(-MAX(Inputs!$D$14-(A83-1),0)))-Inputs!$C$14/12))</f>
        <v/>
      </c>
      <c r="BC83" s="2">
        <f>(AY83-AZ83-BB83)*Inputs!$B$32</f>
        <v/>
      </c>
      <c r="BD83" s="2">
        <f>AY83-AZ83-BB83-BC83</f>
        <v/>
      </c>
      <c r="BE83" s="2">
        <f>BJ82</f>
        <v/>
      </c>
      <c r="BF83" s="2">
        <f>BE83*Inputs!$B$33</f>
        <v/>
      </c>
      <c r="BG83" s="2">
        <f>(BE83-BF83)*Inputs!$C$15/12</f>
        <v/>
      </c>
      <c r="BH83" s="2">
        <f>IF(MAX(Inputs!$D$15-(A83-1),0)&lt;=0,0,(BE83-BF83)*((Inputs!$C$15/12)/(1-(1+Inputs!$C$15/12)^(-MAX(Inputs!$D$15-(A83-1),0)))-Inputs!$C$15/12))</f>
        <v/>
      </c>
      <c r="BI83" s="2">
        <f>(BE83-BF83-BH83)*Inputs!$B$32</f>
        <v/>
      </c>
      <c r="BJ83" s="2">
        <f>BE83-BF83-BH83-BI83</f>
        <v/>
      </c>
      <c r="BK83" s="2">
        <f>C83+I83+O83+U83+AA83+AG83+AM83+AS83+AY83+BE83</f>
        <v/>
      </c>
      <c r="BL83" s="2">
        <f>D83+J83+P83+V83+AB83+AH83+AN83+AT83+AZ83+BF83</f>
        <v/>
      </c>
      <c r="BM83" s="2">
        <f>E83+K83+Q83+W83+AC83+AI83+AO83+AU83+BA83+BG83</f>
        <v/>
      </c>
      <c r="BN83" s="2">
        <f>F83+L83+R83+X83+AD83+AJ83+AP83+AV83+BB83+BH83</f>
        <v/>
      </c>
      <c r="BO83" s="2">
        <f>G83+M83+S83+Y83+AE83+AK83+AQ83+AW83+BC83+BI83</f>
        <v/>
      </c>
      <c r="BP83" s="2">
        <f>H83+N83+T83+Z83+AF83+AL83+AR83+AX83+BD83+BJ83</f>
        <v/>
      </c>
      <c r="BQ83" s="2">
        <f>IF(A83-Inputs!$B$30&gt;=1,INDEX($BL$5:$BL$101,A83-Inputs!$B$30+1)*(1-Inputs!$B$29),0)</f>
        <v/>
      </c>
      <c r="BR83" s="2">
        <f>BR82+BL83</f>
        <v/>
      </c>
      <c r="BS83" s="2">
        <f>BS82+BQ83</f>
        <v/>
      </c>
      <c r="BT83" s="2">
        <f>BR83*Inputs!$B$29</f>
        <v/>
      </c>
      <c r="BU83" s="2">
        <f>BR83*(1-Inputs!$B$29)-BS83</f>
        <v/>
      </c>
      <c r="BV83" s="2">
        <f>BP83+BU83</f>
        <v/>
      </c>
      <c r="BW83" s="2">
        <f>BM83+BN83+BO83+BQ83</f>
        <v/>
      </c>
      <c r="BX83" s="8">
        <f>BK83-BL83-BN83-BO83-BP83</f>
        <v/>
      </c>
    </row>
    <row r="84">
      <c r="A84" s="7" t="n">
        <v>79</v>
      </c>
      <c r="B84" s="3">
        <f>Inputs!$B$36+(Inputs!$B$37-Inputs!$B$36)*(1-EXP(-A84/Inputs!$B$38))+Inputs!$B$31/10000</f>
        <v/>
      </c>
      <c r="C84" s="2">
        <f>H83</f>
        <v/>
      </c>
      <c r="D84" s="2">
        <f>C84*Inputs!$B$33</f>
        <v/>
      </c>
      <c r="E84" s="2">
        <f>(C84-D84)*Inputs!$C$6/12</f>
        <v/>
      </c>
      <c r="F84" s="2">
        <f>IF(MAX(Inputs!$D$6-(A84-1),0)&lt;=0,0,(C84-D84)*((Inputs!$C$6/12)/(1-(1+Inputs!$C$6/12)^(-MAX(Inputs!$D$6-(A84-1),0)))-Inputs!$C$6/12))</f>
        <v/>
      </c>
      <c r="G84" s="2">
        <f>(C84-D84-F84)*Inputs!$B$32</f>
        <v/>
      </c>
      <c r="H84" s="2">
        <f>C84-D84-F84-G84</f>
        <v/>
      </c>
      <c r="I84" s="2">
        <f>N83</f>
        <v/>
      </c>
      <c r="J84" s="2">
        <f>I84*Inputs!$B$33</f>
        <v/>
      </c>
      <c r="K84" s="2">
        <f>(I84-J84)*Inputs!$C$7/12</f>
        <v/>
      </c>
      <c r="L84" s="2">
        <f>IF(MAX(Inputs!$D$7-(A84-1),0)&lt;=0,0,(I84-J84)*((Inputs!$C$7/12)/(1-(1+Inputs!$C$7/12)^(-MAX(Inputs!$D$7-(A84-1),0)))-Inputs!$C$7/12))</f>
        <v/>
      </c>
      <c r="M84" s="2">
        <f>(I84-J84-L84)*Inputs!$B$32</f>
        <v/>
      </c>
      <c r="N84" s="2">
        <f>I84-J84-L84-M84</f>
        <v/>
      </c>
      <c r="O84" s="2">
        <f>T83</f>
        <v/>
      </c>
      <c r="P84" s="2">
        <f>O84*Inputs!$B$33</f>
        <v/>
      </c>
      <c r="Q84" s="2">
        <f>(O84-P84)*Inputs!$C$8/12</f>
        <v/>
      </c>
      <c r="R84" s="2">
        <f>IF(MAX(Inputs!$D$8-(A84-1),0)&lt;=0,0,(O84-P84)*((Inputs!$C$8/12)/(1-(1+Inputs!$C$8/12)^(-MAX(Inputs!$D$8-(A84-1),0)))-Inputs!$C$8/12))</f>
        <v/>
      </c>
      <c r="S84" s="2">
        <f>(O84-P84-R84)*Inputs!$B$32</f>
        <v/>
      </c>
      <c r="T84" s="2">
        <f>O84-P84-R84-S84</f>
        <v/>
      </c>
      <c r="U84" s="2">
        <f>Z83</f>
        <v/>
      </c>
      <c r="V84" s="2">
        <f>U84*Inputs!$B$33</f>
        <v/>
      </c>
      <c r="W84" s="2">
        <f>(U84-V84)*Inputs!$C$9/12</f>
        <v/>
      </c>
      <c r="X84" s="2">
        <f>IF(MAX(Inputs!$D$9-(A84-1),0)&lt;=0,0,(U84-V84)*((Inputs!$C$9/12)/(1-(1+Inputs!$C$9/12)^(-MAX(Inputs!$D$9-(A84-1),0)))-Inputs!$C$9/12))</f>
        <v/>
      </c>
      <c r="Y84" s="2">
        <f>(U84-V84-X84)*Inputs!$B$32</f>
        <v/>
      </c>
      <c r="Z84" s="2">
        <f>U84-V84-X84-Y84</f>
        <v/>
      </c>
      <c r="AA84" s="2">
        <f>AF83</f>
        <v/>
      </c>
      <c r="AB84" s="2">
        <f>AA84*Inputs!$B$33</f>
        <v/>
      </c>
      <c r="AC84" s="2">
        <f>(AA84-AB84)*Inputs!$C$10/12</f>
        <v/>
      </c>
      <c r="AD84" s="2">
        <f>IF(MAX(Inputs!$D$10-(A84-1),0)&lt;=0,0,(AA84-AB84)*((Inputs!$C$10/12)/(1-(1+Inputs!$C$10/12)^(-MAX(Inputs!$D$10-(A84-1),0)))-Inputs!$C$10/12))</f>
        <v/>
      </c>
      <c r="AE84" s="2">
        <f>(AA84-AB84-AD84)*Inputs!$B$32</f>
        <v/>
      </c>
      <c r="AF84" s="2">
        <f>AA84-AB84-AD84-AE84</f>
        <v/>
      </c>
      <c r="AG84" s="2">
        <f>AL83</f>
        <v/>
      </c>
      <c r="AH84" s="2">
        <f>AG84*Inputs!$B$33</f>
        <v/>
      </c>
      <c r="AI84" s="2">
        <f>(AG84-AH84)*Inputs!$C$11/12</f>
        <v/>
      </c>
      <c r="AJ84" s="2">
        <f>IF(MAX(Inputs!$D$11-(A84-1),0)&lt;=0,0,(AG84-AH84)*((Inputs!$C$11/12)/(1-(1+Inputs!$C$11/12)^(-MAX(Inputs!$D$11-(A84-1),0)))-Inputs!$C$11/12))</f>
        <v/>
      </c>
      <c r="AK84" s="2">
        <f>(AG84-AH84-AJ84)*Inputs!$B$32</f>
        <v/>
      </c>
      <c r="AL84" s="2">
        <f>AG84-AH84-AJ84-AK84</f>
        <v/>
      </c>
      <c r="AM84" s="2">
        <f>AR83</f>
        <v/>
      </c>
      <c r="AN84" s="2">
        <f>AM84*Inputs!$B$33</f>
        <v/>
      </c>
      <c r="AO84" s="2">
        <f>(AM84-AN84)*Inputs!$C$12/12</f>
        <v/>
      </c>
      <c r="AP84" s="2">
        <f>IF(MAX(Inputs!$D$12-(A84-1),0)&lt;=0,0,(AM84-AN84)*((Inputs!$C$12/12)/(1-(1+Inputs!$C$12/12)^(-MAX(Inputs!$D$12-(A84-1),0)))-Inputs!$C$12/12))</f>
        <v/>
      </c>
      <c r="AQ84" s="2">
        <f>(AM84-AN84-AP84)*Inputs!$B$32</f>
        <v/>
      </c>
      <c r="AR84" s="2">
        <f>AM84-AN84-AP84-AQ84</f>
        <v/>
      </c>
      <c r="AS84" s="2">
        <f>AX83</f>
        <v/>
      </c>
      <c r="AT84" s="2">
        <f>AS84*Inputs!$B$33</f>
        <v/>
      </c>
      <c r="AU84" s="2">
        <f>(AS84-AT84)*Inputs!$C$13/12</f>
        <v/>
      </c>
      <c r="AV84" s="2">
        <f>IF(MAX(Inputs!$D$13-(A84-1),0)&lt;=0,0,(AS84-AT84)*((Inputs!$C$13/12)/(1-(1+Inputs!$C$13/12)^(-MAX(Inputs!$D$13-(A84-1),0)))-Inputs!$C$13/12))</f>
        <v/>
      </c>
      <c r="AW84" s="2">
        <f>(AS84-AT84-AV84)*Inputs!$B$32</f>
        <v/>
      </c>
      <c r="AX84" s="2">
        <f>AS84-AT84-AV84-AW84</f>
        <v/>
      </c>
      <c r="AY84" s="2">
        <f>BD83</f>
        <v/>
      </c>
      <c r="AZ84" s="2">
        <f>AY84*Inputs!$B$33</f>
        <v/>
      </c>
      <c r="BA84" s="2">
        <f>(AY84-AZ84)*Inputs!$C$14/12</f>
        <v/>
      </c>
      <c r="BB84" s="2">
        <f>IF(MAX(Inputs!$D$14-(A84-1),0)&lt;=0,0,(AY84-AZ84)*((Inputs!$C$14/12)/(1-(1+Inputs!$C$14/12)^(-MAX(Inputs!$D$14-(A84-1),0)))-Inputs!$C$14/12))</f>
        <v/>
      </c>
      <c r="BC84" s="2">
        <f>(AY84-AZ84-BB84)*Inputs!$B$32</f>
        <v/>
      </c>
      <c r="BD84" s="2">
        <f>AY84-AZ84-BB84-BC84</f>
        <v/>
      </c>
      <c r="BE84" s="2">
        <f>BJ83</f>
        <v/>
      </c>
      <c r="BF84" s="2">
        <f>BE84*Inputs!$B$33</f>
        <v/>
      </c>
      <c r="BG84" s="2">
        <f>(BE84-BF84)*Inputs!$C$15/12</f>
        <v/>
      </c>
      <c r="BH84" s="2">
        <f>IF(MAX(Inputs!$D$15-(A84-1),0)&lt;=0,0,(BE84-BF84)*((Inputs!$C$15/12)/(1-(1+Inputs!$C$15/12)^(-MAX(Inputs!$D$15-(A84-1),0)))-Inputs!$C$15/12))</f>
        <v/>
      </c>
      <c r="BI84" s="2">
        <f>(BE84-BF84-BH84)*Inputs!$B$32</f>
        <v/>
      </c>
      <c r="BJ84" s="2">
        <f>BE84-BF84-BH84-BI84</f>
        <v/>
      </c>
      <c r="BK84" s="2">
        <f>C84+I84+O84+U84+AA84+AG84+AM84+AS84+AY84+BE84</f>
        <v/>
      </c>
      <c r="BL84" s="2">
        <f>D84+J84+P84+V84+AB84+AH84+AN84+AT84+AZ84+BF84</f>
        <v/>
      </c>
      <c r="BM84" s="2">
        <f>E84+K84+Q84+W84+AC84+AI84+AO84+AU84+BA84+BG84</f>
        <v/>
      </c>
      <c r="BN84" s="2">
        <f>F84+L84+R84+X84+AD84+AJ84+AP84+AV84+BB84+BH84</f>
        <v/>
      </c>
      <c r="BO84" s="2">
        <f>G84+M84+S84+Y84+AE84+AK84+AQ84+AW84+BC84+BI84</f>
        <v/>
      </c>
      <c r="BP84" s="2">
        <f>H84+N84+T84+Z84+AF84+AL84+AR84+AX84+BD84+BJ84</f>
        <v/>
      </c>
      <c r="BQ84" s="2">
        <f>IF(A84-Inputs!$B$30&gt;=1,INDEX($BL$5:$BL$101,A84-Inputs!$B$30+1)*(1-Inputs!$B$29),0)</f>
        <v/>
      </c>
      <c r="BR84" s="2">
        <f>BR83+BL84</f>
        <v/>
      </c>
      <c r="BS84" s="2">
        <f>BS83+BQ84</f>
        <v/>
      </c>
      <c r="BT84" s="2">
        <f>BR84*Inputs!$B$29</f>
        <v/>
      </c>
      <c r="BU84" s="2">
        <f>BR84*(1-Inputs!$B$29)-BS84</f>
        <v/>
      </c>
      <c r="BV84" s="2">
        <f>BP84+BU84</f>
        <v/>
      </c>
      <c r="BW84" s="2">
        <f>BM84+BN84+BO84+BQ84</f>
        <v/>
      </c>
      <c r="BX84" s="8">
        <f>BK84-BL84-BN84-BO84-BP84</f>
        <v/>
      </c>
    </row>
    <row r="85">
      <c r="A85" s="7" t="n">
        <v>80</v>
      </c>
      <c r="B85" s="3">
        <f>Inputs!$B$36+(Inputs!$B$37-Inputs!$B$36)*(1-EXP(-A85/Inputs!$B$38))+Inputs!$B$31/10000</f>
        <v/>
      </c>
      <c r="C85" s="2">
        <f>H84</f>
        <v/>
      </c>
      <c r="D85" s="2">
        <f>C85*Inputs!$B$33</f>
        <v/>
      </c>
      <c r="E85" s="2">
        <f>(C85-D85)*Inputs!$C$6/12</f>
        <v/>
      </c>
      <c r="F85" s="2">
        <f>IF(MAX(Inputs!$D$6-(A85-1),0)&lt;=0,0,(C85-D85)*((Inputs!$C$6/12)/(1-(1+Inputs!$C$6/12)^(-MAX(Inputs!$D$6-(A85-1),0)))-Inputs!$C$6/12))</f>
        <v/>
      </c>
      <c r="G85" s="2">
        <f>(C85-D85-F85)*Inputs!$B$32</f>
        <v/>
      </c>
      <c r="H85" s="2">
        <f>C85-D85-F85-G85</f>
        <v/>
      </c>
      <c r="I85" s="2">
        <f>N84</f>
        <v/>
      </c>
      <c r="J85" s="2">
        <f>I85*Inputs!$B$33</f>
        <v/>
      </c>
      <c r="K85" s="2">
        <f>(I85-J85)*Inputs!$C$7/12</f>
        <v/>
      </c>
      <c r="L85" s="2">
        <f>IF(MAX(Inputs!$D$7-(A85-1),0)&lt;=0,0,(I85-J85)*((Inputs!$C$7/12)/(1-(1+Inputs!$C$7/12)^(-MAX(Inputs!$D$7-(A85-1),0)))-Inputs!$C$7/12))</f>
        <v/>
      </c>
      <c r="M85" s="2">
        <f>(I85-J85-L85)*Inputs!$B$32</f>
        <v/>
      </c>
      <c r="N85" s="2">
        <f>I85-J85-L85-M85</f>
        <v/>
      </c>
      <c r="O85" s="2">
        <f>T84</f>
        <v/>
      </c>
      <c r="P85" s="2">
        <f>O85*Inputs!$B$33</f>
        <v/>
      </c>
      <c r="Q85" s="2">
        <f>(O85-P85)*Inputs!$C$8/12</f>
        <v/>
      </c>
      <c r="R85" s="2">
        <f>IF(MAX(Inputs!$D$8-(A85-1),0)&lt;=0,0,(O85-P85)*((Inputs!$C$8/12)/(1-(1+Inputs!$C$8/12)^(-MAX(Inputs!$D$8-(A85-1),0)))-Inputs!$C$8/12))</f>
        <v/>
      </c>
      <c r="S85" s="2">
        <f>(O85-P85-R85)*Inputs!$B$32</f>
        <v/>
      </c>
      <c r="T85" s="2">
        <f>O85-P85-R85-S85</f>
        <v/>
      </c>
      <c r="U85" s="2">
        <f>Z84</f>
        <v/>
      </c>
      <c r="V85" s="2">
        <f>U85*Inputs!$B$33</f>
        <v/>
      </c>
      <c r="W85" s="2">
        <f>(U85-V85)*Inputs!$C$9/12</f>
        <v/>
      </c>
      <c r="X85" s="2">
        <f>IF(MAX(Inputs!$D$9-(A85-1),0)&lt;=0,0,(U85-V85)*((Inputs!$C$9/12)/(1-(1+Inputs!$C$9/12)^(-MAX(Inputs!$D$9-(A85-1),0)))-Inputs!$C$9/12))</f>
        <v/>
      </c>
      <c r="Y85" s="2">
        <f>(U85-V85-X85)*Inputs!$B$32</f>
        <v/>
      </c>
      <c r="Z85" s="2">
        <f>U85-V85-X85-Y85</f>
        <v/>
      </c>
      <c r="AA85" s="2">
        <f>AF84</f>
        <v/>
      </c>
      <c r="AB85" s="2">
        <f>AA85*Inputs!$B$33</f>
        <v/>
      </c>
      <c r="AC85" s="2">
        <f>(AA85-AB85)*Inputs!$C$10/12</f>
        <v/>
      </c>
      <c r="AD85" s="2">
        <f>IF(MAX(Inputs!$D$10-(A85-1),0)&lt;=0,0,(AA85-AB85)*((Inputs!$C$10/12)/(1-(1+Inputs!$C$10/12)^(-MAX(Inputs!$D$10-(A85-1),0)))-Inputs!$C$10/12))</f>
        <v/>
      </c>
      <c r="AE85" s="2">
        <f>(AA85-AB85-AD85)*Inputs!$B$32</f>
        <v/>
      </c>
      <c r="AF85" s="2">
        <f>AA85-AB85-AD85-AE85</f>
        <v/>
      </c>
      <c r="AG85" s="2">
        <f>AL84</f>
        <v/>
      </c>
      <c r="AH85" s="2">
        <f>AG85*Inputs!$B$33</f>
        <v/>
      </c>
      <c r="AI85" s="2">
        <f>(AG85-AH85)*Inputs!$C$11/12</f>
        <v/>
      </c>
      <c r="AJ85" s="2">
        <f>IF(MAX(Inputs!$D$11-(A85-1),0)&lt;=0,0,(AG85-AH85)*((Inputs!$C$11/12)/(1-(1+Inputs!$C$11/12)^(-MAX(Inputs!$D$11-(A85-1),0)))-Inputs!$C$11/12))</f>
        <v/>
      </c>
      <c r="AK85" s="2">
        <f>(AG85-AH85-AJ85)*Inputs!$B$32</f>
        <v/>
      </c>
      <c r="AL85" s="2">
        <f>AG85-AH85-AJ85-AK85</f>
        <v/>
      </c>
      <c r="AM85" s="2">
        <f>AR84</f>
        <v/>
      </c>
      <c r="AN85" s="2">
        <f>AM85*Inputs!$B$33</f>
        <v/>
      </c>
      <c r="AO85" s="2">
        <f>(AM85-AN85)*Inputs!$C$12/12</f>
        <v/>
      </c>
      <c r="AP85" s="2">
        <f>IF(MAX(Inputs!$D$12-(A85-1),0)&lt;=0,0,(AM85-AN85)*((Inputs!$C$12/12)/(1-(1+Inputs!$C$12/12)^(-MAX(Inputs!$D$12-(A85-1),0)))-Inputs!$C$12/12))</f>
        <v/>
      </c>
      <c r="AQ85" s="2">
        <f>(AM85-AN85-AP85)*Inputs!$B$32</f>
        <v/>
      </c>
      <c r="AR85" s="2">
        <f>AM85-AN85-AP85-AQ85</f>
        <v/>
      </c>
      <c r="AS85" s="2">
        <f>AX84</f>
        <v/>
      </c>
      <c r="AT85" s="2">
        <f>AS85*Inputs!$B$33</f>
        <v/>
      </c>
      <c r="AU85" s="2">
        <f>(AS85-AT85)*Inputs!$C$13/12</f>
        <v/>
      </c>
      <c r="AV85" s="2">
        <f>IF(MAX(Inputs!$D$13-(A85-1),0)&lt;=0,0,(AS85-AT85)*((Inputs!$C$13/12)/(1-(1+Inputs!$C$13/12)^(-MAX(Inputs!$D$13-(A85-1),0)))-Inputs!$C$13/12))</f>
        <v/>
      </c>
      <c r="AW85" s="2">
        <f>(AS85-AT85-AV85)*Inputs!$B$32</f>
        <v/>
      </c>
      <c r="AX85" s="2">
        <f>AS85-AT85-AV85-AW85</f>
        <v/>
      </c>
      <c r="AY85" s="2">
        <f>BD84</f>
        <v/>
      </c>
      <c r="AZ85" s="2">
        <f>AY85*Inputs!$B$33</f>
        <v/>
      </c>
      <c r="BA85" s="2">
        <f>(AY85-AZ85)*Inputs!$C$14/12</f>
        <v/>
      </c>
      <c r="BB85" s="2">
        <f>IF(MAX(Inputs!$D$14-(A85-1),0)&lt;=0,0,(AY85-AZ85)*((Inputs!$C$14/12)/(1-(1+Inputs!$C$14/12)^(-MAX(Inputs!$D$14-(A85-1),0)))-Inputs!$C$14/12))</f>
        <v/>
      </c>
      <c r="BC85" s="2">
        <f>(AY85-AZ85-BB85)*Inputs!$B$32</f>
        <v/>
      </c>
      <c r="BD85" s="2">
        <f>AY85-AZ85-BB85-BC85</f>
        <v/>
      </c>
      <c r="BE85" s="2">
        <f>BJ84</f>
        <v/>
      </c>
      <c r="BF85" s="2">
        <f>BE85*Inputs!$B$33</f>
        <v/>
      </c>
      <c r="BG85" s="2">
        <f>(BE85-BF85)*Inputs!$C$15/12</f>
        <v/>
      </c>
      <c r="BH85" s="2">
        <f>IF(MAX(Inputs!$D$15-(A85-1),0)&lt;=0,0,(BE85-BF85)*((Inputs!$C$15/12)/(1-(1+Inputs!$C$15/12)^(-MAX(Inputs!$D$15-(A85-1),0)))-Inputs!$C$15/12))</f>
        <v/>
      </c>
      <c r="BI85" s="2">
        <f>(BE85-BF85-BH85)*Inputs!$B$32</f>
        <v/>
      </c>
      <c r="BJ85" s="2">
        <f>BE85-BF85-BH85-BI85</f>
        <v/>
      </c>
      <c r="BK85" s="2">
        <f>C85+I85+O85+U85+AA85+AG85+AM85+AS85+AY85+BE85</f>
        <v/>
      </c>
      <c r="BL85" s="2">
        <f>D85+J85+P85+V85+AB85+AH85+AN85+AT85+AZ85+BF85</f>
        <v/>
      </c>
      <c r="BM85" s="2">
        <f>E85+K85+Q85+W85+AC85+AI85+AO85+AU85+BA85+BG85</f>
        <v/>
      </c>
      <c r="BN85" s="2">
        <f>F85+L85+R85+X85+AD85+AJ85+AP85+AV85+BB85+BH85</f>
        <v/>
      </c>
      <c r="BO85" s="2">
        <f>G85+M85+S85+Y85+AE85+AK85+AQ85+AW85+BC85+BI85</f>
        <v/>
      </c>
      <c r="BP85" s="2">
        <f>H85+N85+T85+Z85+AF85+AL85+AR85+AX85+BD85+BJ85</f>
        <v/>
      </c>
      <c r="BQ85" s="2">
        <f>IF(A85-Inputs!$B$30&gt;=1,INDEX($BL$5:$BL$101,A85-Inputs!$B$30+1)*(1-Inputs!$B$29),0)</f>
        <v/>
      </c>
      <c r="BR85" s="2">
        <f>BR84+BL85</f>
        <v/>
      </c>
      <c r="BS85" s="2">
        <f>BS84+BQ85</f>
        <v/>
      </c>
      <c r="BT85" s="2">
        <f>BR85*Inputs!$B$29</f>
        <v/>
      </c>
      <c r="BU85" s="2">
        <f>BR85*(1-Inputs!$B$29)-BS85</f>
        <v/>
      </c>
      <c r="BV85" s="2">
        <f>BP85+BU85</f>
        <v/>
      </c>
      <c r="BW85" s="2">
        <f>BM85+BN85+BO85+BQ85</f>
        <v/>
      </c>
      <c r="BX85" s="8">
        <f>BK85-BL85-BN85-BO85-BP85</f>
        <v/>
      </c>
    </row>
    <row r="86">
      <c r="A86" s="7" t="n">
        <v>81</v>
      </c>
      <c r="B86" s="3">
        <f>Inputs!$B$36+(Inputs!$B$37-Inputs!$B$36)*(1-EXP(-A86/Inputs!$B$38))+Inputs!$B$31/10000</f>
        <v/>
      </c>
      <c r="C86" s="2">
        <f>H85</f>
        <v/>
      </c>
      <c r="D86" s="2">
        <f>C86*Inputs!$B$33</f>
        <v/>
      </c>
      <c r="E86" s="2">
        <f>(C86-D86)*Inputs!$C$6/12</f>
        <v/>
      </c>
      <c r="F86" s="2">
        <f>IF(MAX(Inputs!$D$6-(A86-1),0)&lt;=0,0,(C86-D86)*((Inputs!$C$6/12)/(1-(1+Inputs!$C$6/12)^(-MAX(Inputs!$D$6-(A86-1),0)))-Inputs!$C$6/12))</f>
        <v/>
      </c>
      <c r="G86" s="2">
        <f>(C86-D86-F86)*Inputs!$B$32</f>
        <v/>
      </c>
      <c r="H86" s="2">
        <f>C86-D86-F86-G86</f>
        <v/>
      </c>
      <c r="I86" s="2">
        <f>N85</f>
        <v/>
      </c>
      <c r="J86" s="2">
        <f>I86*Inputs!$B$33</f>
        <v/>
      </c>
      <c r="K86" s="2">
        <f>(I86-J86)*Inputs!$C$7/12</f>
        <v/>
      </c>
      <c r="L86" s="2">
        <f>IF(MAX(Inputs!$D$7-(A86-1),0)&lt;=0,0,(I86-J86)*((Inputs!$C$7/12)/(1-(1+Inputs!$C$7/12)^(-MAX(Inputs!$D$7-(A86-1),0)))-Inputs!$C$7/12))</f>
        <v/>
      </c>
      <c r="M86" s="2">
        <f>(I86-J86-L86)*Inputs!$B$32</f>
        <v/>
      </c>
      <c r="N86" s="2">
        <f>I86-J86-L86-M86</f>
        <v/>
      </c>
      <c r="O86" s="2">
        <f>T85</f>
        <v/>
      </c>
      <c r="P86" s="2">
        <f>O86*Inputs!$B$33</f>
        <v/>
      </c>
      <c r="Q86" s="2">
        <f>(O86-P86)*Inputs!$C$8/12</f>
        <v/>
      </c>
      <c r="R86" s="2">
        <f>IF(MAX(Inputs!$D$8-(A86-1),0)&lt;=0,0,(O86-P86)*((Inputs!$C$8/12)/(1-(1+Inputs!$C$8/12)^(-MAX(Inputs!$D$8-(A86-1),0)))-Inputs!$C$8/12))</f>
        <v/>
      </c>
      <c r="S86" s="2">
        <f>(O86-P86-R86)*Inputs!$B$32</f>
        <v/>
      </c>
      <c r="T86" s="2">
        <f>O86-P86-R86-S86</f>
        <v/>
      </c>
      <c r="U86" s="2">
        <f>Z85</f>
        <v/>
      </c>
      <c r="V86" s="2">
        <f>U86*Inputs!$B$33</f>
        <v/>
      </c>
      <c r="W86" s="2">
        <f>(U86-V86)*Inputs!$C$9/12</f>
        <v/>
      </c>
      <c r="X86" s="2">
        <f>IF(MAX(Inputs!$D$9-(A86-1),0)&lt;=0,0,(U86-V86)*((Inputs!$C$9/12)/(1-(1+Inputs!$C$9/12)^(-MAX(Inputs!$D$9-(A86-1),0)))-Inputs!$C$9/12))</f>
        <v/>
      </c>
      <c r="Y86" s="2">
        <f>(U86-V86-X86)*Inputs!$B$32</f>
        <v/>
      </c>
      <c r="Z86" s="2">
        <f>U86-V86-X86-Y86</f>
        <v/>
      </c>
      <c r="AA86" s="2">
        <f>AF85</f>
        <v/>
      </c>
      <c r="AB86" s="2">
        <f>AA86*Inputs!$B$33</f>
        <v/>
      </c>
      <c r="AC86" s="2">
        <f>(AA86-AB86)*Inputs!$C$10/12</f>
        <v/>
      </c>
      <c r="AD86" s="2">
        <f>IF(MAX(Inputs!$D$10-(A86-1),0)&lt;=0,0,(AA86-AB86)*((Inputs!$C$10/12)/(1-(1+Inputs!$C$10/12)^(-MAX(Inputs!$D$10-(A86-1),0)))-Inputs!$C$10/12))</f>
        <v/>
      </c>
      <c r="AE86" s="2">
        <f>(AA86-AB86-AD86)*Inputs!$B$32</f>
        <v/>
      </c>
      <c r="AF86" s="2">
        <f>AA86-AB86-AD86-AE86</f>
        <v/>
      </c>
      <c r="AG86" s="2">
        <f>AL85</f>
        <v/>
      </c>
      <c r="AH86" s="2">
        <f>AG86*Inputs!$B$33</f>
        <v/>
      </c>
      <c r="AI86" s="2">
        <f>(AG86-AH86)*Inputs!$C$11/12</f>
        <v/>
      </c>
      <c r="AJ86" s="2">
        <f>IF(MAX(Inputs!$D$11-(A86-1),0)&lt;=0,0,(AG86-AH86)*((Inputs!$C$11/12)/(1-(1+Inputs!$C$11/12)^(-MAX(Inputs!$D$11-(A86-1),0)))-Inputs!$C$11/12))</f>
        <v/>
      </c>
      <c r="AK86" s="2">
        <f>(AG86-AH86-AJ86)*Inputs!$B$32</f>
        <v/>
      </c>
      <c r="AL86" s="2">
        <f>AG86-AH86-AJ86-AK86</f>
        <v/>
      </c>
      <c r="AM86" s="2">
        <f>AR85</f>
        <v/>
      </c>
      <c r="AN86" s="2">
        <f>AM86*Inputs!$B$33</f>
        <v/>
      </c>
      <c r="AO86" s="2">
        <f>(AM86-AN86)*Inputs!$C$12/12</f>
        <v/>
      </c>
      <c r="AP86" s="2">
        <f>IF(MAX(Inputs!$D$12-(A86-1),0)&lt;=0,0,(AM86-AN86)*((Inputs!$C$12/12)/(1-(1+Inputs!$C$12/12)^(-MAX(Inputs!$D$12-(A86-1),0)))-Inputs!$C$12/12))</f>
        <v/>
      </c>
      <c r="AQ86" s="2">
        <f>(AM86-AN86-AP86)*Inputs!$B$32</f>
        <v/>
      </c>
      <c r="AR86" s="2">
        <f>AM86-AN86-AP86-AQ86</f>
        <v/>
      </c>
      <c r="AS86" s="2">
        <f>AX85</f>
        <v/>
      </c>
      <c r="AT86" s="2">
        <f>AS86*Inputs!$B$33</f>
        <v/>
      </c>
      <c r="AU86" s="2">
        <f>(AS86-AT86)*Inputs!$C$13/12</f>
        <v/>
      </c>
      <c r="AV86" s="2">
        <f>IF(MAX(Inputs!$D$13-(A86-1),0)&lt;=0,0,(AS86-AT86)*((Inputs!$C$13/12)/(1-(1+Inputs!$C$13/12)^(-MAX(Inputs!$D$13-(A86-1),0)))-Inputs!$C$13/12))</f>
        <v/>
      </c>
      <c r="AW86" s="2">
        <f>(AS86-AT86-AV86)*Inputs!$B$32</f>
        <v/>
      </c>
      <c r="AX86" s="2">
        <f>AS86-AT86-AV86-AW86</f>
        <v/>
      </c>
      <c r="AY86" s="2">
        <f>BD85</f>
        <v/>
      </c>
      <c r="AZ86" s="2">
        <f>AY86*Inputs!$B$33</f>
        <v/>
      </c>
      <c r="BA86" s="2">
        <f>(AY86-AZ86)*Inputs!$C$14/12</f>
        <v/>
      </c>
      <c r="BB86" s="2">
        <f>IF(MAX(Inputs!$D$14-(A86-1),0)&lt;=0,0,(AY86-AZ86)*((Inputs!$C$14/12)/(1-(1+Inputs!$C$14/12)^(-MAX(Inputs!$D$14-(A86-1),0)))-Inputs!$C$14/12))</f>
        <v/>
      </c>
      <c r="BC86" s="2">
        <f>(AY86-AZ86-BB86)*Inputs!$B$32</f>
        <v/>
      </c>
      <c r="BD86" s="2">
        <f>AY86-AZ86-BB86-BC86</f>
        <v/>
      </c>
      <c r="BE86" s="2">
        <f>BJ85</f>
        <v/>
      </c>
      <c r="BF86" s="2">
        <f>BE86*Inputs!$B$33</f>
        <v/>
      </c>
      <c r="BG86" s="2">
        <f>(BE86-BF86)*Inputs!$C$15/12</f>
        <v/>
      </c>
      <c r="BH86" s="2">
        <f>IF(MAX(Inputs!$D$15-(A86-1),0)&lt;=0,0,(BE86-BF86)*((Inputs!$C$15/12)/(1-(1+Inputs!$C$15/12)^(-MAX(Inputs!$D$15-(A86-1),0)))-Inputs!$C$15/12))</f>
        <v/>
      </c>
      <c r="BI86" s="2">
        <f>(BE86-BF86-BH86)*Inputs!$B$32</f>
        <v/>
      </c>
      <c r="BJ86" s="2">
        <f>BE86-BF86-BH86-BI86</f>
        <v/>
      </c>
      <c r="BK86" s="2">
        <f>C86+I86+O86+U86+AA86+AG86+AM86+AS86+AY86+BE86</f>
        <v/>
      </c>
      <c r="BL86" s="2">
        <f>D86+J86+P86+V86+AB86+AH86+AN86+AT86+AZ86+BF86</f>
        <v/>
      </c>
      <c r="BM86" s="2">
        <f>E86+K86+Q86+W86+AC86+AI86+AO86+AU86+BA86+BG86</f>
        <v/>
      </c>
      <c r="BN86" s="2">
        <f>F86+L86+R86+X86+AD86+AJ86+AP86+AV86+BB86+BH86</f>
        <v/>
      </c>
      <c r="BO86" s="2">
        <f>G86+M86+S86+Y86+AE86+AK86+AQ86+AW86+BC86+BI86</f>
        <v/>
      </c>
      <c r="BP86" s="2">
        <f>H86+N86+T86+Z86+AF86+AL86+AR86+AX86+BD86+BJ86</f>
        <v/>
      </c>
      <c r="BQ86" s="2">
        <f>IF(A86-Inputs!$B$30&gt;=1,INDEX($BL$5:$BL$101,A86-Inputs!$B$30+1)*(1-Inputs!$B$29),0)</f>
        <v/>
      </c>
      <c r="BR86" s="2">
        <f>BR85+BL86</f>
        <v/>
      </c>
      <c r="BS86" s="2">
        <f>BS85+BQ86</f>
        <v/>
      </c>
      <c r="BT86" s="2">
        <f>BR86*Inputs!$B$29</f>
        <v/>
      </c>
      <c r="BU86" s="2">
        <f>BR86*(1-Inputs!$B$29)-BS86</f>
        <v/>
      </c>
      <c r="BV86" s="2">
        <f>BP86+BU86</f>
        <v/>
      </c>
      <c r="BW86" s="2">
        <f>BM86+BN86+BO86+BQ86</f>
        <v/>
      </c>
      <c r="BX86" s="8">
        <f>BK86-BL86-BN86-BO86-BP86</f>
        <v/>
      </c>
    </row>
    <row r="87">
      <c r="A87" s="7" t="n">
        <v>82</v>
      </c>
      <c r="B87" s="3">
        <f>Inputs!$B$36+(Inputs!$B$37-Inputs!$B$36)*(1-EXP(-A87/Inputs!$B$38))+Inputs!$B$31/10000</f>
        <v/>
      </c>
      <c r="C87" s="2">
        <f>H86</f>
        <v/>
      </c>
      <c r="D87" s="2">
        <f>C87*Inputs!$B$33</f>
        <v/>
      </c>
      <c r="E87" s="2">
        <f>(C87-D87)*Inputs!$C$6/12</f>
        <v/>
      </c>
      <c r="F87" s="2">
        <f>IF(MAX(Inputs!$D$6-(A87-1),0)&lt;=0,0,(C87-D87)*((Inputs!$C$6/12)/(1-(1+Inputs!$C$6/12)^(-MAX(Inputs!$D$6-(A87-1),0)))-Inputs!$C$6/12))</f>
        <v/>
      </c>
      <c r="G87" s="2">
        <f>(C87-D87-F87)*Inputs!$B$32</f>
        <v/>
      </c>
      <c r="H87" s="2">
        <f>C87-D87-F87-G87</f>
        <v/>
      </c>
      <c r="I87" s="2">
        <f>N86</f>
        <v/>
      </c>
      <c r="J87" s="2">
        <f>I87*Inputs!$B$33</f>
        <v/>
      </c>
      <c r="K87" s="2">
        <f>(I87-J87)*Inputs!$C$7/12</f>
        <v/>
      </c>
      <c r="L87" s="2">
        <f>IF(MAX(Inputs!$D$7-(A87-1),0)&lt;=0,0,(I87-J87)*((Inputs!$C$7/12)/(1-(1+Inputs!$C$7/12)^(-MAX(Inputs!$D$7-(A87-1),0)))-Inputs!$C$7/12))</f>
        <v/>
      </c>
      <c r="M87" s="2">
        <f>(I87-J87-L87)*Inputs!$B$32</f>
        <v/>
      </c>
      <c r="N87" s="2">
        <f>I87-J87-L87-M87</f>
        <v/>
      </c>
      <c r="O87" s="2">
        <f>T86</f>
        <v/>
      </c>
      <c r="P87" s="2">
        <f>O87*Inputs!$B$33</f>
        <v/>
      </c>
      <c r="Q87" s="2">
        <f>(O87-P87)*Inputs!$C$8/12</f>
        <v/>
      </c>
      <c r="R87" s="2">
        <f>IF(MAX(Inputs!$D$8-(A87-1),0)&lt;=0,0,(O87-P87)*((Inputs!$C$8/12)/(1-(1+Inputs!$C$8/12)^(-MAX(Inputs!$D$8-(A87-1),0)))-Inputs!$C$8/12))</f>
        <v/>
      </c>
      <c r="S87" s="2">
        <f>(O87-P87-R87)*Inputs!$B$32</f>
        <v/>
      </c>
      <c r="T87" s="2">
        <f>O87-P87-R87-S87</f>
        <v/>
      </c>
      <c r="U87" s="2">
        <f>Z86</f>
        <v/>
      </c>
      <c r="V87" s="2">
        <f>U87*Inputs!$B$33</f>
        <v/>
      </c>
      <c r="W87" s="2">
        <f>(U87-V87)*Inputs!$C$9/12</f>
        <v/>
      </c>
      <c r="X87" s="2">
        <f>IF(MAX(Inputs!$D$9-(A87-1),0)&lt;=0,0,(U87-V87)*((Inputs!$C$9/12)/(1-(1+Inputs!$C$9/12)^(-MAX(Inputs!$D$9-(A87-1),0)))-Inputs!$C$9/12))</f>
        <v/>
      </c>
      <c r="Y87" s="2">
        <f>(U87-V87-X87)*Inputs!$B$32</f>
        <v/>
      </c>
      <c r="Z87" s="2">
        <f>U87-V87-X87-Y87</f>
        <v/>
      </c>
      <c r="AA87" s="2">
        <f>AF86</f>
        <v/>
      </c>
      <c r="AB87" s="2">
        <f>AA87*Inputs!$B$33</f>
        <v/>
      </c>
      <c r="AC87" s="2">
        <f>(AA87-AB87)*Inputs!$C$10/12</f>
        <v/>
      </c>
      <c r="AD87" s="2">
        <f>IF(MAX(Inputs!$D$10-(A87-1),0)&lt;=0,0,(AA87-AB87)*((Inputs!$C$10/12)/(1-(1+Inputs!$C$10/12)^(-MAX(Inputs!$D$10-(A87-1),0)))-Inputs!$C$10/12))</f>
        <v/>
      </c>
      <c r="AE87" s="2">
        <f>(AA87-AB87-AD87)*Inputs!$B$32</f>
        <v/>
      </c>
      <c r="AF87" s="2">
        <f>AA87-AB87-AD87-AE87</f>
        <v/>
      </c>
      <c r="AG87" s="2">
        <f>AL86</f>
        <v/>
      </c>
      <c r="AH87" s="2">
        <f>AG87*Inputs!$B$33</f>
        <v/>
      </c>
      <c r="AI87" s="2">
        <f>(AG87-AH87)*Inputs!$C$11/12</f>
        <v/>
      </c>
      <c r="AJ87" s="2">
        <f>IF(MAX(Inputs!$D$11-(A87-1),0)&lt;=0,0,(AG87-AH87)*((Inputs!$C$11/12)/(1-(1+Inputs!$C$11/12)^(-MAX(Inputs!$D$11-(A87-1),0)))-Inputs!$C$11/12))</f>
        <v/>
      </c>
      <c r="AK87" s="2">
        <f>(AG87-AH87-AJ87)*Inputs!$B$32</f>
        <v/>
      </c>
      <c r="AL87" s="2">
        <f>AG87-AH87-AJ87-AK87</f>
        <v/>
      </c>
      <c r="AM87" s="2">
        <f>AR86</f>
        <v/>
      </c>
      <c r="AN87" s="2">
        <f>AM87*Inputs!$B$33</f>
        <v/>
      </c>
      <c r="AO87" s="2">
        <f>(AM87-AN87)*Inputs!$C$12/12</f>
        <v/>
      </c>
      <c r="AP87" s="2">
        <f>IF(MAX(Inputs!$D$12-(A87-1),0)&lt;=0,0,(AM87-AN87)*((Inputs!$C$12/12)/(1-(1+Inputs!$C$12/12)^(-MAX(Inputs!$D$12-(A87-1),0)))-Inputs!$C$12/12))</f>
        <v/>
      </c>
      <c r="AQ87" s="2">
        <f>(AM87-AN87-AP87)*Inputs!$B$32</f>
        <v/>
      </c>
      <c r="AR87" s="2">
        <f>AM87-AN87-AP87-AQ87</f>
        <v/>
      </c>
      <c r="AS87" s="2">
        <f>AX86</f>
        <v/>
      </c>
      <c r="AT87" s="2">
        <f>AS87*Inputs!$B$33</f>
        <v/>
      </c>
      <c r="AU87" s="2">
        <f>(AS87-AT87)*Inputs!$C$13/12</f>
        <v/>
      </c>
      <c r="AV87" s="2">
        <f>IF(MAX(Inputs!$D$13-(A87-1),0)&lt;=0,0,(AS87-AT87)*((Inputs!$C$13/12)/(1-(1+Inputs!$C$13/12)^(-MAX(Inputs!$D$13-(A87-1),0)))-Inputs!$C$13/12))</f>
        <v/>
      </c>
      <c r="AW87" s="2">
        <f>(AS87-AT87-AV87)*Inputs!$B$32</f>
        <v/>
      </c>
      <c r="AX87" s="2">
        <f>AS87-AT87-AV87-AW87</f>
        <v/>
      </c>
      <c r="AY87" s="2">
        <f>BD86</f>
        <v/>
      </c>
      <c r="AZ87" s="2">
        <f>AY87*Inputs!$B$33</f>
        <v/>
      </c>
      <c r="BA87" s="2">
        <f>(AY87-AZ87)*Inputs!$C$14/12</f>
        <v/>
      </c>
      <c r="BB87" s="2">
        <f>IF(MAX(Inputs!$D$14-(A87-1),0)&lt;=0,0,(AY87-AZ87)*((Inputs!$C$14/12)/(1-(1+Inputs!$C$14/12)^(-MAX(Inputs!$D$14-(A87-1),0)))-Inputs!$C$14/12))</f>
        <v/>
      </c>
      <c r="BC87" s="2">
        <f>(AY87-AZ87-BB87)*Inputs!$B$32</f>
        <v/>
      </c>
      <c r="BD87" s="2">
        <f>AY87-AZ87-BB87-BC87</f>
        <v/>
      </c>
      <c r="BE87" s="2">
        <f>BJ86</f>
        <v/>
      </c>
      <c r="BF87" s="2">
        <f>BE87*Inputs!$B$33</f>
        <v/>
      </c>
      <c r="BG87" s="2">
        <f>(BE87-BF87)*Inputs!$C$15/12</f>
        <v/>
      </c>
      <c r="BH87" s="2">
        <f>IF(MAX(Inputs!$D$15-(A87-1),0)&lt;=0,0,(BE87-BF87)*((Inputs!$C$15/12)/(1-(1+Inputs!$C$15/12)^(-MAX(Inputs!$D$15-(A87-1),0)))-Inputs!$C$15/12))</f>
        <v/>
      </c>
      <c r="BI87" s="2">
        <f>(BE87-BF87-BH87)*Inputs!$B$32</f>
        <v/>
      </c>
      <c r="BJ87" s="2">
        <f>BE87-BF87-BH87-BI87</f>
        <v/>
      </c>
      <c r="BK87" s="2">
        <f>C87+I87+O87+U87+AA87+AG87+AM87+AS87+AY87+BE87</f>
        <v/>
      </c>
      <c r="BL87" s="2">
        <f>D87+J87+P87+V87+AB87+AH87+AN87+AT87+AZ87+BF87</f>
        <v/>
      </c>
      <c r="BM87" s="2">
        <f>E87+K87+Q87+W87+AC87+AI87+AO87+AU87+BA87+BG87</f>
        <v/>
      </c>
      <c r="BN87" s="2">
        <f>F87+L87+R87+X87+AD87+AJ87+AP87+AV87+BB87+BH87</f>
        <v/>
      </c>
      <c r="BO87" s="2">
        <f>G87+M87+S87+Y87+AE87+AK87+AQ87+AW87+BC87+BI87</f>
        <v/>
      </c>
      <c r="BP87" s="2">
        <f>H87+N87+T87+Z87+AF87+AL87+AR87+AX87+BD87+BJ87</f>
        <v/>
      </c>
      <c r="BQ87" s="2">
        <f>IF(A87-Inputs!$B$30&gt;=1,INDEX($BL$5:$BL$101,A87-Inputs!$B$30+1)*(1-Inputs!$B$29),0)</f>
        <v/>
      </c>
      <c r="BR87" s="2">
        <f>BR86+BL87</f>
        <v/>
      </c>
      <c r="BS87" s="2">
        <f>BS86+BQ87</f>
        <v/>
      </c>
      <c r="BT87" s="2">
        <f>BR87*Inputs!$B$29</f>
        <v/>
      </c>
      <c r="BU87" s="2">
        <f>BR87*(1-Inputs!$B$29)-BS87</f>
        <v/>
      </c>
      <c r="BV87" s="2">
        <f>BP87+BU87</f>
        <v/>
      </c>
      <c r="BW87" s="2">
        <f>BM87+BN87+BO87+BQ87</f>
        <v/>
      </c>
      <c r="BX87" s="8">
        <f>BK87-BL87-BN87-BO87-BP87</f>
        <v/>
      </c>
    </row>
    <row r="88">
      <c r="A88" s="7" t="n">
        <v>83</v>
      </c>
      <c r="B88" s="3">
        <f>Inputs!$B$36+(Inputs!$B$37-Inputs!$B$36)*(1-EXP(-A88/Inputs!$B$38))+Inputs!$B$31/10000</f>
        <v/>
      </c>
      <c r="C88" s="2">
        <f>H87</f>
        <v/>
      </c>
      <c r="D88" s="2">
        <f>C88*Inputs!$B$33</f>
        <v/>
      </c>
      <c r="E88" s="2">
        <f>(C88-D88)*Inputs!$C$6/12</f>
        <v/>
      </c>
      <c r="F88" s="2">
        <f>IF(MAX(Inputs!$D$6-(A88-1),0)&lt;=0,0,(C88-D88)*((Inputs!$C$6/12)/(1-(1+Inputs!$C$6/12)^(-MAX(Inputs!$D$6-(A88-1),0)))-Inputs!$C$6/12))</f>
        <v/>
      </c>
      <c r="G88" s="2">
        <f>(C88-D88-F88)*Inputs!$B$32</f>
        <v/>
      </c>
      <c r="H88" s="2">
        <f>C88-D88-F88-G88</f>
        <v/>
      </c>
      <c r="I88" s="2">
        <f>N87</f>
        <v/>
      </c>
      <c r="J88" s="2">
        <f>I88*Inputs!$B$33</f>
        <v/>
      </c>
      <c r="K88" s="2">
        <f>(I88-J88)*Inputs!$C$7/12</f>
        <v/>
      </c>
      <c r="L88" s="2">
        <f>IF(MAX(Inputs!$D$7-(A88-1),0)&lt;=0,0,(I88-J88)*((Inputs!$C$7/12)/(1-(1+Inputs!$C$7/12)^(-MAX(Inputs!$D$7-(A88-1),0)))-Inputs!$C$7/12))</f>
        <v/>
      </c>
      <c r="M88" s="2">
        <f>(I88-J88-L88)*Inputs!$B$32</f>
        <v/>
      </c>
      <c r="N88" s="2">
        <f>I88-J88-L88-M88</f>
        <v/>
      </c>
      <c r="O88" s="2">
        <f>T87</f>
        <v/>
      </c>
      <c r="P88" s="2">
        <f>O88*Inputs!$B$33</f>
        <v/>
      </c>
      <c r="Q88" s="2">
        <f>(O88-P88)*Inputs!$C$8/12</f>
        <v/>
      </c>
      <c r="R88" s="2">
        <f>IF(MAX(Inputs!$D$8-(A88-1),0)&lt;=0,0,(O88-P88)*((Inputs!$C$8/12)/(1-(1+Inputs!$C$8/12)^(-MAX(Inputs!$D$8-(A88-1),0)))-Inputs!$C$8/12))</f>
        <v/>
      </c>
      <c r="S88" s="2">
        <f>(O88-P88-R88)*Inputs!$B$32</f>
        <v/>
      </c>
      <c r="T88" s="2">
        <f>O88-P88-R88-S88</f>
        <v/>
      </c>
      <c r="U88" s="2">
        <f>Z87</f>
        <v/>
      </c>
      <c r="V88" s="2">
        <f>U88*Inputs!$B$33</f>
        <v/>
      </c>
      <c r="W88" s="2">
        <f>(U88-V88)*Inputs!$C$9/12</f>
        <v/>
      </c>
      <c r="X88" s="2">
        <f>IF(MAX(Inputs!$D$9-(A88-1),0)&lt;=0,0,(U88-V88)*((Inputs!$C$9/12)/(1-(1+Inputs!$C$9/12)^(-MAX(Inputs!$D$9-(A88-1),0)))-Inputs!$C$9/12))</f>
        <v/>
      </c>
      <c r="Y88" s="2">
        <f>(U88-V88-X88)*Inputs!$B$32</f>
        <v/>
      </c>
      <c r="Z88" s="2">
        <f>U88-V88-X88-Y88</f>
        <v/>
      </c>
      <c r="AA88" s="2">
        <f>AF87</f>
        <v/>
      </c>
      <c r="AB88" s="2">
        <f>AA88*Inputs!$B$33</f>
        <v/>
      </c>
      <c r="AC88" s="2">
        <f>(AA88-AB88)*Inputs!$C$10/12</f>
        <v/>
      </c>
      <c r="AD88" s="2">
        <f>IF(MAX(Inputs!$D$10-(A88-1),0)&lt;=0,0,(AA88-AB88)*((Inputs!$C$10/12)/(1-(1+Inputs!$C$10/12)^(-MAX(Inputs!$D$10-(A88-1),0)))-Inputs!$C$10/12))</f>
        <v/>
      </c>
      <c r="AE88" s="2">
        <f>(AA88-AB88-AD88)*Inputs!$B$32</f>
        <v/>
      </c>
      <c r="AF88" s="2">
        <f>AA88-AB88-AD88-AE88</f>
        <v/>
      </c>
      <c r="AG88" s="2">
        <f>AL87</f>
        <v/>
      </c>
      <c r="AH88" s="2">
        <f>AG88*Inputs!$B$33</f>
        <v/>
      </c>
      <c r="AI88" s="2">
        <f>(AG88-AH88)*Inputs!$C$11/12</f>
        <v/>
      </c>
      <c r="AJ88" s="2">
        <f>IF(MAX(Inputs!$D$11-(A88-1),0)&lt;=0,0,(AG88-AH88)*((Inputs!$C$11/12)/(1-(1+Inputs!$C$11/12)^(-MAX(Inputs!$D$11-(A88-1),0)))-Inputs!$C$11/12))</f>
        <v/>
      </c>
      <c r="AK88" s="2">
        <f>(AG88-AH88-AJ88)*Inputs!$B$32</f>
        <v/>
      </c>
      <c r="AL88" s="2">
        <f>AG88-AH88-AJ88-AK88</f>
        <v/>
      </c>
      <c r="AM88" s="2">
        <f>AR87</f>
        <v/>
      </c>
      <c r="AN88" s="2">
        <f>AM88*Inputs!$B$33</f>
        <v/>
      </c>
      <c r="AO88" s="2">
        <f>(AM88-AN88)*Inputs!$C$12/12</f>
        <v/>
      </c>
      <c r="AP88" s="2">
        <f>IF(MAX(Inputs!$D$12-(A88-1),0)&lt;=0,0,(AM88-AN88)*((Inputs!$C$12/12)/(1-(1+Inputs!$C$12/12)^(-MAX(Inputs!$D$12-(A88-1),0)))-Inputs!$C$12/12))</f>
        <v/>
      </c>
      <c r="AQ88" s="2">
        <f>(AM88-AN88-AP88)*Inputs!$B$32</f>
        <v/>
      </c>
      <c r="AR88" s="2">
        <f>AM88-AN88-AP88-AQ88</f>
        <v/>
      </c>
      <c r="AS88" s="2">
        <f>AX87</f>
        <v/>
      </c>
      <c r="AT88" s="2">
        <f>AS88*Inputs!$B$33</f>
        <v/>
      </c>
      <c r="AU88" s="2">
        <f>(AS88-AT88)*Inputs!$C$13/12</f>
        <v/>
      </c>
      <c r="AV88" s="2">
        <f>IF(MAX(Inputs!$D$13-(A88-1),0)&lt;=0,0,(AS88-AT88)*((Inputs!$C$13/12)/(1-(1+Inputs!$C$13/12)^(-MAX(Inputs!$D$13-(A88-1),0)))-Inputs!$C$13/12))</f>
        <v/>
      </c>
      <c r="AW88" s="2">
        <f>(AS88-AT88-AV88)*Inputs!$B$32</f>
        <v/>
      </c>
      <c r="AX88" s="2">
        <f>AS88-AT88-AV88-AW88</f>
        <v/>
      </c>
      <c r="AY88" s="2">
        <f>BD87</f>
        <v/>
      </c>
      <c r="AZ88" s="2">
        <f>AY88*Inputs!$B$33</f>
        <v/>
      </c>
      <c r="BA88" s="2">
        <f>(AY88-AZ88)*Inputs!$C$14/12</f>
        <v/>
      </c>
      <c r="BB88" s="2">
        <f>IF(MAX(Inputs!$D$14-(A88-1),0)&lt;=0,0,(AY88-AZ88)*((Inputs!$C$14/12)/(1-(1+Inputs!$C$14/12)^(-MAX(Inputs!$D$14-(A88-1),0)))-Inputs!$C$14/12))</f>
        <v/>
      </c>
      <c r="BC88" s="2">
        <f>(AY88-AZ88-BB88)*Inputs!$B$32</f>
        <v/>
      </c>
      <c r="BD88" s="2">
        <f>AY88-AZ88-BB88-BC88</f>
        <v/>
      </c>
      <c r="BE88" s="2">
        <f>BJ87</f>
        <v/>
      </c>
      <c r="BF88" s="2">
        <f>BE88*Inputs!$B$33</f>
        <v/>
      </c>
      <c r="BG88" s="2">
        <f>(BE88-BF88)*Inputs!$C$15/12</f>
        <v/>
      </c>
      <c r="BH88" s="2">
        <f>IF(MAX(Inputs!$D$15-(A88-1),0)&lt;=0,0,(BE88-BF88)*((Inputs!$C$15/12)/(1-(1+Inputs!$C$15/12)^(-MAX(Inputs!$D$15-(A88-1),0)))-Inputs!$C$15/12))</f>
        <v/>
      </c>
      <c r="BI88" s="2">
        <f>(BE88-BF88-BH88)*Inputs!$B$32</f>
        <v/>
      </c>
      <c r="BJ88" s="2">
        <f>BE88-BF88-BH88-BI88</f>
        <v/>
      </c>
      <c r="BK88" s="2">
        <f>C88+I88+O88+U88+AA88+AG88+AM88+AS88+AY88+BE88</f>
        <v/>
      </c>
      <c r="BL88" s="2">
        <f>D88+J88+P88+V88+AB88+AH88+AN88+AT88+AZ88+BF88</f>
        <v/>
      </c>
      <c r="BM88" s="2">
        <f>E88+K88+Q88+W88+AC88+AI88+AO88+AU88+BA88+BG88</f>
        <v/>
      </c>
      <c r="BN88" s="2">
        <f>F88+L88+R88+X88+AD88+AJ88+AP88+AV88+BB88+BH88</f>
        <v/>
      </c>
      <c r="BO88" s="2">
        <f>G88+M88+S88+Y88+AE88+AK88+AQ88+AW88+BC88+BI88</f>
        <v/>
      </c>
      <c r="BP88" s="2">
        <f>H88+N88+T88+Z88+AF88+AL88+AR88+AX88+BD88+BJ88</f>
        <v/>
      </c>
      <c r="BQ88" s="2">
        <f>IF(A88-Inputs!$B$30&gt;=1,INDEX($BL$5:$BL$101,A88-Inputs!$B$30+1)*(1-Inputs!$B$29),0)</f>
        <v/>
      </c>
      <c r="BR88" s="2">
        <f>BR87+BL88</f>
        <v/>
      </c>
      <c r="BS88" s="2">
        <f>BS87+BQ88</f>
        <v/>
      </c>
      <c r="BT88" s="2">
        <f>BR88*Inputs!$B$29</f>
        <v/>
      </c>
      <c r="BU88" s="2">
        <f>BR88*(1-Inputs!$B$29)-BS88</f>
        <v/>
      </c>
      <c r="BV88" s="2">
        <f>BP88+BU88</f>
        <v/>
      </c>
      <c r="BW88" s="2">
        <f>BM88+BN88+BO88+BQ88</f>
        <v/>
      </c>
      <c r="BX88" s="8">
        <f>BK88-BL88-BN88-BO88-BP88</f>
        <v/>
      </c>
    </row>
    <row r="89">
      <c r="A89" s="7" t="n">
        <v>84</v>
      </c>
      <c r="B89" s="3">
        <f>Inputs!$B$36+(Inputs!$B$37-Inputs!$B$36)*(1-EXP(-A89/Inputs!$B$38))+Inputs!$B$31/10000</f>
        <v/>
      </c>
      <c r="C89" s="2">
        <f>H88</f>
        <v/>
      </c>
      <c r="D89" s="2">
        <f>C89*Inputs!$B$33</f>
        <v/>
      </c>
      <c r="E89" s="2">
        <f>(C89-D89)*Inputs!$C$6/12</f>
        <v/>
      </c>
      <c r="F89" s="2">
        <f>IF(MAX(Inputs!$D$6-(A89-1),0)&lt;=0,0,(C89-D89)*((Inputs!$C$6/12)/(1-(1+Inputs!$C$6/12)^(-MAX(Inputs!$D$6-(A89-1),0)))-Inputs!$C$6/12))</f>
        <v/>
      </c>
      <c r="G89" s="2">
        <f>(C89-D89-F89)*Inputs!$B$32</f>
        <v/>
      </c>
      <c r="H89" s="2">
        <f>C89-D89-F89-G89</f>
        <v/>
      </c>
      <c r="I89" s="2">
        <f>N88</f>
        <v/>
      </c>
      <c r="J89" s="2">
        <f>I89*Inputs!$B$33</f>
        <v/>
      </c>
      <c r="K89" s="2">
        <f>(I89-J89)*Inputs!$C$7/12</f>
        <v/>
      </c>
      <c r="L89" s="2">
        <f>IF(MAX(Inputs!$D$7-(A89-1),0)&lt;=0,0,(I89-J89)*((Inputs!$C$7/12)/(1-(1+Inputs!$C$7/12)^(-MAX(Inputs!$D$7-(A89-1),0)))-Inputs!$C$7/12))</f>
        <v/>
      </c>
      <c r="M89" s="2">
        <f>(I89-J89-L89)*Inputs!$B$32</f>
        <v/>
      </c>
      <c r="N89" s="2">
        <f>I89-J89-L89-M89</f>
        <v/>
      </c>
      <c r="O89" s="2">
        <f>T88</f>
        <v/>
      </c>
      <c r="P89" s="2">
        <f>O89*Inputs!$B$33</f>
        <v/>
      </c>
      <c r="Q89" s="2">
        <f>(O89-P89)*Inputs!$C$8/12</f>
        <v/>
      </c>
      <c r="R89" s="2">
        <f>IF(MAX(Inputs!$D$8-(A89-1),0)&lt;=0,0,(O89-P89)*((Inputs!$C$8/12)/(1-(1+Inputs!$C$8/12)^(-MAX(Inputs!$D$8-(A89-1),0)))-Inputs!$C$8/12))</f>
        <v/>
      </c>
      <c r="S89" s="2">
        <f>(O89-P89-R89)*Inputs!$B$32</f>
        <v/>
      </c>
      <c r="T89" s="2">
        <f>O89-P89-R89-S89</f>
        <v/>
      </c>
      <c r="U89" s="2">
        <f>Z88</f>
        <v/>
      </c>
      <c r="V89" s="2">
        <f>U89*Inputs!$B$33</f>
        <v/>
      </c>
      <c r="W89" s="2">
        <f>(U89-V89)*Inputs!$C$9/12</f>
        <v/>
      </c>
      <c r="X89" s="2">
        <f>IF(MAX(Inputs!$D$9-(A89-1),0)&lt;=0,0,(U89-V89)*((Inputs!$C$9/12)/(1-(1+Inputs!$C$9/12)^(-MAX(Inputs!$D$9-(A89-1),0)))-Inputs!$C$9/12))</f>
        <v/>
      </c>
      <c r="Y89" s="2">
        <f>(U89-V89-X89)*Inputs!$B$32</f>
        <v/>
      </c>
      <c r="Z89" s="2">
        <f>U89-V89-X89-Y89</f>
        <v/>
      </c>
      <c r="AA89" s="2">
        <f>AF88</f>
        <v/>
      </c>
      <c r="AB89" s="2">
        <f>AA89*Inputs!$B$33</f>
        <v/>
      </c>
      <c r="AC89" s="2">
        <f>(AA89-AB89)*Inputs!$C$10/12</f>
        <v/>
      </c>
      <c r="AD89" s="2">
        <f>IF(MAX(Inputs!$D$10-(A89-1),0)&lt;=0,0,(AA89-AB89)*((Inputs!$C$10/12)/(1-(1+Inputs!$C$10/12)^(-MAX(Inputs!$D$10-(A89-1),0)))-Inputs!$C$10/12))</f>
        <v/>
      </c>
      <c r="AE89" s="2">
        <f>(AA89-AB89-AD89)*Inputs!$B$32</f>
        <v/>
      </c>
      <c r="AF89" s="2">
        <f>AA89-AB89-AD89-AE89</f>
        <v/>
      </c>
      <c r="AG89" s="2">
        <f>AL88</f>
        <v/>
      </c>
      <c r="AH89" s="2">
        <f>AG89*Inputs!$B$33</f>
        <v/>
      </c>
      <c r="AI89" s="2">
        <f>(AG89-AH89)*Inputs!$C$11/12</f>
        <v/>
      </c>
      <c r="AJ89" s="2">
        <f>IF(MAX(Inputs!$D$11-(A89-1),0)&lt;=0,0,(AG89-AH89)*((Inputs!$C$11/12)/(1-(1+Inputs!$C$11/12)^(-MAX(Inputs!$D$11-(A89-1),0)))-Inputs!$C$11/12))</f>
        <v/>
      </c>
      <c r="AK89" s="2">
        <f>(AG89-AH89-AJ89)*Inputs!$B$32</f>
        <v/>
      </c>
      <c r="AL89" s="2">
        <f>AG89-AH89-AJ89-AK89</f>
        <v/>
      </c>
      <c r="AM89" s="2">
        <f>AR88</f>
        <v/>
      </c>
      <c r="AN89" s="2">
        <f>AM89*Inputs!$B$33</f>
        <v/>
      </c>
      <c r="AO89" s="2">
        <f>(AM89-AN89)*Inputs!$C$12/12</f>
        <v/>
      </c>
      <c r="AP89" s="2">
        <f>IF(MAX(Inputs!$D$12-(A89-1),0)&lt;=0,0,(AM89-AN89)*((Inputs!$C$12/12)/(1-(1+Inputs!$C$12/12)^(-MAX(Inputs!$D$12-(A89-1),0)))-Inputs!$C$12/12))</f>
        <v/>
      </c>
      <c r="AQ89" s="2">
        <f>(AM89-AN89-AP89)*Inputs!$B$32</f>
        <v/>
      </c>
      <c r="AR89" s="2">
        <f>AM89-AN89-AP89-AQ89</f>
        <v/>
      </c>
      <c r="AS89" s="2">
        <f>AX88</f>
        <v/>
      </c>
      <c r="AT89" s="2">
        <f>AS89*Inputs!$B$33</f>
        <v/>
      </c>
      <c r="AU89" s="2">
        <f>(AS89-AT89)*Inputs!$C$13/12</f>
        <v/>
      </c>
      <c r="AV89" s="2">
        <f>IF(MAX(Inputs!$D$13-(A89-1),0)&lt;=0,0,(AS89-AT89)*((Inputs!$C$13/12)/(1-(1+Inputs!$C$13/12)^(-MAX(Inputs!$D$13-(A89-1),0)))-Inputs!$C$13/12))</f>
        <v/>
      </c>
      <c r="AW89" s="2">
        <f>(AS89-AT89-AV89)*Inputs!$B$32</f>
        <v/>
      </c>
      <c r="AX89" s="2">
        <f>AS89-AT89-AV89-AW89</f>
        <v/>
      </c>
      <c r="AY89" s="2">
        <f>BD88</f>
        <v/>
      </c>
      <c r="AZ89" s="2">
        <f>AY89*Inputs!$B$33</f>
        <v/>
      </c>
      <c r="BA89" s="2">
        <f>(AY89-AZ89)*Inputs!$C$14/12</f>
        <v/>
      </c>
      <c r="BB89" s="2">
        <f>IF(MAX(Inputs!$D$14-(A89-1),0)&lt;=0,0,(AY89-AZ89)*((Inputs!$C$14/12)/(1-(1+Inputs!$C$14/12)^(-MAX(Inputs!$D$14-(A89-1),0)))-Inputs!$C$14/12))</f>
        <v/>
      </c>
      <c r="BC89" s="2">
        <f>(AY89-AZ89-BB89)*Inputs!$B$32</f>
        <v/>
      </c>
      <c r="BD89" s="2">
        <f>AY89-AZ89-BB89-BC89</f>
        <v/>
      </c>
      <c r="BE89" s="2">
        <f>BJ88</f>
        <v/>
      </c>
      <c r="BF89" s="2">
        <f>BE89*Inputs!$B$33</f>
        <v/>
      </c>
      <c r="BG89" s="2">
        <f>(BE89-BF89)*Inputs!$C$15/12</f>
        <v/>
      </c>
      <c r="BH89" s="2">
        <f>IF(MAX(Inputs!$D$15-(A89-1),0)&lt;=0,0,(BE89-BF89)*((Inputs!$C$15/12)/(1-(1+Inputs!$C$15/12)^(-MAX(Inputs!$D$15-(A89-1),0)))-Inputs!$C$15/12))</f>
        <v/>
      </c>
      <c r="BI89" s="2">
        <f>(BE89-BF89-BH89)*Inputs!$B$32</f>
        <v/>
      </c>
      <c r="BJ89" s="2">
        <f>BE89-BF89-BH89-BI89</f>
        <v/>
      </c>
      <c r="BK89" s="2">
        <f>C89+I89+O89+U89+AA89+AG89+AM89+AS89+AY89+BE89</f>
        <v/>
      </c>
      <c r="BL89" s="2">
        <f>D89+J89+P89+V89+AB89+AH89+AN89+AT89+AZ89+BF89</f>
        <v/>
      </c>
      <c r="BM89" s="2">
        <f>E89+K89+Q89+W89+AC89+AI89+AO89+AU89+BA89+BG89</f>
        <v/>
      </c>
      <c r="BN89" s="2">
        <f>F89+L89+R89+X89+AD89+AJ89+AP89+AV89+BB89+BH89</f>
        <v/>
      </c>
      <c r="BO89" s="2">
        <f>G89+M89+S89+Y89+AE89+AK89+AQ89+AW89+BC89+BI89</f>
        <v/>
      </c>
      <c r="BP89" s="2">
        <f>H89+N89+T89+Z89+AF89+AL89+AR89+AX89+BD89+BJ89</f>
        <v/>
      </c>
      <c r="BQ89" s="2">
        <f>IF(A89-Inputs!$B$30&gt;=1,INDEX($BL$5:$BL$101,A89-Inputs!$B$30+1)*(1-Inputs!$B$29),0)</f>
        <v/>
      </c>
      <c r="BR89" s="2">
        <f>BR88+BL89</f>
        <v/>
      </c>
      <c r="BS89" s="2">
        <f>BS88+BQ89</f>
        <v/>
      </c>
      <c r="BT89" s="2">
        <f>BR89*Inputs!$B$29</f>
        <v/>
      </c>
      <c r="BU89" s="2">
        <f>BR89*(1-Inputs!$B$29)-BS89</f>
        <v/>
      </c>
      <c r="BV89" s="2">
        <f>BP89+BU89</f>
        <v/>
      </c>
      <c r="BW89" s="2">
        <f>BM89+BN89+BO89+BQ89</f>
        <v/>
      </c>
      <c r="BX89" s="8">
        <f>BK89-BL89-BN89-BO89-BP89</f>
        <v/>
      </c>
    </row>
    <row r="90">
      <c r="A90" s="7" t="n">
        <v>85</v>
      </c>
      <c r="B90" s="3">
        <f>Inputs!$B$36+(Inputs!$B$37-Inputs!$B$36)*(1-EXP(-A90/Inputs!$B$38))+Inputs!$B$31/10000</f>
        <v/>
      </c>
      <c r="C90" s="2">
        <f>H89</f>
        <v/>
      </c>
      <c r="D90" s="2">
        <f>C90*Inputs!$B$33</f>
        <v/>
      </c>
      <c r="E90" s="2">
        <f>(C90-D90)*Inputs!$C$6/12</f>
        <v/>
      </c>
      <c r="F90" s="2">
        <f>IF(MAX(Inputs!$D$6-(A90-1),0)&lt;=0,0,(C90-D90)*((Inputs!$C$6/12)/(1-(1+Inputs!$C$6/12)^(-MAX(Inputs!$D$6-(A90-1),0)))-Inputs!$C$6/12))</f>
        <v/>
      </c>
      <c r="G90" s="2">
        <f>(C90-D90-F90)*Inputs!$B$32</f>
        <v/>
      </c>
      <c r="H90" s="2">
        <f>C90-D90-F90-G90</f>
        <v/>
      </c>
      <c r="I90" s="2">
        <f>N89</f>
        <v/>
      </c>
      <c r="J90" s="2">
        <f>I90*Inputs!$B$33</f>
        <v/>
      </c>
      <c r="K90" s="2">
        <f>(I90-J90)*Inputs!$C$7/12</f>
        <v/>
      </c>
      <c r="L90" s="2">
        <f>IF(MAX(Inputs!$D$7-(A90-1),0)&lt;=0,0,(I90-J90)*((Inputs!$C$7/12)/(1-(1+Inputs!$C$7/12)^(-MAX(Inputs!$D$7-(A90-1),0)))-Inputs!$C$7/12))</f>
        <v/>
      </c>
      <c r="M90" s="2">
        <f>(I90-J90-L90)*Inputs!$B$32</f>
        <v/>
      </c>
      <c r="N90" s="2">
        <f>I90-J90-L90-M90</f>
        <v/>
      </c>
      <c r="O90" s="2">
        <f>T89</f>
        <v/>
      </c>
      <c r="P90" s="2">
        <f>O90*Inputs!$B$33</f>
        <v/>
      </c>
      <c r="Q90" s="2">
        <f>(O90-P90)*Inputs!$C$8/12</f>
        <v/>
      </c>
      <c r="R90" s="2">
        <f>IF(MAX(Inputs!$D$8-(A90-1),0)&lt;=0,0,(O90-P90)*((Inputs!$C$8/12)/(1-(1+Inputs!$C$8/12)^(-MAX(Inputs!$D$8-(A90-1),0)))-Inputs!$C$8/12))</f>
        <v/>
      </c>
      <c r="S90" s="2">
        <f>(O90-P90-R90)*Inputs!$B$32</f>
        <v/>
      </c>
      <c r="T90" s="2">
        <f>O90-P90-R90-S90</f>
        <v/>
      </c>
      <c r="U90" s="2">
        <f>Z89</f>
        <v/>
      </c>
      <c r="V90" s="2">
        <f>U90*Inputs!$B$33</f>
        <v/>
      </c>
      <c r="W90" s="2">
        <f>(U90-V90)*Inputs!$C$9/12</f>
        <v/>
      </c>
      <c r="X90" s="2">
        <f>IF(MAX(Inputs!$D$9-(A90-1),0)&lt;=0,0,(U90-V90)*((Inputs!$C$9/12)/(1-(1+Inputs!$C$9/12)^(-MAX(Inputs!$D$9-(A90-1),0)))-Inputs!$C$9/12))</f>
        <v/>
      </c>
      <c r="Y90" s="2">
        <f>(U90-V90-X90)*Inputs!$B$32</f>
        <v/>
      </c>
      <c r="Z90" s="2">
        <f>U90-V90-X90-Y90</f>
        <v/>
      </c>
      <c r="AA90" s="2">
        <f>AF89</f>
        <v/>
      </c>
      <c r="AB90" s="2">
        <f>AA90*Inputs!$B$33</f>
        <v/>
      </c>
      <c r="AC90" s="2">
        <f>(AA90-AB90)*Inputs!$C$10/12</f>
        <v/>
      </c>
      <c r="AD90" s="2">
        <f>IF(MAX(Inputs!$D$10-(A90-1),0)&lt;=0,0,(AA90-AB90)*((Inputs!$C$10/12)/(1-(1+Inputs!$C$10/12)^(-MAX(Inputs!$D$10-(A90-1),0)))-Inputs!$C$10/12))</f>
        <v/>
      </c>
      <c r="AE90" s="2">
        <f>(AA90-AB90-AD90)*Inputs!$B$32</f>
        <v/>
      </c>
      <c r="AF90" s="2">
        <f>AA90-AB90-AD90-AE90</f>
        <v/>
      </c>
      <c r="AG90" s="2">
        <f>AL89</f>
        <v/>
      </c>
      <c r="AH90" s="2">
        <f>AG90*Inputs!$B$33</f>
        <v/>
      </c>
      <c r="AI90" s="2">
        <f>(AG90-AH90)*Inputs!$C$11/12</f>
        <v/>
      </c>
      <c r="AJ90" s="2">
        <f>IF(MAX(Inputs!$D$11-(A90-1),0)&lt;=0,0,(AG90-AH90)*((Inputs!$C$11/12)/(1-(1+Inputs!$C$11/12)^(-MAX(Inputs!$D$11-(A90-1),0)))-Inputs!$C$11/12))</f>
        <v/>
      </c>
      <c r="AK90" s="2">
        <f>(AG90-AH90-AJ90)*Inputs!$B$32</f>
        <v/>
      </c>
      <c r="AL90" s="2">
        <f>AG90-AH90-AJ90-AK90</f>
        <v/>
      </c>
      <c r="AM90" s="2">
        <f>AR89</f>
        <v/>
      </c>
      <c r="AN90" s="2">
        <f>AM90*Inputs!$B$33</f>
        <v/>
      </c>
      <c r="AO90" s="2">
        <f>(AM90-AN90)*Inputs!$C$12/12</f>
        <v/>
      </c>
      <c r="AP90" s="2">
        <f>IF(MAX(Inputs!$D$12-(A90-1),0)&lt;=0,0,(AM90-AN90)*((Inputs!$C$12/12)/(1-(1+Inputs!$C$12/12)^(-MAX(Inputs!$D$12-(A90-1),0)))-Inputs!$C$12/12))</f>
        <v/>
      </c>
      <c r="AQ90" s="2">
        <f>(AM90-AN90-AP90)*Inputs!$B$32</f>
        <v/>
      </c>
      <c r="AR90" s="2">
        <f>AM90-AN90-AP90-AQ90</f>
        <v/>
      </c>
      <c r="AS90" s="2">
        <f>AX89</f>
        <v/>
      </c>
      <c r="AT90" s="2">
        <f>AS90*Inputs!$B$33</f>
        <v/>
      </c>
      <c r="AU90" s="2">
        <f>(AS90-AT90)*Inputs!$C$13/12</f>
        <v/>
      </c>
      <c r="AV90" s="2">
        <f>IF(MAX(Inputs!$D$13-(A90-1),0)&lt;=0,0,(AS90-AT90)*((Inputs!$C$13/12)/(1-(1+Inputs!$C$13/12)^(-MAX(Inputs!$D$13-(A90-1),0)))-Inputs!$C$13/12))</f>
        <v/>
      </c>
      <c r="AW90" s="2">
        <f>(AS90-AT90-AV90)*Inputs!$B$32</f>
        <v/>
      </c>
      <c r="AX90" s="2">
        <f>AS90-AT90-AV90-AW90</f>
        <v/>
      </c>
      <c r="AY90" s="2">
        <f>BD89</f>
        <v/>
      </c>
      <c r="AZ90" s="2">
        <f>AY90*Inputs!$B$33</f>
        <v/>
      </c>
      <c r="BA90" s="2">
        <f>(AY90-AZ90)*Inputs!$C$14/12</f>
        <v/>
      </c>
      <c r="BB90" s="2">
        <f>IF(MAX(Inputs!$D$14-(A90-1),0)&lt;=0,0,(AY90-AZ90)*((Inputs!$C$14/12)/(1-(1+Inputs!$C$14/12)^(-MAX(Inputs!$D$14-(A90-1),0)))-Inputs!$C$14/12))</f>
        <v/>
      </c>
      <c r="BC90" s="2">
        <f>(AY90-AZ90-BB90)*Inputs!$B$32</f>
        <v/>
      </c>
      <c r="BD90" s="2">
        <f>AY90-AZ90-BB90-BC90</f>
        <v/>
      </c>
      <c r="BE90" s="2">
        <f>BJ89</f>
        <v/>
      </c>
      <c r="BF90" s="2">
        <f>BE90*Inputs!$B$33</f>
        <v/>
      </c>
      <c r="BG90" s="2">
        <f>(BE90-BF90)*Inputs!$C$15/12</f>
        <v/>
      </c>
      <c r="BH90" s="2">
        <f>IF(MAX(Inputs!$D$15-(A90-1),0)&lt;=0,0,(BE90-BF90)*((Inputs!$C$15/12)/(1-(1+Inputs!$C$15/12)^(-MAX(Inputs!$D$15-(A90-1),0)))-Inputs!$C$15/12))</f>
        <v/>
      </c>
      <c r="BI90" s="2">
        <f>(BE90-BF90-BH90)*Inputs!$B$32</f>
        <v/>
      </c>
      <c r="BJ90" s="2">
        <f>BE90-BF90-BH90-BI90</f>
        <v/>
      </c>
      <c r="BK90" s="2">
        <f>C90+I90+O90+U90+AA90+AG90+AM90+AS90+AY90+BE90</f>
        <v/>
      </c>
      <c r="BL90" s="2">
        <f>D90+J90+P90+V90+AB90+AH90+AN90+AT90+AZ90+BF90</f>
        <v/>
      </c>
      <c r="BM90" s="2">
        <f>E90+K90+Q90+W90+AC90+AI90+AO90+AU90+BA90+BG90</f>
        <v/>
      </c>
      <c r="BN90" s="2">
        <f>F90+L90+R90+X90+AD90+AJ90+AP90+AV90+BB90+BH90</f>
        <v/>
      </c>
      <c r="BO90" s="2">
        <f>G90+M90+S90+Y90+AE90+AK90+AQ90+AW90+BC90+BI90</f>
        <v/>
      </c>
      <c r="BP90" s="2">
        <f>H90+N90+T90+Z90+AF90+AL90+AR90+AX90+BD90+BJ90</f>
        <v/>
      </c>
      <c r="BQ90" s="2">
        <f>IF(A90-Inputs!$B$30&gt;=1,INDEX($BL$5:$BL$101,A90-Inputs!$B$30+1)*(1-Inputs!$B$29),0)</f>
        <v/>
      </c>
      <c r="BR90" s="2">
        <f>BR89+BL90</f>
        <v/>
      </c>
      <c r="BS90" s="2">
        <f>BS89+BQ90</f>
        <v/>
      </c>
      <c r="BT90" s="2">
        <f>BR90*Inputs!$B$29</f>
        <v/>
      </c>
      <c r="BU90" s="2">
        <f>BR90*(1-Inputs!$B$29)-BS90</f>
        <v/>
      </c>
      <c r="BV90" s="2">
        <f>BP90+BU90</f>
        <v/>
      </c>
      <c r="BW90" s="2">
        <f>BM90+BN90+BO90+BQ90</f>
        <v/>
      </c>
      <c r="BX90" s="8">
        <f>BK90-BL90-BN90-BO90-BP90</f>
        <v/>
      </c>
    </row>
    <row r="91">
      <c r="A91" s="7" t="n">
        <v>86</v>
      </c>
      <c r="B91" s="3">
        <f>Inputs!$B$36+(Inputs!$B$37-Inputs!$B$36)*(1-EXP(-A91/Inputs!$B$38))+Inputs!$B$31/10000</f>
        <v/>
      </c>
      <c r="C91" s="2">
        <f>H90</f>
        <v/>
      </c>
      <c r="D91" s="2">
        <f>C91*Inputs!$B$33</f>
        <v/>
      </c>
      <c r="E91" s="2">
        <f>(C91-D91)*Inputs!$C$6/12</f>
        <v/>
      </c>
      <c r="F91" s="2">
        <f>IF(MAX(Inputs!$D$6-(A91-1),0)&lt;=0,0,(C91-D91)*((Inputs!$C$6/12)/(1-(1+Inputs!$C$6/12)^(-MAX(Inputs!$D$6-(A91-1),0)))-Inputs!$C$6/12))</f>
        <v/>
      </c>
      <c r="G91" s="2">
        <f>(C91-D91-F91)*Inputs!$B$32</f>
        <v/>
      </c>
      <c r="H91" s="2">
        <f>C91-D91-F91-G91</f>
        <v/>
      </c>
      <c r="I91" s="2">
        <f>N90</f>
        <v/>
      </c>
      <c r="J91" s="2">
        <f>I91*Inputs!$B$33</f>
        <v/>
      </c>
      <c r="K91" s="2">
        <f>(I91-J91)*Inputs!$C$7/12</f>
        <v/>
      </c>
      <c r="L91" s="2">
        <f>IF(MAX(Inputs!$D$7-(A91-1),0)&lt;=0,0,(I91-J91)*((Inputs!$C$7/12)/(1-(1+Inputs!$C$7/12)^(-MAX(Inputs!$D$7-(A91-1),0)))-Inputs!$C$7/12))</f>
        <v/>
      </c>
      <c r="M91" s="2">
        <f>(I91-J91-L91)*Inputs!$B$32</f>
        <v/>
      </c>
      <c r="N91" s="2">
        <f>I91-J91-L91-M91</f>
        <v/>
      </c>
      <c r="O91" s="2">
        <f>T90</f>
        <v/>
      </c>
      <c r="P91" s="2">
        <f>O91*Inputs!$B$33</f>
        <v/>
      </c>
      <c r="Q91" s="2">
        <f>(O91-P91)*Inputs!$C$8/12</f>
        <v/>
      </c>
      <c r="R91" s="2">
        <f>IF(MAX(Inputs!$D$8-(A91-1),0)&lt;=0,0,(O91-P91)*((Inputs!$C$8/12)/(1-(1+Inputs!$C$8/12)^(-MAX(Inputs!$D$8-(A91-1),0)))-Inputs!$C$8/12))</f>
        <v/>
      </c>
      <c r="S91" s="2">
        <f>(O91-P91-R91)*Inputs!$B$32</f>
        <v/>
      </c>
      <c r="T91" s="2">
        <f>O91-P91-R91-S91</f>
        <v/>
      </c>
      <c r="U91" s="2">
        <f>Z90</f>
        <v/>
      </c>
      <c r="V91" s="2">
        <f>U91*Inputs!$B$33</f>
        <v/>
      </c>
      <c r="W91" s="2">
        <f>(U91-V91)*Inputs!$C$9/12</f>
        <v/>
      </c>
      <c r="X91" s="2">
        <f>IF(MAX(Inputs!$D$9-(A91-1),0)&lt;=0,0,(U91-V91)*((Inputs!$C$9/12)/(1-(1+Inputs!$C$9/12)^(-MAX(Inputs!$D$9-(A91-1),0)))-Inputs!$C$9/12))</f>
        <v/>
      </c>
      <c r="Y91" s="2">
        <f>(U91-V91-X91)*Inputs!$B$32</f>
        <v/>
      </c>
      <c r="Z91" s="2">
        <f>U91-V91-X91-Y91</f>
        <v/>
      </c>
      <c r="AA91" s="2">
        <f>AF90</f>
        <v/>
      </c>
      <c r="AB91" s="2">
        <f>AA91*Inputs!$B$33</f>
        <v/>
      </c>
      <c r="AC91" s="2">
        <f>(AA91-AB91)*Inputs!$C$10/12</f>
        <v/>
      </c>
      <c r="AD91" s="2">
        <f>IF(MAX(Inputs!$D$10-(A91-1),0)&lt;=0,0,(AA91-AB91)*((Inputs!$C$10/12)/(1-(1+Inputs!$C$10/12)^(-MAX(Inputs!$D$10-(A91-1),0)))-Inputs!$C$10/12))</f>
        <v/>
      </c>
      <c r="AE91" s="2">
        <f>(AA91-AB91-AD91)*Inputs!$B$32</f>
        <v/>
      </c>
      <c r="AF91" s="2">
        <f>AA91-AB91-AD91-AE91</f>
        <v/>
      </c>
      <c r="AG91" s="2">
        <f>AL90</f>
        <v/>
      </c>
      <c r="AH91" s="2">
        <f>AG91*Inputs!$B$33</f>
        <v/>
      </c>
      <c r="AI91" s="2">
        <f>(AG91-AH91)*Inputs!$C$11/12</f>
        <v/>
      </c>
      <c r="AJ91" s="2">
        <f>IF(MAX(Inputs!$D$11-(A91-1),0)&lt;=0,0,(AG91-AH91)*((Inputs!$C$11/12)/(1-(1+Inputs!$C$11/12)^(-MAX(Inputs!$D$11-(A91-1),0)))-Inputs!$C$11/12))</f>
        <v/>
      </c>
      <c r="AK91" s="2">
        <f>(AG91-AH91-AJ91)*Inputs!$B$32</f>
        <v/>
      </c>
      <c r="AL91" s="2">
        <f>AG91-AH91-AJ91-AK91</f>
        <v/>
      </c>
      <c r="AM91" s="2">
        <f>AR90</f>
        <v/>
      </c>
      <c r="AN91" s="2">
        <f>AM91*Inputs!$B$33</f>
        <v/>
      </c>
      <c r="AO91" s="2">
        <f>(AM91-AN91)*Inputs!$C$12/12</f>
        <v/>
      </c>
      <c r="AP91" s="2">
        <f>IF(MAX(Inputs!$D$12-(A91-1),0)&lt;=0,0,(AM91-AN91)*((Inputs!$C$12/12)/(1-(1+Inputs!$C$12/12)^(-MAX(Inputs!$D$12-(A91-1),0)))-Inputs!$C$12/12))</f>
        <v/>
      </c>
      <c r="AQ91" s="2">
        <f>(AM91-AN91-AP91)*Inputs!$B$32</f>
        <v/>
      </c>
      <c r="AR91" s="2">
        <f>AM91-AN91-AP91-AQ91</f>
        <v/>
      </c>
      <c r="AS91" s="2">
        <f>AX90</f>
        <v/>
      </c>
      <c r="AT91" s="2">
        <f>AS91*Inputs!$B$33</f>
        <v/>
      </c>
      <c r="AU91" s="2">
        <f>(AS91-AT91)*Inputs!$C$13/12</f>
        <v/>
      </c>
      <c r="AV91" s="2">
        <f>IF(MAX(Inputs!$D$13-(A91-1),0)&lt;=0,0,(AS91-AT91)*((Inputs!$C$13/12)/(1-(1+Inputs!$C$13/12)^(-MAX(Inputs!$D$13-(A91-1),0)))-Inputs!$C$13/12))</f>
        <v/>
      </c>
      <c r="AW91" s="2">
        <f>(AS91-AT91-AV91)*Inputs!$B$32</f>
        <v/>
      </c>
      <c r="AX91" s="2">
        <f>AS91-AT91-AV91-AW91</f>
        <v/>
      </c>
      <c r="AY91" s="2">
        <f>BD90</f>
        <v/>
      </c>
      <c r="AZ91" s="2">
        <f>AY91*Inputs!$B$33</f>
        <v/>
      </c>
      <c r="BA91" s="2">
        <f>(AY91-AZ91)*Inputs!$C$14/12</f>
        <v/>
      </c>
      <c r="BB91" s="2">
        <f>IF(MAX(Inputs!$D$14-(A91-1),0)&lt;=0,0,(AY91-AZ91)*((Inputs!$C$14/12)/(1-(1+Inputs!$C$14/12)^(-MAX(Inputs!$D$14-(A91-1),0)))-Inputs!$C$14/12))</f>
        <v/>
      </c>
      <c r="BC91" s="2">
        <f>(AY91-AZ91-BB91)*Inputs!$B$32</f>
        <v/>
      </c>
      <c r="BD91" s="2">
        <f>AY91-AZ91-BB91-BC91</f>
        <v/>
      </c>
      <c r="BE91" s="2">
        <f>BJ90</f>
        <v/>
      </c>
      <c r="BF91" s="2">
        <f>BE91*Inputs!$B$33</f>
        <v/>
      </c>
      <c r="BG91" s="2">
        <f>(BE91-BF91)*Inputs!$C$15/12</f>
        <v/>
      </c>
      <c r="BH91" s="2">
        <f>IF(MAX(Inputs!$D$15-(A91-1),0)&lt;=0,0,(BE91-BF91)*((Inputs!$C$15/12)/(1-(1+Inputs!$C$15/12)^(-MAX(Inputs!$D$15-(A91-1),0)))-Inputs!$C$15/12))</f>
        <v/>
      </c>
      <c r="BI91" s="2">
        <f>(BE91-BF91-BH91)*Inputs!$B$32</f>
        <v/>
      </c>
      <c r="BJ91" s="2">
        <f>BE91-BF91-BH91-BI91</f>
        <v/>
      </c>
      <c r="BK91" s="2">
        <f>C91+I91+O91+U91+AA91+AG91+AM91+AS91+AY91+BE91</f>
        <v/>
      </c>
      <c r="BL91" s="2">
        <f>D91+J91+P91+V91+AB91+AH91+AN91+AT91+AZ91+BF91</f>
        <v/>
      </c>
      <c r="BM91" s="2">
        <f>E91+K91+Q91+W91+AC91+AI91+AO91+AU91+BA91+BG91</f>
        <v/>
      </c>
      <c r="BN91" s="2">
        <f>F91+L91+R91+X91+AD91+AJ91+AP91+AV91+BB91+BH91</f>
        <v/>
      </c>
      <c r="BO91" s="2">
        <f>G91+M91+S91+Y91+AE91+AK91+AQ91+AW91+BC91+BI91</f>
        <v/>
      </c>
      <c r="BP91" s="2">
        <f>H91+N91+T91+Z91+AF91+AL91+AR91+AX91+BD91+BJ91</f>
        <v/>
      </c>
      <c r="BQ91" s="2">
        <f>IF(A91-Inputs!$B$30&gt;=1,INDEX($BL$5:$BL$101,A91-Inputs!$B$30+1)*(1-Inputs!$B$29),0)</f>
        <v/>
      </c>
      <c r="BR91" s="2">
        <f>BR90+BL91</f>
        <v/>
      </c>
      <c r="BS91" s="2">
        <f>BS90+BQ91</f>
        <v/>
      </c>
      <c r="BT91" s="2">
        <f>BR91*Inputs!$B$29</f>
        <v/>
      </c>
      <c r="BU91" s="2">
        <f>BR91*(1-Inputs!$B$29)-BS91</f>
        <v/>
      </c>
      <c r="BV91" s="2">
        <f>BP91+BU91</f>
        <v/>
      </c>
      <c r="BW91" s="2">
        <f>BM91+BN91+BO91+BQ91</f>
        <v/>
      </c>
      <c r="BX91" s="8">
        <f>BK91-BL91-BN91-BO91-BP91</f>
        <v/>
      </c>
    </row>
    <row r="92">
      <c r="A92" s="7" t="n">
        <v>87</v>
      </c>
      <c r="B92" s="3">
        <f>Inputs!$B$36+(Inputs!$B$37-Inputs!$B$36)*(1-EXP(-A92/Inputs!$B$38))+Inputs!$B$31/10000</f>
        <v/>
      </c>
      <c r="C92" s="2">
        <f>H91</f>
        <v/>
      </c>
      <c r="D92" s="2">
        <f>C92*Inputs!$B$33</f>
        <v/>
      </c>
      <c r="E92" s="2">
        <f>(C92-D92)*Inputs!$C$6/12</f>
        <v/>
      </c>
      <c r="F92" s="2">
        <f>IF(MAX(Inputs!$D$6-(A92-1),0)&lt;=0,0,(C92-D92)*((Inputs!$C$6/12)/(1-(1+Inputs!$C$6/12)^(-MAX(Inputs!$D$6-(A92-1),0)))-Inputs!$C$6/12))</f>
        <v/>
      </c>
      <c r="G92" s="2">
        <f>(C92-D92-F92)*Inputs!$B$32</f>
        <v/>
      </c>
      <c r="H92" s="2">
        <f>C92-D92-F92-G92</f>
        <v/>
      </c>
      <c r="I92" s="2">
        <f>N91</f>
        <v/>
      </c>
      <c r="J92" s="2">
        <f>I92*Inputs!$B$33</f>
        <v/>
      </c>
      <c r="K92" s="2">
        <f>(I92-J92)*Inputs!$C$7/12</f>
        <v/>
      </c>
      <c r="L92" s="2">
        <f>IF(MAX(Inputs!$D$7-(A92-1),0)&lt;=0,0,(I92-J92)*((Inputs!$C$7/12)/(1-(1+Inputs!$C$7/12)^(-MAX(Inputs!$D$7-(A92-1),0)))-Inputs!$C$7/12))</f>
        <v/>
      </c>
      <c r="M92" s="2">
        <f>(I92-J92-L92)*Inputs!$B$32</f>
        <v/>
      </c>
      <c r="N92" s="2">
        <f>I92-J92-L92-M92</f>
        <v/>
      </c>
      <c r="O92" s="2">
        <f>T91</f>
        <v/>
      </c>
      <c r="P92" s="2">
        <f>O92*Inputs!$B$33</f>
        <v/>
      </c>
      <c r="Q92" s="2">
        <f>(O92-P92)*Inputs!$C$8/12</f>
        <v/>
      </c>
      <c r="R92" s="2">
        <f>IF(MAX(Inputs!$D$8-(A92-1),0)&lt;=0,0,(O92-P92)*((Inputs!$C$8/12)/(1-(1+Inputs!$C$8/12)^(-MAX(Inputs!$D$8-(A92-1),0)))-Inputs!$C$8/12))</f>
        <v/>
      </c>
      <c r="S92" s="2">
        <f>(O92-P92-R92)*Inputs!$B$32</f>
        <v/>
      </c>
      <c r="T92" s="2">
        <f>O92-P92-R92-S92</f>
        <v/>
      </c>
      <c r="U92" s="2">
        <f>Z91</f>
        <v/>
      </c>
      <c r="V92" s="2">
        <f>U92*Inputs!$B$33</f>
        <v/>
      </c>
      <c r="W92" s="2">
        <f>(U92-V92)*Inputs!$C$9/12</f>
        <v/>
      </c>
      <c r="X92" s="2">
        <f>IF(MAX(Inputs!$D$9-(A92-1),0)&lt;=0,0,(U92-V92)*((Inputs!$C$9/12)/(1-(1+Inputs!$C$9/12)^(-MAX(Inputs!$D$9-(A92-1),0)))-Inputs!$C$9/12))</f>
        <v/>
      </c>
      <c r="Y92" s="2">
        <f>(U92-V92-X92)*Inputs!$B$32</f>
        <v/>
      </c>
      <c r="Z92" s="2">
        <f>U92-V92-X92-Y92</f>
        <v/>
      </c>
      <c r="AA92" s="2">
        <f>AF91</f>
        <v/>
      </c>
      <c r="AB92" s="2">
        <f>AA92*Inputs!$B$33</f>
        <v/>
      </c>
      <c r="AC92" s="2">
        <f>(AA92-AB92)*Inputs!$C$10/12</f>
        <v/>
      </c>
      <c r="AD92" s="2">
        <f>IF(MAX(Inputs!$D$10-(A92-1),0)&lt;=0,0,(AA92-AB92)*((Inputs!$C$10/12)/(1-(1+Inputs!$C$10/12)^(-MAX(Inputs!$D$10-(A92-1),0)))-Inputs!$C$10/12))</f>
        <v/>
      </c>
      <c r="AE92" s="2">
        <f>(AA92-AB92-AD92)*Inputs!$B$32</f>
        <v/>
      </c>
      <c r="AF92" s="2">
        <f>AA92-AB92-AD92-AE92</f>
        <v/>
      </c>
      <c r="AG92" s="2">
        <f>AL91</f>
        <v/>
      </c>
      <c r="AH92" s="2">
        <f>AG92*Inputs!$B$33</f>
        <v/>
      </c>
      <c r="AI92" s="2">
        <f>(AG92-AH92)*Inputs!$C$11/12</f>
        <v/>
      </c>
      <c r="AJ92" s="2">
        <f>IF(MAX(Inputs!$D$11-(A92-1),0)&lt;=0,0,(AG92-AH92)*((Inputs!$C$11/12)/(1-(1+Inputs!$C$11/12)^(-MAX(Inputs!$D$11-(A92-1),0)))-Inputs!$C$11/12))</f>
        <v/>
      </c>
      <c r="AK92" s="2">
        <f>(AG92-AH92-AJ92)*Inputs!$B$32</f>
        <v/>
      </c>
      <c r="AL92" s="2">
        <f>AG92-AH92-AJ92-AK92</f>
        <v/>
      </c>
      <c r="AM92" s="2">
        <f>AR91</f>
        <v/>
      </c>
      <c r="AN92" s="2">
        <f>AM92*Inputs!$B$33</f>
        <v/>
      </c>
      <c r="AO92" s="2">
        <f>(AM92-AN92)*Inputs!$C$12/12</f>
        <v/>
      </c>
      <c r="AP92" s="2">
        <f>IF(MAX(Inputs!$D$12-(A92-1),0)&lt;=0,0,(AM92-AN92)*((Inputs!$C$12/12)/(1-(1+Inputs!$C$12/12)^(-MAX(Inputs!$D$12-(A92-1),0)))-Inputs!$C$12/12))</f>
        <v/>
      </c>
      <c r="AQ92" s="2">
        <f>(AM92-AN92-AP92)*Inputs!$B$32</f>
        <v/>
      </c>
      <c r="AR92" s="2">
        <f>AM92-AN92-AP92-AQ92</f>
        <v/>
      </c>
      <c r="AS92" s="2">
        <f>AX91</f>
        <v/>
      </c>
      <c r="AT92" s="2">
        <f>AS92*Inputs!$B$33</f>
        <v/>
      </c>
      <c r="AU92" s="2">
        <f>(AS92-AT92)*Inputs!$C$13/12</f>
        <v/>
      </c>
      <c r="AV92" s="2">
        <f>IF(MAX(Inputs!$D$13-(A92-1),0)&lt;=0,0,(AS92-AT92)*((Inputs!$C$13/12)/(1-(1+Inputs!$C$13/12)^(-MAX(Inputs!$D$13-(A92-1),0)))-Inputs!$C$13/12))</f>
        <v/>
      </c>
      <c r="AW92" s="2">
        <f>(AS92-AT92-AV92)*Inputs!$B$32</f>
        <v/>
      </c>
      <c r="AX92" s="2">
        <f>AS92-AT92-AV92-AW92</f>
        <v/>
      </c>
      <c r="AY92" s="2">
        <f>BD91</f>
        <v/>
      </c>
      <c r="AZ92" s="2">
        <f>AY92*Inputs!$B$33</f>
        <v/>
      </c>
      <c r="BA92" s="2">
        <f>(AY92-AZ92)*Inputs!$C$14/12</f>
        <v/>
      </c>
      <c r="BB92" s="2">
        <f>IF(MAX(Inputs!$D$14-(A92-1),0)&lt;=0,0,(AY92-AZ92)*((Inputs!$C$14/12)/(1-(1+Inputs!$C$14/12)^(-MAX(Inputs!$D$14-(A92-1),0)))-Inputs!$C$14/12))</f>
        <v/>
      </c>
      <c r="BC92" s="2">
        <f>(AY92-AZ92-BB92)*Inputs!$B$32</f>
        <v/>
      </c>
      <c r="BD92" s="2">
        <f>AY92-AZ92-BB92-BC92</f>
        <v/>
      </c>
      <c r="BE92" s="2">
        <f>BJ91</f>
        <v/>
      </c>
      <c r="BF92" s="2">
        <f>BE92*Inputs!$B$33</f>
        <v/>
      </c>
      <c r="BG92" s="2">
        <f>(BE92-BF92)*Inputs!$C$15/12</f>
        <v/>
      </c>
      <c r="BH92" s="2">
        <f>IF(MAX(Inputs!$D$15-(A92-1),0)&lt;=0,0,(BE92-BF92)*((Inputs!$C$15/12)/(1-(1+Inputs!$C$15/12)^(-MAX(Inputs!$D$15-(A92-1),0)))-Inputs!$C$15/12))</f>
        <v/>
      </c>
      <c r="BI92" s="2">
        <f>(BE92-BF92-BH92)*Inputs!$B$32</f>
        <v/>
      </c>
      <c r="BJ92" s="2">
        <f>BE92-BF92-BH92-BI92</f>
        <v/>
      </c>
      <c r="BK92" s="2">
        <f>C92+I92+O92+U92+AA92+AG92+AM92+AS92+AY92+BE92</f>
        <v/>
      </c>
      <c r="BL92" s="2">
        <f>D92+J92+P92+V92+AB92+AH92+AN92+AT92+AZ92+BF92</f>
        <v/>
      </c>
      <c r="BM92" s="2">
        <f>E92+K92+Q92+W92+AC92+AI92+AO92+AU92+BA92+BG92</f>
        <v/>
      </c>
      <c r="BN92" s="2">
        <f>F92+L92+R92+X92+AD92+AJ92+AP92+AV92+BB92+BH92</f>
        <v/>
      </c>
      <c r="BO92" s="2">
        <f>G92+M92+S92+Y92+AE92+AK92+AQ92+AW92+BC92+BI92</f>
        <v/>
      </c>
      <c r="BP92" s="2">
        <f>H92+N92+T92+Z92+AF92+AL92+AR92+AX92+BD92+BJ92</f>
        <v/>
      </c>
      <c r="BQ92" s="2">
        <f>IF(A92-Inputs!$B$30&gt;=1,INDEX($BL$5:$BL$101,A92-Inputs!$B$30+1)*(1-Inputs!$B$29),0)</f>
        <v/>
      </c>
      <c r="BR92" s="2">
        <f>BR91+BL92</f>
        <v/>
      </c>
      <c r="BS92" s="2">
        <f>BS91+BQ92</f>
        <v/>
      </c>
      <c r="BT92" s="2">
        <f>BR92*Inputs!$B$29</f>
        <v/>
      </c>
      <c r="BU92" s="2">
        <f>BR92*(1-Inputs!$B$29)-BS92</f>
        <v/>
      </c>
      <c r="BV92" s="2">
        <f>BP92+BU92</f>
        <v/>
      </c>
      <c r="BW92" s="2">
        <f>BM92+BN92+BO92+BQ92</f>
        <v/>
      </c>
      <c r="BX92" s="8">
        <f>BK92-BL92-BN92-BO92-BP92</f>
        <v/>
      </c>
    </row>
    <row r="93">
      <c r="A93" s="7" t="n">
        <v>88</v>
      </c>
      <c r="B93" s="3">
        <f>Inputs!$B$36+(Inputs!$B$37-Inputs!$B$36)*(1-EXP(-A93/Inputs!$B$38))+Inputs!$B$31/10000</f>
        <v/>
      </c>
      <c r="C93" s="2">
        <f>H92</f>
        <v/>
      </c>
      <c r="D93" s="2">
        <f>C93*Inputs!$B$33</f>
        <v/>
      </c>
      <c r="E93" s="2">
        <f>(C93-D93)*Inputs!$C$6/12</f>
        <v/>
      </c>
      <c r="F93" s="2">
        <f>IF(MAX(Inputs!$D$6-(A93-1),0)&lt;=0,0,(C93-D93)*((Inputs!$C$6/12)/(1-(1+Inputs!$C$6/12)^(-MAX(Inputs!$D$6-(A93-1),0)))-Inputs!$C$6/12))</f>
        <v/>
      </c>
      <c r="G93" s="2">
        <f>(C93-D93-F93)*Inputs!$B$32</f>
        <v/>
      </c>
      <c r="H93" s="2">
        <f>C93-D93-F93-G93</f>
        <v/>
      </c>
      <c r="I93" s="2">
        <f>N92</f>
        <v/>
      </c>
      <c r="J93" s="2">
        <f>I93*Inputs!$B$33</f>
        <v/>
      </c>
      <c r="K93" s="2">
        <f>(I93-J93)*Inputs!$C$7/12</f>
        <v/>
      </c>
      <c r="L93" s="2">
        <f>IF(MAX(Inputs!$D$7-(A93-1),0)&lt;=0,0,(I93-J93)*((Inputs!$C$7/12)/(1-(1+Inputs!$C$7/12)^(-MAX(Inputs!$D$7-(A93-1),0)))-Inputs!$C$7/12))</f>
        <v/>
      </c>
      <c r="M93" s="2">
        <f>(I93-J93-L93)*Inputs!$B$32</f>
        <v/>
      </c>
      <c r="N93" s="2">
        <f>I93-J93-L93-M93</f>
        <v/>
      </c>
      <c r="O93" s="2">
        <f>T92</f>
        <v/>
      </c>
      <c r="P93" s="2">
        <f>O93*Inputs!$B$33</f>
        <v/>
      </c>
      <c r="Q93" s="2">
        <f>(O93-P93)*Inputs!$C$8/12</f>
        <v/>
      </c>
      <c r="R93" s="2">
        <f>IF(MAX(Inputs!$D$8-(A93-1),0)&lt;=0,0,(O93-P93)*((Inputs!$C$8/12)/(1-(1+Inputs!$C$8/12)^(-MAX(Inputs!$D$8-(A93-1),0)))-Inputs!$C$8/12))</f>
        <v/>
      </c>
      <c r="S93" s="2">
        <f>(O93-P93-R93)*Inputs!$B$32</f>
        <v/>
      </c>
      <c r="T93" s="2">
        <f>O93-P93-R93-S93</f>
        <v/>
      </c>
      <c r="U93" s="2">
        <f>Z92</f>
        <v/>
      </c>
      <c r="V93" s="2">
        <f>U93*Inputs!$B$33</f>
        <v/>
      </c>
      <c r="W93" s="2">
        <f>(U93-V93)*Inputs!$C$9/12</f>
        <v/>
      </c>
      <c r="X93" s="2">
        <f>IF(MAX(Inputs!$D$9-(A93-1),0)&lt;=0,0,(U93-V93)*((Inputs!$C$9/12)/(1-(1+Inputs!$C$9/12)^(-MAX(Inputs!$D$9-(A93-1),0)))-Inputs!$C$9/12))</f>
        <v/>
      </c>
      <c r="Y93" s="2">
        <f>(U93-V93-X93)*Inputs!$B$32</f>
        <v/>
      </c>
      <c r="Z93" s="2">
        <f>U93-V93-X93-Y93</f>
        <v/>
      </c>
      <c r="AA93" s="2">
        <f>AF92</f>
        <v/>
      </c>
      <c r="AB93" s="2">
        <f>AA93*Inputs!$B$33</f>
        <v/>
      </c>
      <c r="AC93" s="2">
        <f>(AA93-AB93)*Inputs!$C$10/12</f>
        <v/>
      </c>
      <c r="AD93" s="2">
        <f>IF(MAX(Inputs!$D$10-(A93-1),0)&lt;=0,0,(AA93-AB93)*((Inputs!$C$10/12)/(1-(1+Inputs!$C$10/12)^(-MAX(Inputs!$D$10-(A93-1),0)))-Inputs!$C$10/12))</f>
        <v/>
      </c>
      <c r="AE93" s="2">
        <f>(AA93-AB93-AD93)*Inputs!$B$32</f>
        <v/>
      </c>
      <c r="AF93" s="2">
        <f>AA93-AB93-AD93-AE93</f>
        <v/>
      </c>
      <c r="AG93" s="2">
        <f>AL92</f>
        <v/>
      </c>
      <c r="AH93" s="2">
        <f>AG93*Inputs!$B$33</f>
        <v/>
      </c>
      <c r="AI93" s="2">
        <f>(AG93-AH93)*Inputs!$C$11/12</f>
        <v/>
      </c>
      <c r="AJ93" s="2">
        <f>IF(MAX(Inputs!$D$11-(A93-1),0)&lt;=0,0,(AG93-AH93)*((Inputs!$C$11/12)/(1-(1+Inputs!$C$11/12)^(-MAX(Inputs!$D$11-(A93-1),0)))-Inputs!$C$11/12))</f>
        <v/>
      </c>
      <c r="AK93" s="2">
        <f>(AG93-AH93-AJ93)*Inputs!$B$32</f>
        <v/>
      </c>
      <c r="AL93" s="2">
        <f>AG93-AH93-AJ93-AK93</f>
        <v/>
      </c>
      <c r="AM93" s="2">
        <f>AR92</f>
        <v/>
      </c>
      <c r="AN93" s="2">
        <f>AM93*Inputs!$B$33</f>
        <v/>
      </c>
      <c r="AO93" s="2">
        <f>(AM93-AN93)*Inputs!$C$12/12</f>
        <v/>
      </c>
      <c r="AP93" s="2">
        <f>IF(MAX(Inputs!$D$12-(A93-1),0)&lt;=0,0,(AM93-AN93)*((Inputs!$C$12/12)/(1-(1+Inputs!$C$12/12)^(-MAX(Inputs!$D$12-(A93-1),0)))-Inputs!$C$12/12))</f>
        <v/>
      </c>
      <c r="AQ93" s="2">
        <f>(AM93-AN93-AP93)*Inputs!$B$32</f>
        <v/>
      </c>
      <c r="AR93" s="2">
        <f>AM93-AN93-AP93-AQ93</f>
        <v/>
      </c>
      <c r="AS93" s="2">
        <f>AX92</f>
        <v/>
      </c>
      <c r="AT93" s="2">
        <f>AS93*Inputs!$B$33</f>
        <v/>
      </c>
      <c r="AU93" s="2">
        <f>(AS93-AT93)*Inputs!$C$13/12</f>
        <v/>
      </c>
      <c r="AV93" s="2">
        <f>IF(MAX(Inputs!$D$13-(A93-1),0)&lt;=0,0,(AS93-AT93)*((Inputs!$C$13/12)/(1-(1+Inputs!$C$13/12)^(-MAX(Inputs!$D$13-(A93-1),0)))-Inputs!$C$13/12))</f>
        <v/>
      </c>
      <c r="AW93" s="2">
        <f>(AS93-AT93-AV93)*Inputs!$B$32</f>
        <v/>
      </c>
      <c r="AX93" s="2">
        <f>AS93-AT93-AV93-AW93</f>
        <v/>
      </c>
      <c r="AY93" s="2">
        <f>BD92</f>
        <v/>
      </c>
      <c r="AZ93" s="2">
        <f>AY93*Inputs!$B$33</f>
        <v/>
      </c>
      <c r="BA93" s="2">
        <f>(AY93-AZ93)*Inputs!$C$14/12</f>
        <v/>
      </c>
      <c r="BB93" s="2">
        <f>IF(MAX(Inputs!$D$14-(A93-1),0)&lt;=0,0,(AY93-AZ93)*((Inputs!$C$14/12)/(1-(1+Inputs!$C$14/12)^(-MAX(Inputs!$D$14-(A93-1),0)))-Inputs!$C$14/12))</f>
        <v/>
      </c>
      <c r="BC93" s="2">
        <f>(AY93-AZ93-BB93)*Inputs!$B$32</f>
        <v/>
      </c>
      <c r="BD93" s="2">
        <f>AY93-AZ93-BB93-BC93</f>
        <v/>
      </c>
      <c r="BE93" s="2">
        <f>BJ92</f>
        <v/>
      </c>
      <c r="BF93" s="2">
        <f>BE93*Inputs!$B$33</f>
        <v/>
      </c>
      <c r="BG93" s="2">
        <f>(BE93-BF93)*Inputs!$C$15/12</f>
        <v/>
      </c>
      <c r="BH93" s="2">
        <f>IF(MAX(Inputs!$D$15-(A93-1),0)&lt;=0,0,(BE93-BF93)*((Inputs!$C$15/12)/(1-(1+Inputs!$C$15/12)^(-MAX(Inputs!$D$15-(A93-1),0)))-Inputs!$C$15/12))</f>
        <v/>
      </c>
      <c r="BI93" s="2">
        <f>(BE93-BF93-BH93)*Inputs!$B$32</f>
        <v/>
      </c>
      <c r="BJ93" s="2">
        <f>BE93-BF93-BH93-BI93</f>
        <v/>
      </c>
      <c r="BK93" s="2">
        <f>C93+I93+O93+U93+AA93+AG93+AM93+AS93+AY93+BE93</f>
        <v/>
      </c>
      <c r="BL93" s="2">
        <f>D93+J93+P93+V93+AB93+AH93+AN93+AT93+AZ93+BF93</f>
        <v/>
      </c>
      <c r="BM93" s="2">
        <f>E93+K93+Q93+W93+AC93+AI93+AO93+AU93+BA93+BG93</f>
        <v/>
      </c>
      <c r="BN93" s="2">
        <f>F93+L93+R93+X93+AD93+AJ93+AP93+AV93+BB93+BH93</f>
        <v/>
      </c>
      <c r="BO93" s="2">
        <f>G93+M93+S93+Y93+AE93+AK93+AQ93+AW93+BC93+BI93</f>
        <v/>
      </c>
      <c r="BP93" s="2">
        <f>H93+N93+T93+Z93+AF93+AL93+AR93+AX93+BD93+BJ93</f>
        <v/>
      </c>
      <c r="BQ93" s="2">
        <f>IF(A93-Inputs!$B$30&gt;=1,INDEX($BL$5:$BL$101,A93-Inputs!$B$30+1)*(1-Inputs!$B$29),0)</f>
        <v/>
      </c>
      <c r="BR93" s="2">
        <f>BR92+BL93</f>
        <v/>
      </c>
      <c r="BS93" s="2">
        <f>BS92+BQ93</f>
        <v/>
      </c>
      <c r="BT93" s="2">
        <f>BR93*Inputs!$B$29</f>
        <v/>
      </c>
      <c r="BU93" s="2">
        <f>BR93*(1-Inputs!$B$29)-BS93</f>
        <v/>
      </c>
      <c r="BV93" s="2">
        <f>BP93+BU93</f>
        <v/>
      </c>
      <c r="BW93" s="2">
        <f>BM93+BN93+BO93+BQ93</f>
        <v/>
      </c>
      <c r="BX93" s="8">
        <f>BK93-BL93-BN93-BO93-BP93</f>
        <v/>
      </c>
    </row>
    <row r="94">
      <c r="A94" s="7" t="n">
        <v>89</v>
      </c>
      <c r="B94" s="3">
        <f>Inputs!$B$36+(Inputs!$B$37-Inputs!$B$36)*(1-EXP(-A94/Inputs!$B$38))+Inputs!$B$31/10000</f>
        <v/>
      </c>
      <c r="C94" s="2">
        <f>H93</f>
        <v/>
      </c>
      <c r="D94" s="2">
        <f>C94*Inputs!$B$33</f>
        <v/>
      </c>
      <c r="E94" s="2">
        <f>(C94-D94)*Inputs!$C$6/12</f>
        <v/>
      </c>
      <c r="F94" s="2">
        <f>IF(MAX(Inputs!$D$6-(A94-1),0)&lt;=0,0,(C94-D94)*((Inputs!$C$6/12)/(1-(1+Inputs!$C$6/12)^(-MAX(Inputs!$D$6-(A94-1),0)))-Inputs!$C$6/12))</f>
        <v/>
      </c>
      <c r="G94" s="2">
        <f>(C94-D94-F94)*Inputs!$B$32</f>
        <v/>
      </c>
      <c r="H94" s="2">
        <f>C94-D94-F94-G94</f>
        <v/>
      </c>
      <c r="I94" s="2">
        <f>N93</f>
        <v/>
      </c>
      <c r="J94" s="2">
        <f>I94*Inputs!$B$33</f>
        <v/>
      </c>
      <c r="K94" s="2">
        <f>(I94-J94)*Inputs!$C$7/12</f>
        <v/>
      </c>
      <c r="L94" s="2">
        <f>IF(MAX(Inputs!$D$7-(A94-1),0)&lt;=0,0,(I94-J94)*((Inputs!$C$7/12)/(1-(1+Inputs!$C$7/12)^(-MAX(Inputs!$D$7-(A94-1),0)))-Inputs!$C$7/12))</f>
        <v/>
      </c>
      <c r="M94" s="2">
        <f>(I94-J94-L94)*Inputs!$B$32</f>
        <v/>
      </c>
      <c r="N94" s="2">
        <f>I94-J94-L94-M94</f>
        <v/>
      </c>
      <c r="O94" s="2">
        <f>T93</f>
        <v/>
      </c>
      <c r="P94" s="2">
        <f>O94*Inputs!$B$33</f>
        <v/>
      </c>
      <c r="Q94" s="2">
        <f>(O94-P94)*Inputs!$C$8/12</f>
        <v/>
      </c>
      <c r="R94" s="2">
        <f>IF(MAX(Inputs!$D$8-(A94-1),0)&lt;=0,0,(O94-P94)*((Inputs!$C$8/12)/(1-(1+Inputs!$C$8/12)^(-MAX(Inputs!$D$8-(A94-1),0)))-Inputs!$C$8/12))</f>
        <v/>
      </c>
      <c r="S94" s="2">
        <f>(O94-P94-R94)*Inputs!$B$32</f>
        <v/>
      </c>
      <c r="T94" s="2">
        <f>O94-P94-R94-S94</f>
        <v/>
      </c>
      <c r="U94" s="2">
        <f>Z93</f>
        <v/>
      </c>
      <c r="V94" s="2">
        <f>U94*Inputs!$B$33</f>
        <v/>
      </c>
      <c r="W94" s="2">
        <f>(U94-V94)*Inputs!$C$9/12</f>
        <v/>
      </c>
      <c r="X94" s="2">
        <f>IF(MAX(Inputs!$D$9-(A94-1),0)&lt;=0,0,(U94-V94)*((Inputs!$C$9/12)/(1-(1+Inputs!$C$9/12)^(-MAX(Inputs!$D$9-(A94-1),0)))-Inputs!$C$9/12))</f>
        <v/>
      </c>
      <c r="Y94" s="2">
        <f>(U94-V94-X94)*Inputs!$B$32</f>
        <v/>
      </c>
      <c r="Z94" s="2">
        <f>U94-V94-X94-Y94</f>
        <v/>
      </c>
      <c r="AA94" s="2">
        <f>AF93</f>
        <v/>
      </c>
      <c r="AB94" s="2">
        <f>AA94*Inputs!$B$33</f>
        <v/>
      </c>
      <c r="AC94" s="2">
        <f>(AA94-AB94)*Inputs!$C$10/12</f>
        <v/>
      </c>
      <c r="AD94" s="2">
        <f>IF(MAX(Inputs!$D$10-(A94-1),0)&lt;=0,0,(AA94-AB94)*((Inputs!$C$10/12)/(1-(1+Inputs!$C$10/12)^(-MAX(Inputs!$D$10-(A94-1),0)))-Inputs!$C$10/12))</f>
        <v/>
      </c>
      <c r="AE94" s="2">
        <f>(AA94-AB94-AD94)*Inputs!$B$32</f>
        <v/>
      </c>
      <c r="AF94" s="2">
        <f>AA94-AB94-AD94-AE94</f>
        <v/>
      </c>
      <c r="AG94" s="2">
        <f>AL93</f>
        <v/>
      </c>
      <c r="AH94" s="2">
        <f>AG94*Inputs!$B$33</f>
        <v/>
      </c>
      <c r="AI94" s="2">
        <f>(AG94-AH94)*Inputs!$C$11/12</f>
        <v/>
      </c>
      <c r="AJ94" s="2">
        <f>IF(MAX(Inputs!$D$11-(A94-1),0)&lt;=0,0,(AG94-AH94)*((Inputs!$C$11/12)/(1-(1+Inputs!$C$11/12)^(-MAX(Inputs!$D$11-(A94-1),0)))-Inputs!$C$11/12))</f>
        <v/>
      </c>
      <c r="AK94" s="2">
        <f>(AG94-AH94-AJ94)*Inputs!$B$32</f>
        <v/>
      </c>
      <c r="AL94" s="2">
        <f>AG94-AH94-AJ94-AK94</f>
        <v/>
      </c>
      <c r="AM94" s="2">
        <f>AR93</f>
        <v/>
      </c>
      <c r="AN94" s="2">
        <f>AM94*Inputs!$B$33</f>
        <v/>
      </c>
      <c r="AO94" s="2">
        <f>(AM94-AN94)*Inputs!$C$12/12</f>
        <v/>
      </c>
      <c r="AP94" s="2">
        <f>IF(MAX(Inputs!$D$12-(A94-1),0)&lt;=0,0,(AM94-AN94)*((Inputs!$C$12/12)/(1-(1+Inputs!$C$12/12)^(-MAX(Inputs!$D$12-(A94-1),0)))-Inputs!$C$12/12))</f>
        <v/>
      </c>
      <c r="AQ94" s="2">
        <f>(AM94-AN94-AP94)*Inputs!$B$32</f>
        <v/>
      </c>
      <c r="AR94" s="2">
        <f>AM94-AN94-AP94-AQ94</f>
        <v/>
      </c>
      <c r="AS94" s="2">
        <f>AX93</f>
        <v/>
      </c>
      <c r="AT94" s="2">
        <f>AS94*Inputs!$B$33</f>
        <v/>
      </c>
      <c r="AU94" s="2">
        <f>(AS94-AT94)*Inputs!$C$13/12</f>
        <v/>
      </c>
      <c r="AV94" s="2">
        <f>IF(MAX(Inputs!$D$13-(A94-1),0)&lt;=0,0,(AS94-AT94)*((Inputs!$C$13/12)/(1-(1+Inputs!$C$13/12)^(-MAX(Inputs!$D$13-(A94-1),0)))-Inputs!$C$13/12))</f>
        <v/>
      </c>
      <c r="AW94" s="2">
        <f>(AS94-AT94-AV94)*Inputs!$B$32</f>
        <v/>
      </c>
      <c r="AX94" s="2">
        <f>AS94-AT94-AV94-AW94</f>
        <v/>
      </c>
      <c r="AY94" s="2">
        <f>BD93</f>
        <v/>
      </c>
      <c r="AZ94" s="2">
        <f>AY94*Inputs!$B$33</f>
        <v/>
      </c>
      <c r="BA94" s="2">
        <f>(AY94-AZ94)*Inputs!$C$14/12</f>
        <v/>
      </c>
      <c r="BB94" s="2">
        <f>IF(MAX(Inputs!$D$14-(A94-1),0)&lt;=0,0,(AY94-AZ94)*((Inputs!$C$14/12)/(1-(1+Inputs!$C$14/12)^(-MAX(Inputs!$D$14-(A94-1),0)))-Inputs!$C$14/12))</f>
        <v/>
      </c>
      <c r="BC94" s="2">
        <f>(AY94-AZ94-BB94)*Inputs!$B$32</f>
        <v/>
      </c>
      <c r="BD94" s="2">
        <f>AY94-AZ94-BB94-BC94</f>
        <v/>
      </c>
      <c r="BE94" s="2">
        <f>BJ93</f>
        <v/>
      </c>
      <c r="BF94" s="2">
        <f>BE94*Inputs!$B$33</f>
        <v/>
      </c>
      <c r="BG94" s="2">
        <f>(BE94-BF94)*Inputs!$C$15/12</f>
        <v/>
      </c>
      <c r="BH94" s="2">
        <f>IF(MAX(Inputs!$D$15-(A94-1),0)&lt;=0,0,(BE94-BF94)*((Inputs!$C$15/12)/(1-(1+Inputs!$C$15/12)^(-MAX(Inputs!$D$15-(A94-1),0)))-Inputs!$C$15/12))</f>
        <v/>
      </c>
      <c r="BI94" s="2">
        <f>(BE94-BF94-BH94)*Inputs!$B$32</f>
        <v/>
      </c>
      <c r="BJ94" s="2">
        <f>BE94-BF94-BH94-BI94</f>
        <v/>
      </c>
      <c r="BK94" s="2">
        <f>C94+I94+O94+U94+AA94+AG94+AM94+AS94+AY94+BE94</f>
        <v/>
      </c>
      <c r="BL94" s="2">
        <f>D94+J94+P94+V94+AB94+AH94+AN94+AT94+AZ94+BF94</f>
        <v/>
      </c>
      <c r="BM94" s="2">
        <f>E94+K94+Q94+W94+AC94+AI94+AO94+AU94+BA94+BG94</f>
        <v/>
      </c>
      <c r="BN94" s="2">
        <f>F94+L94+R94+X94+AD94+AJ94+AP94+AV94+BB94+BH94</f>
        <v/>
      </c>
      <c r="BO94" s="2">
        <f>G94+M94+S94+Y94+AE94+AK94+AQ94+AW94+BC94+BI94</f>
        <v/>
      </c>
      <c r="BP94" s="2">
        <f>H94+N94+T94+Z94+AF94+AL94+AR94+AX94+BD94+BJ94</f>
        <v/>
      </c>
      <c r="BQ94" s="2">
        <f>IF(A94-Inputs!$B$30&gt;=1,INDEX($BL$5:$BL$101,A94-Inputs!$B$30+1)*(1-Inputs!$B$29),0)</f>
        <v/>
      </c>
      <c r="BR94" s="2">
        <f>BR93+BL94</f>
        <v/>
      </c>
      <c r="BS94" s="2">
        <f>BS93+BQ94</f>
        <v/>
      </c>
      <c r="BT94" s="2">
        <f>BR94*Inputs!$B$29</f>
        <v/>
      </c>
      <c r="BU94" s="2">
        <f>BR94*(1-Inputs!$B$29)-BS94</f>
        <v/>
      </c>
      <c r="BV94" s="2">
        <f>BP94+BU94</f>
        <v/>
      </c>
      <c r="BW94" s="2">
        <f>BM94+BN94+BO94+BQ94</f>
        <v/>
      </c>
      <c r="BX94" s="8">
        <f>BK94-BL94-BN94-BO94-BP94</f>
        <v/>
      </c>
    </row>
    <row r="95">
      <c r="A95" s="7" t="n">
        <v>90</v>
      </c>
      <c r="B95" s="3">
        <f>Inputs!$B$36+(Inputs!$B$37-Inputs!$B$36)*(1-EXP(-A95/Inputs!$B$38))+Inputs!$B$31/10000</f>
        <v/>
      </c>
      <c r="C95" s="2">
        <f>H94</f>
        <v/>
      </c>
      <c r="D95" s="2">
        <f>C95*Inputs!$B$33</f>
        <v/>
      </c>
      <c r="E95" s="2">
        <f>(C95-D95)*Inputs!$C$6/12</f>
        <v/>
      </c>
      <c r="F95" s="2">
        <f>IF(MAX(Inputs!$D$6-(A95-1),0)&lt;=0,0,(C95-D95)*((Inputs!$C$6/12)/(1-(1+Inputs!$C$6/12)^(-MAX(Inputs!$D$6-(A95-1),0)))-Inputs!$C$6/12))</f>
        <v/>
      </c>
      <c r="G95" s="2">
        <f>(C95-D95-F95)*Inputs!$B$32</f>
        <v/>
      </c>
      <c r="H95" s="2">
        <f>C95-D95-F95-G95</f>
        <v/>
      </c>
      <c r="I95" s="2">
        <f>N94</f>
        <v/>
      </c>
      <c r="J95" s="2">
        <f>I95*Inputs!$B$33</f>
        <v/>
      </c>
      <c r="K95" s="2">
        <f>(I95-J95)*Inputs!$C$7/12</f>
        <v/>
      </c>
      <c r="L95" s="2">
        <f>IF(MAX(Inputs!$D$7-(A95-1),0)&lt;=0,0,(I95-J95)*((Inputs!$C$7/12)/(1-(1+Inputs!$C$7/12)^(-MAX(Inputs!$D$7-(A95-1),0)))-Inputs!$C$7/12))</f>
        <v/>
      </c>
      <c r="M95" s="2">
        <f>(I95-J95-L95)*Inputs!$B$32</f>
        <v/>
      </c>
      <c r="N95" s="2">
        <f>I95-J95-L95-M95</f>
        <v/>
      </c>
      <c r="O95" s="2">
        <f>T94</f>
        <v/>
      </c>
      <c r="P95" s="2">
        <f>O95*Inputs!$B$33</f>
        <v/>
      </c>
      <c r="Q95" s="2">
        <f>(O95-P95)*Inputs!$C$8/12</f>
        <v/>
      </c>
      <c r="R95" s="2">
        <f>IF(MAX(Inputs!$D$8-(A95-1),0)&lt;=0,0,(O95-P95)*((Inputs!$C$8/12)/(1-(1+Inputs!$C$8/12)^(-MAX(Inputs!$D$8-(A95-1),0)))-Inputs!$C$8/12))</f>
        <v/>
      </c>
      <c r="S95" s="2">
        <f>(O95-P95-R95)*Inputs!$B$32</f>
        <v/>
      </c>
      <c r="T95" s="2">
        <f>O95-P95-R95-S95</f>
        <v/>
      </c>
      <c r="U95" s="2">
        <f>Z94</f>
        <v/>
      </c>
      <c r="V95" s="2">
        <f>U95*Inputs!$B$33</f>
        <v/>
      </c>
      <c r="W95" s="2">
        <f>(U95-V95)*Inputs!$C$9/12</f>
        <v/>
      </c>
      <c r="X95" s="2">
        <f>IF(MAX(Inputs!$D$9-(A95-1),0)&lt;=0,0,(U95-V95)*((Inputs!$C$9/12)/(1-(1+Inputs!$C$9/12)^(-MAX(Inputs!$D$9-(A95-1),0)))-Inputs!$C$9/12))</f>
        <v/>
      </c>
      <c r="Y95" s="2">
        <f>(U95-V95-X95)*Inputs!$B$32</f>
        <v/>
      </c>
      <c r="Z95" s="2">
        <f>U95-V95-X95-Y95</f>
        <v/>
      </c>
      <c r="AA95" s="2">
        <f>AF94</f>
        <v/>
      </c>
      <c r="AB95" s="2">
        <f>AA95*Inputs!$B$33</f>
        <v/>
      </c>
      <c r="AC95" s="2">
        <f>(AA95-AB95)*Inputs!$C$10/12</f>
        <v/>
      </c>
      <c r="AD95" s="2">
        <f>IF(MAX(Inputs!$D$10-(A95-1),0)&lt;=0,0,(AA95-AB95)*((Inputs!$C$10/12)/(1-(1+Inputs!$C$10/12)^(-MAX(Inputs!$D$10-(A95-1),0)))-Inputs!$C$10/12))</f>
        <v/>
      </c>
      <c r="AE95" s="2">
        <f>(AA95-AB95-AD95)*Inputs!$B$32</f>
        <v/>
      </c>
      <c r="AF95" s="2">
        <f>AA95-AB95-AD95-AE95</f>
        <v/>
      </c>
      <c r="AG95" s="2">
        <f>AL94</f>
        <v/>
      </c>
      <c r="AH95" s="2">
        <f>AG95*Inputs!$B$33</f>
        <v/>
      </c>
      <c r="AI95" s="2">
        <f>(AG95-AH95)*Inputs!$C$11/12</f>
        <v/>
      </c>
      <c r="AJ95" s="2">
        <f>IF(MAX(Inputs!$D$11-(A95-1),0)&lt;=0,0,(AG95-AH95)*((Inputs!$C$11/12)/(1-(1+Inputs!$C$11/12)^(-MAX(Inputs!$D$11-(A95-1),0)))-Inputs!$C$11/12))</f>
        <v/>
      </c>
      <c r="AK95" s="2">
        <f>(AG95-AH95-AJ95)*Inputs!$B$32</f>
        <v/>
      </c>
      <c r="AL95" s="2">
        <f>AG95-AH95-AJ95-AK95</f>
        <v/>
      </c>
      <c r="AM95" s="2">
        <f>AR94</f>
        <v/>
      </c>
      <c r="AN95" s="2">
        <f>AM95*Inputs!$B$33</f>
        <v/>
      </c>
      <c r="AO95" s="2">
        <f>(AM95-AN95)*Inputs!$C$12/12</f>
        <v/>
      </c>
      <c r="AP95" s="2">
        <f>IF(MAX(Inputs!$D$12-(A95-1),0)&lt;=0,0,(AM95-AN95)*((Inputs!$C$12/12)/(1-(1+Inputs!$C$12/12)^(-MAX(Inputs!$D$12-(A95-1),0)))-Inputs!$C$12/12))</f>
        <v/>
      </c>
      <c r="AQ95" s="2">
        <f>(AM95-AN95-AP95)*Inputs!$B$32</f>
        <v/>
      </c>
      <c r="AR95" s="2">
        <f>AM95-AN95-AP95-AQ95</f>
        <v/>
      </c>
      <c r="AS95" s="2">
        <f>AX94</f>
        <v/>
      </c>
      <c r="AT95" s="2">
        <f>AS95*Inputs!$B$33</f>
        <v/>
      </c>
      <c r="AU95" s="2">
        <f>(AS95-AT95)*Inputs!$C$13/12</f>
        <v/>
      </c>
      <c r="AV95" s="2">
        <f>IF(MAX(Inputs!$D$13-(A95-1),0)&lt;=0,0,(AS95-AT95)*((Inputs!$C$13/12)/(1-(1+Inputs!$C$13/12)^(-MAX(Inputs!$D$13-(A95-1),0)))-Inputs!$C$13/12))</f>
        <v/>
      </c>
      <c r="AW95" s="2">
        <f>(AS95-AT95-AV95)*Inputs!$B$32</f>
        <v/>
      </c>
      <c r="AX95" s="2">
        <f>AS95-AT95-AV95-AW95</f>
        <v/>
      </c>
      <c r="AY95" s="2">
        <f>BD94</f>
        <v/>
      </c>
      <c r="AZ95" s="2">
        <f>AY95*Inputs!$B$33</f>
        <v/>
      </c>
      <c r="BA95" s="2">
        <f>(AY95-AZ95)*Inputs!$C$14/12</f>
        <v/>
      </c>
      <c r="BB95" s="2">
        <f>IF(MAX(Inputs!$D$14-(A95-1),0)&lt;=0,0,(AY95-AZ95)*((Inputs!$C$14/12)/(1-(1+Inputs!$C$14/12)^(-MAX(Inputs!$D$14-(A95-1),0)))-Inputs!$C$14/12))</f>
        <v/>
      </c>
      <c r="BC95" s="2">
        <f>(AY95-AZ95-BB95)*Inputs!$B$32</f>
        <v/>
      </c>
      <c r="BD95" s="2">
        <f>AY95-AZ95-BB95-BC95</f>
        <v/>
      </c>
      <c r="BE95" s="2">
        <f>BJ94</f>
        <v/>
      </c>
      <c r="BF95" s="2">
        <f>BE95*Inputs!$B$33</f>
        <v/>
      </c>
      <c r="BG95" s="2">
        <f>(BE95-BF95)*Inputs!$C$15/12</f>
        <v/>
      </c>
      <c r="BH95" s="2">
        <f>IF(MAX(Inputs!$D$15-(A95-1),0)&lt;=0,0,(BE95-BF95)*((Inputs!$C$15/12)/(1-(1+Inputs!$C$15/12)^(-MAX(Inputs!$D$15-(A95-1),0)))-Inputs!$C$15/12))</f>
        <v/>
      </c>
      <c r="BI95" s="2">
        <f>(BE95-BF95-BH95)*Inputs!$B$32</f>
        <v/>
      </c>
      <c r="BJ95" s="2">
        <f>BE95-BF95-BH95-BI95</f>
        <v/>
      </c>
      <c r="BK95" s="2">
        <f>C95+I95+O95+U95+AA95+AG95+AM95+AS95+AY95+BE95</f>
        <v/>
      </c>
      <c r="BL95" s="2">
        <f>D95+J95+P95+V95+AB95+AH95+AN95+AT95+AZ95+BF95</f>
        <v/>
      </c>
      <c r="BM95" s="2">
        <f>E95+K95+Q95+W95+AC95+AI95+AO95+AU95+BA95+BG95</f>
        <v/>
      </c>
      <c r="BN95" s="2">
        <f>F95+L95+R95+X95+AD95+AJ95+AP95+AV95+BB95+BH95</f>
        <v/>
      </c>
      <c r="BO95" s="2">
        <f>G95+M95+S95+Y95+AE95+AK95+AQ95+AW95+BC95+BI95</f>
        <v/>
      </c>
      <c r="BP95" s="2">
        <f>H95+N95+T95+Z95+AF95+AL95+AR95+AX95+BD95+BJ95</f>
        <v/>
      </c>
      <c r="BQ95" s="2">
        <f>IF(A95-Inputs!$B$30&gt;=1,INDEX($BL$5:$BL$101,A95-Inputs!$B$30+1)*(1-Inputs!$B$29),0)</f>
        <v/>
      </c>
      <c r="BR95" s="2">
        <f>BR94+BL95</f>
        <v/>
      </c>
      <c r="BS95" s="2">
        <f>BS94+BQ95</f>
        <v/>
      </c>
      <c r="BT95" s="2">
        <f>BR95*Inputs!$B$29</f>
        <v/>
      </c>
      <c r="BU95" s="2">
        <f>BR95*(1-Inputs!$B$29)-BS95</f>
        <v/>
      </c>
      <c r="BV95" s="2">
        <f>BP95+BU95</f>
        <v/>
      </c>
      <c r="BW95" s="2">
        <f>BM95+BN95+BO95+BQ95</f>
        <v/>
      </c>
      <c r="BX95" s="8">
        <f>BK95-BL95-BN95-BO95-BP95</f>
        <v/>
      </c>
    </row>
    <row r="96">
      <c r="A96" s="7" t="n">
        <v>91</v>
      </c>
      <c r="B96" s="3">
        <f>Inputs!$B$36+(Inputs!$B$37-Inputs!$B$36)*(1-EXP(-A96/Inputs!$B$38))+Inputs!$B$31/10000</f>
        <v/>
      </c>
      <c r="C96" s="2">
        <f>H95</f>
        <v/>
      </c>
      <c r="D96" s="2">
        <f>C96*Inputs!$B$33</f>
        <v/>
      </c>
      <c r="E96" s="2">
        <f>(C96-D96)*Inputs!$C$6/12</f>
        <v/>
      </c>
      <c r="F96" s="2">
        <f>IF(MAX(Inputs!$D$6-(A96-1),0)&lt;=0,0,(C96-D96)*((Inputs!$C$6/12)/(1-(1+Inputs!$C$6/12)^(-MAX(Inputs!$D$6-(A96-1),0)))-Inputs!$C$6/12))</f>
        <v/>
      </c>
      <c r="G96" s="2">
        <f>(C96-D96-F96)*Inputs!$B$32</f>
        <v/>
      </c>
      <c r="H96" s="2">
        <f>C96-D96-F96-G96</f>
        <v/>
      </c>
      <c r="I96" s="2">
        <f>N95</f>
        <v/>
      </c>
      <c r="J96" s="2">
        <f>I96*Inputs!$B$33</f>
        <v/>
      </c>
      <c r="K96" s="2">
        <f>(I96-J96)*Inputs!$C$7/12</f>
        <v/>
      </c>
      <c r="L96" s="2">
        <f>IF(MAX(Inputs!$D$7-(A96-1),0)&lt;=0,0,(I96-J96)*((Inputs!$C$7/12)/(1-(1+Inputs!$C$7/12)^(-MAX(Inputs!$D$7-(A96-1),0)))-Inputs!$C$7/12))</f>
        <v/>
      </c>
      <c r="M96" s="2">
        <f>(I96-J96-L96)*Inputs!$B$32</f>
        <v/>
      </c>
      <c r="N96" s="2">
        <f>I96-J96-L96-M96</f>
        <v/>
      </c>
      <c r="O96" s="2">
        <f>T95</f>
        <v/>
      </c>
      <c r="P96" s="2">
        <f>O96*Inputs!$B$33</f>
        <v/>
      </c>
      <c r="Q96" s="2">
        <f>(O96-P96)*Inputs!$C$8/12</f>
        <v/>
      </c>
      <c r="R96" s="2">
        <f>IF(MAX(Inputs!$D$8-(A96-1),0)&lt;=0,0,(O96-P96)*((Inputs!$C$8/12)/(1-(1+Inputs!$C$8/12)^(-MAX(Inputs!$D$8-(A96-1),0)))-Inputs!$C$8/12))</f>
        <v/>
      </c>
      <c r="S96" s="2">
        <f>(O96-P96-R96)*Inputs!$B$32</f>
        <v/>
      </c>
      <c r="T96" s="2">
        <f>O96-P96-R96-S96</f>
        <v/>
      </c>
      <c r="U96" s="2">
        <f>Z95</f>
        <v/>
      </c>
      <c r="V96" s="2">
        <f>U96*Inputs!$B$33</f>
        <v/>
      </c>
      <c r="W96" s="2">
        <f>(U96-V96)*Inputs!$C$9/12</f>
        <v/>
      </c>
      <c r="X96" s="2">
        <f>IF(MAX(Inputs!$D$9-(A96-1),0)&lt;=0,0,(U96-V96)*((Inputs!$C$9/12)/(1-(1+Inputs!$C$9/12)^(-MAX(Inputs!$D$9-(A96-1),0)))-Inputs!$C$9/12))</f>
        <v/>
      </c>
      <c r="Y96" s="2">
        <f>(U96-V96-X96)*Inputs!$B$32</f>
        <v/>
      </c>
      <c r="Z96" s="2">
        <f>U96-V96-X96-Y96</f>
        <v/>
      </c>
      <c r="AA96" s="2">
        <f>AF95</f>
        <v/>
      </c>
      <c r="AB96" s="2">
        <f>AA96*Inputs!$B$33</f>
        <v/>
      </c>
      <c r="AC96" s="2">
        <f>(AA96-AB96)*Inputs!$C$10/12</f>
        <v/>
      </c>
      <c r="AD96" s="2">
        <f>IF(MAX(Inputs!$D$10-(A96-1),0)&lt;=0,0,(AA96-AB96)*((Inputs!$C$10/12)/(1-(1+Inputs!$C$10/12)^(-MAX(Inputs!$D$10-(A96-1),0)))-Inputs!$C$10/12))</f>
        <v/>
      </c>
      <c r="AE96" s="2">
        <f>(AA96-AB96-AD96)*Inputs!$B$32</f>
        <v/>
      </c>
      <c r="AF96" s="2">
        <f>AA96-AB96-AD96-AE96</f>
        <v/>
      </c>
      <c r="AG96" s="2">
        <f>AL95</f>
        <v/>
      </c>
      <c r="AH96" s="2">
        <f>AG96*Inputs!$B$33</f>
        <v/>
      </c>
      <c r="AI96" s="2">
        <f>(AG96-AH96)*Inputs!$C$11/12</f>
        <v/>
      </c>
      <c r="AJ96" s="2">
        <f>IF(MAX(Inputs!$D$11-(A96-1),0)&lt;=0,0,(AG96-AH96)*((Inputs!$C$11/12)/(1-(1+Inputs!$C$11/12)^(-MAX(Inputs!$D$11-(A96-1),0)))-Inputs!$C$11/12))</f>
        <v/>
      </c>
      <c r="AK96" s="2">
        <f>(AG96-AH96-AJ96)*Inputs!$B$32</f>
        <v/>
      </c>
      <c r="AL96" s="2">
        <f>AG96-AH96-AJ96-AK96</f>
        <v/>
      </c>
      <c r="AM96" s="2">
        <f>AR95</f>
        <v/>
      </c>
      <c r="AN96" s="2">
        <f>AM96*Inputs!$B$33</f>
        <v/>
      </c>
      <c r="AO96" s="2">
        <f>(AM96-AN96)*Inputs!$C$12/12</f>
        <v/>
      </c>
      <c r="AP96" s="2">
        <f>IF(MAX(Inputs!$D$12-(A96-1),0)&lt;=0,0,(AM96-AN96)*((Inputs!$C$12/12)/(1-(1+Inputs!$C$12/12)^(-MAX(Inputs!$D$12-(A96-1),0)))-Inputs!$C$12/12))</f>
        <v/>
      </c>
      <c r="AQ96" s="2">
        <f>(AM96-AN96-AP96)*Inputs!$B$32</f>
        <v/>
      </c>
      <c r="AR96" s="2">
        <f>AM96-AN96-AP96-AQ96</f>
        <v/>
      </c>
      <c r="AS96" s="2">
        <f>AX95</f>
        <v/>
      </c>
      <c r="AT96" s="2">
        <f>AS96*Inputs!$B$33</f>
        <v/>
      </c>
      <c r="AU96" s="2">
        <f>(AS96-AT96)*Inputs!$C$13/12</f>
        <v/>
      </c>
      <c r="AV96" s="2">
        <f>IF(MAX(Inputs!$D$13-(A96-1),0)&lt;=0,0,(AS96-AT96)*((Inputs!$C$13/12)/(1-(1+Inputs!$C$13/12)^(-MAX(Inputs!$D$13-(A96-1),0)))-Inputs!$C$13/12))</f>
        <v/>
      </c>
      <c r="AW96" s="2">
        <f>(AS96-AT96-AV96)*Inputs!$B$32</f>
        <v/>
      </c>
      <c r="AX96" s="2">
        <f>AS96-AT96-AV96-AW96</f>
        <v/>
      </c>
      <c r="AY96" s="2">
        <f>BD95</f>
        <v/>
      </c>
      <c r="AZ96" s="2">
        <f>AY96*Inputs!$B$33</f>
        <v/>
      </c>
      <c r="BA96" s="2">
        <f>(AY96-AZ96)*Inputs!$C$14/12</f>
        <v/>
      </c>
      <c r="BB96" s="2">
        <f>IF(MAX(Inputs!$D$14-(A96-1),0)&lt;=0,0,(AY96-AZ96)*((Inputs!$C$14/12)/(1-(1+Inputs!$C$14/12)^(-MAX(Inputs!$D$14-(A96-1),0)))-Inputs!$C$14/12))</f>
        <v/>
      </c>
      <c r="BC96" s="2">
        <f>(AY96-AZ96-BB96)*Inputs!$B$32</f>
        <v/>
      </c>
      <c r="BD96" s="2">
        <f>AY96-AZ96-BB96-BC96</f>
        <v/>
      </c>
      <c r="BE96" s="2">
        <f>BJ95</f>
        <v/>
      </c>
      <c r="BF96" s="2">
        <f>BE96*Inputs!$B$33</f>
        <v/>
      </c>
      <c r="BG96" s="2">
        <f>(BE96-BF96)*Inputs!$C$15/12</f>
        <v/>
      </c>
      <c r="BH96" s="2">
        <f>IF(MAX(Inputs!$D$15-(A96-1),0)&lt;=0,0,(BE96-BF96)*((Inputs!$C$15/12)/(1-(1+Inputs!$C$15/12)^(-MAX(Inputs!$D$15-(A96-1),0)))-Inputs!$C$15/12))</f>
        <v/>
      </c>
      <c r="BI96" s="2">
        <f>(BE96-BF96-BH96)*Inputs!$B$32</f>
        <v/>
      </c>
      <c r="BJ96" s="2">
        <f>BE96-BF96-BH96-BI96</f>
        <v/>
      </c>
      <c r="BK96" s="2">
        <f>C96+I96+O96+U96+AA96+AG96+AM96+AS96+AY96+BE96</f>
        <v/>
      </c>
      <c r="BL96" s="2">
        <f>D96+J96+P96+V96+AB96+AH96+AN96+AT96+AZ96+BF96</f>
        <v/>
      </c>
      <c r="BM96" s="2">
        <f>E96+K96+Q96+W96+AC96+AI96+AO96+AU96+BA96+BG96</f>
        <v/>
      </c>
      <c r="BN96" s="2">
        <f>F96+L96+R96+X96+AD96+AJ96+AP96+AV96+BB96+BH96</f>
        <v/>
      </c>
      <c r="BO96" s="2">
        <f>G96+M96+S96+Y96+AE96+AK96+AQ96+AW96+BC96+BI96</f>
        <v/>
      </c>
      <c r="BP96" s="2">
        <f>H96+N96+T96+Z96+AF96+AL96+AR96+AX96+BD96+BJ96</f>
        <v/>
      </c>
      <c r="BQ96" s="2">
        <f>IF(A96-Inputs!$B$30&gt;=1,INDEX($BL$5:$BL$101,A96-Inputs!$B$30+1)*(1-Inputs!$B$29),0)</f>
        <v/>
      </c>
      <c r="BR96" s="2">
        <f>BR95+BL96</f>
        <v/>
      </c>
      <c r="BS96" s="2">
        <f>BS95+BQ96</f>
        <v/>
      </c>
      <c r="BT96" s="2">
        <f>BR96*Inputs!$B$29</f>
        <v/>
      </c>
      <c r="BU96" s="2">
        <f>BR96*(1-Inputs!$B$29)-BS96</f>
        <v/>
      </c>
      <c r="BV96" s="2">
        <f>BP96+BU96</f>
        <v/>
      </c>
      <c r="BW96" s="2">
        <f>BM96+BN96+BO96+BQ96</f>
        <v/>
      </c>
      <c r="BX96" s="8">
        <f>BK96-BL96-BN96-BO96-BP96</f>
        <v/>
      </c>
    </row>
    <row r="97">
      <c r="A97" s="7" t="n">
        <v>92</v>
      </c>
      <c r="B97" s="3">
        <f>Inputs!$B$36+(Inputs!$B$37-Inputs!$B$36)*(1-EXP(-A97/Inputs!$B$38))+Inputs!$B$31/10000</f>
        <v/>
      </c>
      <c r="C97" s="2">
        <f>H96</f>
        <v/>
      </c>
      <c r="D97" s="2">
        <f>C97*Inputs!$B$33</f>
        <v/>
      </c>
      <c r="E97" s="2">
        <f>(C97-D97)*Inputs!$C$6/12</f>
        <v/>
      </c>
      <c r="F97" s="2">
        <f>IF(MAX(Inputs!$D$6-(A97-1),0)&lt;=0,0,(C97-D97)*((Inputs!$C$6/12)/(1-(1+Inputs!$C$6/12)^(-MAX(Inputs!$D$6-(A97-1),0)))-Inputs!$C$6/12))</f>
        <v/>
      </c>
      <c r="G97" s="2">
        <f>(C97-D97-F97)*Inputs!$B$32</f>
        <v/>
      </c>
      <c r="H97" s="2">
        <f>C97-D97-F97-G97</f>
        <v/>
      </c>
      <c r="I97" s="2">
        <f>N96</f>
        <v/>
      </c>
      <c r="J97" s="2">
        <f>I97*Inputs!$B$33</f>
        <v/>
      </c>
      <c r="K97" s="2">
        <f>(I97-J97)*Inputs!$C$7/12</f>
        <v/>
      </c>
      <c r="L97" s="2">
        <f>IF(MAX(Inputs!$D$7-(A97-1),0)&lt;=0,0,(I97-J97)*((Inputs!$C$7/12)/(1-(1+Inputs!$C$7/12)^(-MAX(Inputs!$D$7-(A97-1),0)))-Inputs!$C$7/12))</f>
        <v/>
      </c>
      <c r="M97" s="2">
        <f>(I97-J97-L97)*Inputs!$B$32</f>
        <v/>
      </c>
      <c r="N97" s="2">
        <f>I97-J97-L97-M97</f>
        <v/>
      </c>
      <c r="O97" s="2">
        <f>T96</f>
        <v/>
      </c>
      <c r="P97" s="2">
        <f>O97*Inputs!$B$33</f>
        <v/>
      </c>
      <c r="Q97" s="2">
        <f>(O97-P97)*Inputs!$C$8/12</f>
        <v/>
      </c>
      <c r="R97" s="2">
        <f>IF(MAX(Inputs!$D$8-(A97-1),0)&lt;=0,0,(O97-P97)*((Inputs!$C$8/12)/(1-(1+Inputs!$C$8/12)^(-MAX(Inputs!$D$8-(A97-1),0)))-Inputs!$C$8/12))</f>
        <v/>
      </c>
      <c r="S97" s="2">
        <f>(O97-P97-R97)*Inputs!$B$32</f>
        <v/>
      </c>
      <c r="T97" s="2">
        <f>O97-P97-R97-S97</f>
        <v/>
      </c>
      <c r="U97" s="2">
        <f>Z96</f>
        <v/>
      </c>
      <c r="V97" s="2">
        <f>U97*Inputs!$B$33</f>
        <v/>
      </c>
      <c r="W97" s="2">
        <f>(U97-V97)*Inputs!$C$9/12</f>
        <v/>
      </c>
      <c r="X97" s="2">
        <f>IF(MAX(Inputs!$D$9-(A97-1),0)&lt;=0,0,(U97-V97)*((Inputs!$C$9/12)/(1-(1+Inputs!$C$9/12)^(-MAX(Inputs!$D$9-(A97-1),0)))-Inputs!$C$9/12))</f>
        <v/>
      </c>
      <c r="Y97" s="2">
        <f>(U97-V97-X97)*Inputs!$B$32</f>
        <v/>
      </c>
      <c r="Z97" s="2">
        <f>U97-V97-X97-Y97</f>
        <v/>
      </c>
      <c r="AA97" s="2">
        <f>AF96</f>
        <v/>
      </c>
      <c r="AB97" s="2">
        <f>AA97*Inputs!$B$33</f>
        <v/>
      </c>
      <c r="AC97" s="2">
        <f>(AA97-AB97)*Inputs!$C$10/12</f>
        <v/>
      </c>
      <c r="AD97" s="2">
        <f>IF(MAX(Inputs!$D$10-(A97-1),0)&lt;=0,0,(AA97-AB97)*((Inputs!$C$10/12)/(1-(1+Inputs!$C$10/12)^(-MAX(Inputs!$D$10-(A97-1),0)))-Inputs!$C$10/12))</f>
        <v/>
      </c>
      <c r="AE97" s="2">
        <f>(AA97-AB97-AD97)*Inputs!$B$32</f>
        <v/>
      </c>
      <c r="AF97" s="2">
        <f>AA97-AB97-AD97-AE97</f>
        <v/>
      </c>
      <c r="AG97" s="2">
        <f>AL96</f>
        <v/>
      </c>
      <c r="AH97" s="2">
        <f>AG97*Inputs!$B$33</f>
        <v/>
      </c>
      <c r="AI97" s="2">
        <f>(AG97-AH97)*Inputs!$C$11/12</f>
        <v/>
      </c>
      <c r="AJ97" s="2">
        <f>IF(MAX(Inputs!$D$11-(A97-1),0)&lt;=0,0,(AG97-AH97)*((Inputs!$C$11/12)/(1-(1+Inputs!$C$11/12)^(-MAX(Inputs!$D$11-(A97-1),0)))-Inputs!$C$11/12))</f>
        <v/>
      </c>
      <c r="AK97" s="2">
        <f>(AG97-AH97-AJ97)*Inputs!$B$32</f>
        <v/>
      </c>
      <c r="AL97" s="2">
        <f>AG97-AH97-AJ97-AK97</f>
        <v/>
      </c>
      <c r="AM97" s="2">
        <f>AR96</f>
        <v/>
      </c>
      <c r="AN97" s="2">
        <f>AM97*Inputs!$B$33</f>
        <v/>
      </c>
      <c r="AO97" s="2">
        <f>(AM97-AN97)*Inputs!$C$12/12</f>
        <v/>
      </c>
      <c r="AP97" s="2">
        <f>IF(MAX(Inputs!$D$12-(A97-1),0)&lt;=0,0,(AM97-AN97)*((Inputs!$C$12/12)/(1-(1+Inputs!$C$12/12)^(-MAX(Inputs!$D$12-(A97-1),0)))-Inputs!$C$12/12))</f>
        <v/>
      </c>
      <c r="AQ97" s="2">
        <f>(AM97-AN97-AP97)*Inputs!$B$32</f>
        <v/>
      </c>
      <c r="AR97" s="2">
        <f>AM97-AN97-AP97-AQ97</f>
        <v/>
      </c>
      <c r="AS97" s="2">
        <f>AX96</f>
        <v/>
      </c>
      <c r="AT97" s="2">
        <f>AS97*Inputs!$B$33</f>
        <v/>
      </c>
      <c r="AU97" s="2">
        <f>(AS97-AT97)*Inputs!$C$13/12</f>
        <v/>
      </c>
      <c r="AV97" s="2">
        <f>IF(MAX(Inputs!$D$13-(A97-1),0)&lt;=0,0,(AS97-AT97)*((Inputs!$C$13/12)/(1-(1+Inputs!$C$13/12)^(-MAX(Inputs!$D$13-(A97-1),0)))-Inputs!$C$13/12))</f>
        <v/>
      </c>
      <c r="AW97" s="2">
        <f>(AS97-AT97-AV97)*Inputs!$B$32</f>
        <v/>
      </c>
      <c r="AX97" s="2">
        <f>AS97-AT97-AV97-AW97</f>
        <v/>
      </c>
      <c r="AY97" s="2">
        <f>BD96</f>
        <v/>
      </c>
      <c r="AZ97" s="2">
        <f>AY97*Inputs!$B$33</f>
        <v/>
      </c>
      <c r="BA97" s="2">
        <f>(AY97-AZ97)*Inputs!$C$14/12</f>
        <v/>
      </c>
      <c r="BB97" s="2">
        <f>IF(MAX(Inputs!$D$14-(A97-1),0)&lt;=0,0,(AY97-AZ97)*((Inputs!$C$14/12)/(1-(1+Inputs!$C$14/12)^(-MAX(Inputs!$D$14-(A97-1),0)))-Inputs!$C$14/12))</f>
        <v/>
      </c>
      <c r="BC97" s="2">
        <f>(AY97-AZ97-BB97)*Inputs!$B$32</f>
        <v/>
      </c>
      <c r="BD97" s="2">
        <f>AY97-AZ97-BB97-BC97</f>
        <v/>
      </c>
      <c r="BE97" s="2">
        <f>BJ96</f>
        <v/>
      </c>
      <c r="BF97" s="2">
        <f>BE97*Inputs!$B$33</f>
        <v/>
      </c>
      <c r="BG97" s="2">
        <f>(BE97-BF97)*Inputs!$C$15/12</f>
        <v/>
      </c>
      <c r="BH97" s="2">
        <f>IF(MAX(Inputs!$D$15-(A97-1),0)&lt;=0,0,(BE97-BF97)*((Inputs!$C$15/12)/(1-(1+Inputs!$C$15/12)^(-MAX(Inputs!$D$15-(A97-1),0)))-Inputs!$C$15/12))</f>
        <v/>
      </c>
      <c r="BI97" s="2">
        <f>(BE97-BF97-BH97)*Inputs!$B$32</f>
        <v/>
      </c>
      <c r="BJ97" s="2">
        <f>BE97-BF97-BH97-BI97</f>
        <v/>
      </c>
      <c r="BK97" s="2">
        <f>C97+I97+O97+U97+AA97+AG97+AM97+AS97+AY97+BE97</f>
        <v/>
      </c>
      <c r="BL97" s="2">
        <f>D97+J97+P97+V97+AB97+AH97+AN97+AT97+AZ97+BF97</f>
        <v/>
      </c>
      <c r="BM97" s="2">
        <f>E97+K97+Q97+W97+AC97+AI97+AO97+AU97+BA97+BG97</f>
        <v/>
      </c>
      <c r="BN97" s="2">
        <f>F97+L97+R97+X97+AD97+AJ97+AP97+AV97+BB97+BH97</f>
        <v/>
      </c>
      <c r="BO97" s="2">
        <f>G97+M97+S97+Y97+AE97+AK97+AQ97+AW97+BC97+BI97</f>
        <v/>
      </c>
      <c r="BP97" s="2">
        <f>H97+N97+T97+Z97+AF97+AL97+AR97+AX97+BD97+BJ97</f>
        <v/>
      </c>
      <c r="BQ97" s="2">
        <f>IF(A97-Inputs!$B$30&gt;=1,INDEX($BL$5:$BL$101,A97-Inputs!$B$30+1)*(1-Inputs!$B$29),0)</f>
        <v/>
      </c>
      <c r="BR97" s="2">
        <f>BR96+BL97</f>
        <v/>
      </c>
      <c r="BS97" s="2">
        <f>BS96+BQ97</f>
        <v/>
      </c>
      <c r="BT97" s="2">
        <f>BR97*Inputs!$B$29</f>
        <v/>
      </c>
      <c r="BU97" s="2">
        <f>BR97*(1-Inputs!$B$29)-BS97</f>
        <v/>
      </c>
      <c r="BV97" s="2">
        <f>BP97+BU97</f>
        <v/>
      </c>
      <c r="BW97" s="2">
        <f>BM97+BN97+BO97+BQ97</f>
        <v/>
      </c>
      <c r="BX97" s="8">
        <f>BK97-BL97-BN97-BO97-BP97</f>
        <v/>
      </c>
    </row>
    <row r="98">
      <c r="A98" s="7" t="n">
        <v>93</v>
      </c>
      <c r="B98" s="3">
        <f>Inputs!$B$36+(Inputs!$B$37-Inputs!$B$36)*(1-EXP(-A98/Inputs!$B$38))+Inputs!$B$31/10000</f>
        <v/>
      </c>
      <c r="C98" s="2">
        <f>H97</f>
        <v/>
      </c>
      <c r="D98" s="2">
        <f>C98*Inputs!$B$33</f>
        <v/>
      </c>
      <c r="E98" s="2">
        <f>(C98-D98)*Inputs!$C$6/12</f>
        <v/>
      </c>
      <c r="F98" s="2">
        <f>IF(MAX(Inputs!$D$6-(A98-1),0)&lt;=0,0,(C98-D98)*((Inputs!$C$6/12)/(1-(1+Inputs!$C$6/12)^(-MAX(Inputs!$D$6-(A98-1),0)))-Inputs!$C$6/12))</f>
        <v/>
      </c>
      <c r="G98" s="2">
        <f>(C98-D98-F98)*Inputs!$B$32</f>
        <v/>
      </c>
      <c r="H98" s="2">
        <f>C98-D98-F98-G98</f>
        <v/>
      </c>
      <c r="I98" s="2">
        <f>N97</f>
        <v/>
      </c>
      <c r="J98" s="2">
        <f>I98*Inputs!$B$33</f>
        <v/>
      </c>
      <c r="K98" s="2">
        <f>(I98-J98)*Inputs!$C$7/12</f>
        <v/>
      </c>
      <c r="L98" s="2">
        <f>IF(MAX(Inputs!$D$7-(A98-1),0)&lt;=0,0,(I98-J98)*((Inputs!$C$7/12)/(1-(1+Inputs!$C$7/12)^(-MAX(Inputs!$D$7-(A98-1),0)))-Inputs!$C$7/12))</f>
        <v/>
      </c>
      <c r="M98" s="2">
        <f>(I98-J98-L98)*Inputs!$B$32</f>
        <v/>
      </c>
      <c r="N98" s="2">
        <f>I98-J98-L98-M98</f>
        <v/>
      </c>
      <c r="O98" s="2">
        <f>T97</f>
        <v/>
      </c>
      <c r="P98" s="2">
        <f>O98*Inputs!$B$33</f>
        <v/>
      </c>
      <c r="Q98" s="2">
        <f>(O98-P98)*Inputs!$C$8/12</f>
        <v/>
      </c>
      <c r="R98" s="2">
        <f>IF(MAX(Inputs!$D$8-(A98-1),0)&lt;=0,0,(O98-P98)*((Inputs!$C$8/12)/(1-(1+Inputs!$C$8/12)^(-MAX(Inputs!$D$8-(A98-1),0)))-Inputs!$C$8/12))</f>
        <v/>
      </c>
      <c r="S98" s="2">
        <f>(O98-P98-R98)*Inputs!$B$32</f>
        <v/>
      </c>
      <c r="T98" s="2">
        <f>O98-P98-R98-S98</f>
        <v/>
      </c>
      <c r="U98" s="2">
        <f>Z97</f>
        <v/>
      </c>
      <c r="V98" s="2">
        <f>U98*Inputs!$B$33</f>
        <v/>
      </c>
      <c r="W98" s="2">
        <f>(U98-V98)*Inputs!$C$9/12</f>
        <v/>
      </c>
      <c r="X98" s="2">
        <f>IF(MAX(Inputs!$D$9-(A98-1),0)&lt;=0,0,(U98-V98)*((Inputs!$C$9/12)/(1-(1+Inputs!$C$9/12)^(-MAX(Inputs!$D$9-(A98-1),0)))-Inputs!$C$9/12))</f>
        <v/>
      </c>
      <c r="Y98" s="2">
        <f>(U98-V98-X98)*Inputs!$B$32</f>
        <v/>
      </c>
      <c r="Z98" s="2">
        <f>U98-V98-X98-Y98</f>
        <v/>
      </c>
      <c r="AA98" s="2">
        <f>AF97</f>
        <v/>
      </c>
      <c r="AB98" s="2">
        <f>AA98*Inputs!$B$33</f>
        <v/>
      </c>
      <c r="AC98" s="2">
        <f>(AA98-AB98)*Inputs!$C$10/12</f>
        <v/>
      </c>
      <c r="AD98" s="2">
        <f>IF(MAX(Inputs!$D$10-(A98-1),0)&lt;=0,0,(AA98-AB98)*((Inputs!$C$10/12)/(1-(1+Inputs!$C$10/12)^(-MAX(Inputs!$D$10-(A98-1),0)))-Inputs!$C$10/12))</f>
        <v/>
      </c>
      <c r="AE98" s="2">
        <f>(AA98-AB98-AD98)*Inputs!$B$32</f>
        <v/>
      </c>
      <c r="AF98" s="2">
        <f>AA98-AB98-AD98-AE98</f>
        <v/>
      </c>
      <c r="AG98" s="2">
        <f>AL97</f>
        <v/>
      </c>
      <c r="AH98" s="2">
        <f>AG98*Inputs!$B$33</f>
        <v/>
      </c>
      <c r="AI98" s="2">
        <f>(AG98-AH98)*Inputs!$C$11/12</f>
        <v/>
      </c>
      <c r="AJ98" s="2">
        <f>IF(MAX(Inputs!$D$11-(A98-1),0)&lt;=0,0,(AG98-AH98)*((Inputs!$C$11/12)/(1-(1+Inputs!$C$11/12)^(-MAX(Inputs!$D$11-(A98-1),0)))-Inputs!$C$11/12))</f>
        <v/>
      </c>
      <c r="AK98" s="2">
        <f>(AG98-AH98-AJ98)*Inputs!$B$32</f>
        <v/>
      </c>
      <c r="AL98" s="2">
        <f>AG98-AH98-AJ98-AK98</f>
        <v/>
      </c>
      <c r="AM98" s="2">
        <f>AR97</f>
        <v/>
      </c>
      <c r="AN98" s="2">
        <f>AM98*Inputs!$B$33</f>
        <v/>
      </c>
      <c r="AO98" s="2">
        <f>(AM98-AN98)*Inputs!$C$12/12</f>
        <v/>
      </c>
      <c r="AP98" s="2">
        <f>IF(MAX(Inputs!$D$12-(A98-1),0)&lt;=0,0,(AM98-AN98)*((Inputs!$C$12/12)/(1-(1+Inputs!$C$12/12)^(-MAX(Inputs!$D$12-(A98-1),0)))-Inputs!$C$12/12))</f>
        <v/>
      </c>
      <c r="AQ98" s="2">
        <f>(AM98-AN98-AP98)*Inputs!$B$32</f>
        <v/>
      </c>
      <c r="AR98" s="2">
        <f>AM98-AN98-AP98-AQ98</f>
        <v/>
      </c>
      <c r="AS98" s="2">
        <f>AX97</f>
        <v/>
      </c>
      <c r="AT98" s="2">
        <f>AS98*Inputs!$B$33</f>
        <v/>
      </c>
      <c r="AU98" s="2">
        <f>(AS98-AT98)*Inputs!$C$13/12</f>
        <v/>
      </c>
      <c r="AV98" s="2">
        <f>IF(MAX(Inputs!$D$13-(A98-1),0)&lt;=0,0,(AS98-AT98)*((Inputs!$C$13/12)/(1-(1+Inputs!$C$13/12)^(-MAX(Inputs!$D$13-(A98-1),0)))-Inputs!$C$13/12))</f>
        <v/>
      </c>
      <c r="AW98" s="2">
        <f>(AS98-AT98-AV98)*Inputs!$B$32</f>
        <v/>
      </c>
      <c r="AX98" s="2">
        <f>AS98-AT98-AV98-AW98</f>
        <v/>
      </c>
      <c r="AY98" s="2">
        <f>BD97</f>
        <v/>
      </c>
      <c r="AZ98" s="2">
        <f>AY98*Inputs!$B$33</f>
        <v/>
      </c>
      <c r="BA98" s="2">
        <f>(AY98-AZ98)*Inputs!$C$14/12</f>
        <v/>
      </c>
      <c r="BB98" s="2">
        <f>IF(MAX(Inputs!$D$14-(A98-1),0)&lt;=0,0,(AY98-AZ98)*((Inputs!$C$14/12)/(1-(1+Inputs!$C$14/12)^(-MAX(Inputs!$D$14-(A98-1),0)))-Inputs!$C$14/12))</f>
        <v/>
      </c>
      <c r="BC98" s="2">
        <f>(AY98-AZ98-BB98)*Inputs!$B$32</f>
        <v/>
      </c>
      <c r="BD98" s="2">
        <f>AY98-AZ98-BB98-BC98</f>
        <v/>
      </c>
      <c r="BE98" s="2">
        <f>BJ97</f>
        <v/>
      </c>
      <c r="BF98" s="2">
        <f>BE98*Inputs!$B$33</f>
        <v/>
      </c>
      <c r="BG98" s="2">
        <f>(BE98-BF98)*Inputs!$C$15/12</f>
        <v/>
      </c>
      <c r="BH98" s="2">
        <f>IF(MAX(Inputs!$D$15-(A98-1),0)&lt;=0,0,(BE98-BF98)*((Inputs!$C$15/12)/(1-(1+Inputs!$C$15/12)^(-MAX(Inputs!$D$15-(A98-1),0)))-Inputs!$C$15/12))</f>
        <v/>
      </c>
      <c r="BI98" s="2">
        <f>(BE98-BF98-BH98)*Inputs!$B$32</f>
        <v/>
      </c>
      <c r="BJ98" s="2">
        <f>BE98-BF98-BH98-BI98</f>
        <v/>
      </c>
      <c r="BK98" s="2">
        <f>C98+I98+O98+U98+AA98+AG98+AM98+AS98+AY98+BE98</f>
        <v/>
      </c>
      <c r="BL98" s="2">
        <f>D98+J98+P98+V98+AB98+AH98+AN98+AT98+AZ98+BF98</f>
        <v/>
      </c>
      <c r="BM98" s="2">
        <f>E98+K98+Q98+W98+AC98+AI98+AO98+AU98+BA98+BG98</f>
        <v/>
      </c>
      <c r="BN98" s="2">
        <f>F98+L98+R98+X98+AD98+AJ98+AP98+AV98+BB98+BH98</f>
        <v/>
      </c>
      <c r="BO98" s="2">
        <f>G98+M98+S98+Y98+AE98+AK98+AQ98+AW98+BC98+BI98</f>
        <v/>
      </c>
      <c r="BP98" s="2">
        <f>H98+N98+T98+Z98+AF98+AL98+AR98+AX98+BD98+BJ98</f>
        <v/>
      </c>
      <c r="BQ98" s="2">
        <f>IF(A98-Inputs!$B$30&gt;=1,INDEX($BL$5:$BL$101,A98-Inputs!$B$30+1)*(1-Inputs!$B$29),0)</f>
        <v/>
      </c>
      <c r="BR98" s="2">
        <f>BR97+BL98</f>
        <v/>
      </c>
      <c r="BS98" s="2">
        <f>BS97+BQ98</f>
        <v/>
      </c>
      <c r="BT98" s="2">
        <f>BR98*Inputs!$B$29</f>
        <v/>
      </c>
      <c r="BU98" s="2">
        <f>BR98*(1-Inputs!$B$29)-BS98</f>
        <v/>
      </c>
      <c r="BV98" s="2">
        <f>BP98+BU98</f>
        <v/>
      </c>
      <c r="BW98" s="2">
        <f>BM98+BN98+BO98+BQ98</f>
        <v/>
      </c>
      <c r="BX98" s="8">
        <f>BK98-BL98-BN98-BO98-BP98</f>
        <v/>
      </c>
    </row>
    <row r="99">
      <c r="A99" s="7" t="n">
        <v>94</v>
      </c>
      <c r="B99" s="3">
        <f>Inputs!$B$36+(Inputs!$B$37-Inputs!$B$36)*(1-EXP(-A99/Inputs!$B$38))+Inputs!$B$31/10000</f>
        <v/>
      </c>
      <c r="C99" s="2">
        <f>H98</f>
        <v/>
      </c>
      <c r="D99" s="2">
        <f>C99*Inputs!$B$33</f>
        <v/>
      </c>
      <c r="E99" s="2">
        <f>(C99-D99)*Inputs!$C$6/12</f>
        <v/>
      </c>
      <c r="F99" s="2">
        <f>IF(MAX(Inputs!$D$6-(A99-1),0)&lt;=0,0,(C99-D99)*((Inputs!$C$6/12)/(1-(1+Inputs!$C$6/12)^(-MAX(Inputs!$D$6-(A99-1),0)))-Inputs!$C$6/12))</f>
        <v/>
      </c>
      <c r="G99" s="2">
        <f>(C99-D99-F99)*Inputs!$B$32</f>
        <v/>
      </c>
      <c r="H99" s="2">
        <f>C99-D99-F99-G99</f>
        <v/>
      </c>
      <c r="I99" s="2">
        <f>N98</f>
        <v/>
      </c>
      <c r="J99" s="2">
        <f>I99*Inputs!$B$33</f>
        <v/>
      </c>
      <c r="K99" s="2">
        <f>(I99-J99)*Inputs!$C$7/12</f>
        <v/>
      </c>
      <c r="L99" s="2">
        <f>IF(MAX(Inputs!$D$7-(A99-1),0)&lt;=0,0,(I99-J99)*((Inputs!$C$7/12)/(1-(1+Inputs!$C$7/12)^(-MAX(Inputs!$D$7-(A99-1),0)))-Inputs!$C$7/12))</f>
        <v/>
      </c>
      <c r="M99" s="2">
        <f>(I99-J99-L99)*Inputs!$B$32</f>
        <v/>
      </c>
      <c r="N99" s="2">
        <f>I99-J99-L99-M99</f>
        <v/>
      </c>
      <c r="O99" s="2">
        <f>T98</f>
        <v/>
      </c>
      <c r="P99" s="2">
        <f>O99*Inputs!$B$33</f>
        <v/>
      </c>
      <c r="Q99" s="2">
        <f>(O99-P99)*Inputs!$C$8/12</f>
        <v/>
      </c>
      <c r="R99" s="2">
        <f>IF(MAX(Inputs!$D$8-(A99-1),0)&lt;=0,0,(O99-P99)*((Inputs!$C$8/12)/(1-(1+Inputs!$C$8/12)^(-MAX(Inputs!$D$8-(A99-1),0)))-Inputs!$C$8/12))</f>
        <v/>
      </c>
      <c r="S99" s="2">
        <f>(O99-P99-R99)*Inputs!$B$32</f>
        <v/>
      </c>
      <c r="T99" s="2">
        <f>O99-P99-R99-S99</f>
        <v/>
      </c>
      <c r="U99" s="2">
        <f>Z98</f>
        <v/>
      </c>
      <c r="V99" s="2">
        <f>U99*Inputs!$B$33</f>
        <v/>
      </c>
      <c r="W99" s="2">
        <f>(U99-V99)*Inputs!$C$9/12</f>
        <v/>
      </c>
      <c r="X99" s="2">
        <f>IF(MAX(Inputs!$D$9-(A99-1),0)&lt;=0,0,(U99-V99)*((Inputs!$C$9/12)/(1-(1+Inputs!$C$9/12)^(-MAX(Inputs!$D$9-(A99-1),0)))-Inputs!$C$9/12))</f>
        <v/>
      </c>
      <c r="Y99" s="2">
        <f>(U99-V99-X99)*Inputs!$B$32</f>
        <v/>
      </c>
      <c r="Z99" s="2">
        <f>U99-V99-X99-Y99</f>
        <v/>
      </c>
      <c r="AA99" s="2">
        <f>AF98</f>
        <v/>
      </c>
      <c r="AB99" s="2">
        <f>AA99*Inputs!$B$33</f>
        <v/>
      </c>
      <c r="AC99" s="2">
        <f>(AA99-AB99)*Inputs!$C$10/12</f>
        <v/>
      </c>
      <c r="AD99" s="2">
        <f>IF(MAX(Inputs!$D$10-(A99-1),0)&lt;=0,0,(AA99-AB99)*((Inputs!$C$10/12)/(1-(1+Inputs!$C$10/12)^(-MAX(Inputs!$D$10-(A99-1),0)))-Inputs!$C$10/12))</f>
        <v/>
      </c>
      <c r="AE99" s="2">
        <f>(AA99-AB99-AD99)*Inputs!$B$32</f>
        <v/>
      </c>
      <c r="AF99" s="2">
        <f>AA99-AB99-AD99-AE99</f>
        <v/>
      </c>
      <c r="AG99" s="2">
        <f>AL98</f>
        <v/>
      </c>
      <c r="AH99" s="2">
        <f>AG99*Inputs!$B$33</f>
        <v/>
      </c>
      <c r="AI99" s="2">
        <f>(AG99-AH99)*Inputs!$C$11/12</f>
        <v/>
      </c>
      <c r="AJ99" s="2">
        <f>IF(MAX(Inputs!$D$11-(A99-1),0)&lt;=0,0,(AG99-AH99)*((Inputs!$C$11/12)/(1-(1+Inputs!$C$11/12)^(-MAX(Inputs!$D$11-(A99-1),0)))-Inputs!$C$11/12))</f>
        <v/>
      </c>
      <c r="AK99" s="2">
        <f>(AG99-AH99-AJ99)*Inputs!$B$32</f>
        <v/>
      </c>
      <c r="AL99" s="2">
        <f>AG99-AH99-AJ99-AK99</f>
        <v/>
      </c>
      <c r="AM99" s="2">
        <f>AR98</f>
        <v/>
      </c>
      <c r="AN99" s="2">
        <f>AM99*Inputs!$B$33</f>
        <v/>
      </c>
      <c r="AO99" s="2">
        <f>(AM99-AN99)*Inputs!$C$12/12</f>
        <v/>
      </c>
      <c r="AP99" s="2">
        <f>IF(MAX(Inputs!$D$12-(A99-1),0)&lt;=0,0,(AM99-AN99)*((Inputs!$C$12/12)/(1-(1+Inputs!$C$12/12)^(-MAX(Inputs!$D$12-(A99-1),0)))-Inputs!$C$12/12))</f>
        <v/>
      </c>
      <c r="AQ99" s="2">
        <f>(AM99-AN99-AP99)*Inputs!$B$32</f>
        <v/>
      </c>
      <c r="AR99" s="2">
        <f>AM99-AN99-AP99-AQ99</f>
        <v/>
      </c>
      <c r="AS99" s="2">
        <f>AX98</f>
        <v/>
      </c>
      <c r="AT99" s="2">
        <f>AS99*Inputs!$B$33</f>
        <v/>
      </c>
      <c r="AU99" s="2">
        <f>(AS99-AT99)*Inputs!$C$13/12</f>
        <v/>
      </c>
      <c r="AV99" s="2">
        <f>IF(MAX(Inputs!$D$13-(A99-1),0)&lt;=0,0,(AS99-AT99)*((Inputs!$C$13/12)/(1-(1+Inputs!$C$13/12)^(-MAX(Inputs!$D$13-(A99-1),0)))-Inputs!$C$13/12))</f>
        <v/>
      </c>
      <c r="AW99" s="2">
        <f>(AS99-AT99-AV99)*Inputs!$B$32</f>
        <v/>
      </c>
      <c r="AX99" s="2">
        <f>AS99-AT99-AV99-AW99</f>
        <v/>
      </c>
      <c r="AY99" s="2">
        <f>BD98</f>
        <v/>
      </c>
      <c r="AZ99" s="2">
        <f>AY99*Inputs!$B$33</f>
        <v/>
      </c>
      <c r="BA99" s="2">
        <f>(AY99-AZ99)*Inputs!$C$14/12</f>
        <v/>
      </c>
      <c r="BB99" s="2">
        <f>IF(MAX(Inputs!$D$14-(A99-1),0)&lt;=0,0,(AY99-AZ99)*((Inputs!$C$14/12)/(1-(1+Inputs!$C$14/12)^(-MAX(Inputs!$D$14-(A99-1),0)))-Inputs!$C$14/12))</f>
        <v/>
      </c>
      <c r="BC99" s="2">
        <f>(AY99-AZ99-BB99)*Inputs!$B$32</f>
        <v/>
      </c>
      <c r="BD99" s="2">
        <f>AY99-AZ99-BB99-BC99</f>
        <v/>
      </c>
      <c r="BE99" s="2">
        <f>BJ98</f>
        <v/>
      </c>
      <c r="BF99" s="2">
        <f>BE99*Inputs!$B$33</f>
        <v/>
      </c>
      <c r="BG99" s="2">
        <f>(BE99-BF99)*Inputs!$C$15/12</f>
        <v/>
      </c>
      <c r="BH99" s="2">
        <f>IF(MAX(Inputs!$D$15-(A99-1),0)&lt;=0,0,(BE99-BF99)*((Inputs!$C$15/12)/(1-(1+Inputs!$C$15/12)^(-MAX(Inputs!$D$15-(A99-1),0)))-Inputs!$C$15/12))</f>
        <v/>
      </c>
      <c r="BI99" s="2">
        <f>(BE99-BF99-BH99)*Inputs!$B$32</f>
        <v/>
      </c>
      <c r="BJ99" s="2">
        <f>BE99-BF99-BH99-BI99</f>
        <v/>
      </c>
      <c r="BK99" s="2">
        <f>C99+I99+O99+U99+AA99+AG99+AM99+AS99+AY99+BE99</f>
        <v/>
      </c>
      <c r="BL99" s="2">
        <f>D99+J99+P99+V99+AB99+AH99+AN99+AT99+AZ99+BF99</f>
        <v/>
      </c>
      <c r="BM99" s="2">
        <f>E99+K99+Q99+W99+AC99+AI99+AO99+AU99+BA99+BG99</f>
        <v/>
      </c>
      <c r="BN99" s="2">
        <f>F99+L99+R99+X99+AD99+AJ99+AP99+AV99+BB99+BH99</f>
        <v/>
      </c>
      <c r="BO99" s="2">
        <f>G99+M99+S99+Y99+AE99+AK99+AQ99+AW99+BC99+BI99</f>
        <v/>
      </c>
      <c r="BP99" s="2">
        <f>H99+N99+T99+Z99+AF99+AL99+AR99+AX99+BD99+BJ99</f>
        <v/>
      </c>
      <c r="BQ99" s="2">
        <f>IF(A99-Inputs!$B$30&gt;=1,INDEX($BL$5:$BL$101,A99-Inputs!$B$30+1)*(1-Inputs!$B$29),0)</f>
        <v/>
      </c>
      <c r="BR99" s="2">
        <f>BR98+BL99</f>
        <v/>
      </c>
      <c r="BS99" s="2">
        <f>BS98+BQ99</f>
        <v/>
      </c>
      <c r="BT99" s="2">
        <f>BR99*Inputs!$B$29</f>
        <v/>
      </c>
      <c r="BU99" s="2">
        <f>BR99*(1-Inputs!$B$29)-BS99</f>
        <v/>
      </c>
      <c r="BV99" s="2">
        <f>BP99+BU99</f>
        <v/>
      </c>
      <c r="BW99" s="2">
        <f>BM99+BN99+BO99+BQ99</f>
        <v/>
      </c>
      <c r="BX99" s="8">
        <f>BK99-BL99-BN99-BO99-BP99</f>
        <v/>
      </c>
    </row>
    <row r="100">
      <c r="A100" s="7" t="n">
        <v>95</v>
      </c>
      <c r="B100" s="3">
        <f>Inputs!$B$36+(Inputs!$B$37-Inputs!$B$36)*(1-EXP(-A100/Inputs!$B$38))+Inputs!$B$31/10000</f>
        <v/>
      </c>
      <c r="C100" s="2">
        <f>H99</f>
        <v/>
      </c>
      <c r="D100" s="2">
        <f>C100*Inputs!$B$33</f>
        <v/>
      </c>
      <c r="E100" s="2">
        <f>(C100-D100)*Inputs!$C$6/12</f>
        <v/>
      </c>
      <c r="F100" s="2">
        <f>IF(MAX(Inputs!$D$6-(A100-1),0)&lt;=0,0,(C100-D100)*((Inputs!$C$6/12)/(1-(1+Inputs!$C$6/12)^(-MAX(Inputs!$D$6-(A100-1),0)))-Inputs!$C$6/12))</f>
        <v/>
      </c>
      <c r="G100" s="2">
        <f>(C100-D100-F100)*Inputs!$B$32</f>
        <v/>
      </c>
      <c r="H100" s="2">
        <f>C100-D100-F100-G100</f>
        <v/>
      </c>
      <c r="I100" s="2">
        <f>N99</f>
        <v/>
      </c>
      <c r="J100" s="2">
        <f>I100*Inputs!$B$33</f>
        <v/>
      </c>
      <c r="K100" s="2">
        <f>(I100-J100)*Inputs!$C$7/12</f>
        <v/>
      </c>
      <c r="L100" s="2">
        <f>IF(MAX(Inputs!$D$7-(A100-1),0)&lt;=0,0,(I100-J100)*((Inputs!$C$7/12)/(1-(1+Inputs!$C$7/12)^(-MAX(Inputs!$D$7-(A100-1),0)))-Inputs!$C$7/12))</f>
        <v/>
      </c>
      <c r="M100" s="2">
        <f>(I100-J100-L100)*Inputs!$B$32</f>
        <v/>
      </c>
      <c r="N100" s="2">
        <f>I100-J100-L100-M100</f>
        <v/>
      </c>
      <c r="O100" s="2">
        <f>T99</f>
        <v/>
      </c>
      <c r="P100" s="2">
        <f>O100*Inputs!$B$33</f>
        <v/>
      </c>
      <c r="Q100" s="2">
        <f>(O100-P100)*Inputs!$C$8/12</f>
        <v/>
      </c>
      <c r="R100" s="2">
        <f>IF(MAX(Inputs!$D$8-(A100-1),0)&lt;=0,0,(O100-P100)*((Inputs!$C$8/12)/(1-(1+Inputs!$C$8/12)^(-MAX(Inputs!$D$8-(A100-1),0)))-Inputs!$C$8/12))</f>
        <v/>
      </c>
      <c r="S100" s="2">
        <f>(O100-P100-R100)*Inputs!$B$32</f>
        <v/>
      </c>
      <c r="T100" s="2">
        <f>O100-P100-R100-S100</f>
        <v/>
      </c>
      <c r="U100" s="2">
        <f>Z99</f>
        <v/>
      </c>
      <c r="V100" s="2">
        <f>U100*Inputs!$B$33</f>
        <v/>
      </c>
      <c r="W100" s="2">
        <f>(U100-V100)*Inputs!$C$9/12</f>
        <v/>
      </c>
      <c r="X100" s="2">
        <f>IF(MAX(Inputs!$D$9-(A100-1),0)&lt;=0,0,(U100-V100)*((Inputs!$C$9/12)/(1-(1+Inputs!$C$9/12)^(-MAX(Inputs!$D$9-(A100-1),0)))-Inputs!$C$9/12))</f>
        <v/>
      </c>
      <c r="Y100" s="2">
        <f>(U100-V100-X100)*Inputs!$B$32</f>
        <v/>
      </c>
      <c r="Z100" s="2">
        <f>U100-V100-X100-Y100</f>
        <v/>
      </c>
      <c r="AA100" s="2">
        <f>AF99</f>
        <v/>
      </c>
      <c r="AB100" s="2">
        <f>AA100*Inputs!$B$33</f>
        <v/>
      </c>
      <c r="AC100" s="2">
        <f>(AA100-AB100)*Inputs!$C$10/12</f>
        <v/>
      </c>
      <c r="AD100" s="2">
        <f>IF(MAX(Inputs!$D$10-(A100-1),0)&lt;=0,0,(AA100-AB100)*((Inputs!$C$10/12)/(1-(1+Inputs!$C$10/12)^(-MAX(Inputs!$D$10-(A100-1),0)))-Inputs!$C$10/12))</f>
        <v/>
      </c>
      <c r="AE100" s="2">
        <f>(AA100-AB100-AD100)*Inputs!$B$32</f>
        <v/>
      </c>
      <c r="AF100" s="2">
        <f>AA100-AB100-AD100-AE100</f>
        <v/>
      </c>
      <c r="AG100" s="2">
        <f>AL99</f>
        <v/>
      </c>
      <c r="AH100" s="2">
        <f>AG100*Inputs!$B$33</f>
        <v/>
      </c>
      <c r="AI100" s="2">
        <f>(AG100-AH100)*Inputs!$C$11/12</f>
        <v/>
      </c>
      <c r="AJ100" s="2">
        <f>IF(MAX(Inputs!$D$11-(A100-1),0)&lt;=0,0,(AG100-AH100)*((Inputs!$C$11/12)/(1-(1+Inputs!$C$11/12)^(-MAX(Inputs!$D$11-(A100-1),0)))-Inputs!$C$11/12))</f>
        <v/>
      </c>
      <c r="AK100" s="2">
        <f>(AG100-AH100-AJ100)*Inputs!$B$32</f>
        <v/>
      </c>
      <c r="AL100" s="2">
        <f>AG100-AH100-AJ100-AK100</f>
        <v/>
      </c>
      <c r="AM100" s="2">
        <f>AR99</f>
        <v/>
      </c>
      <c r="AN100" s="2">
        <f>AM100*Inputs!$B$33</f>
        <v/>
      </c>
      <c r="AO100" s="2">
        <f>(AM100-AN100)*Inputs!$C$12/12</f>
        <v/>
      </c>
      <c r="AP100" s="2">
        <f>IF(MAX(Inputs!$D$12-(A100-1),0)&lt;=0,0,(AM100-AN100)*((Inputs!$C$12/12)/(1-(1+Inputs!$C$12/12)^(-MAX(Inputs!$D$12-(A100-1),0)))-Inputs!$C$12/12))</f>
        <v/>
      </c>
      <c r="AQ100" s="2">
        <f>(AM100-AN100-AP100)*Inputs!$B$32</f>
        <v/>
      </c>
      <c r="AR100" s="2">
        <f>AM100-AN100-AP100-AQ100</f>
        <v/>
      </c>
      <c r="AS100" s="2">
        <f>AX99</f>
        <v/>
      </c>
      <c r="AT100" s="2">
        <f>AS100*Inputs!$B$33</f>
        <v/>
      </c>
      <c r="AU100" s="2">
        <f>(AS100-AT100)*Inputs!$C$13/12</f>
        <v/>
      </c>
      <c r="AV100" s="2">
        <f>IF(MAX(Inputs!$D$13-(A100-1),0)&lt;=0,0,(AS100-AT100)*((Inputs!$C$13/12)/(1-(1+Inputs!$C$13/12)^(-MAX(Inputs!$D$13-(A100-1),0)))-Inputs!$C$13/12))</f>
        <v/>
      </c>
      <c r="AW100" s="2">
        <f>(AS100-AT100-AV100)*Inputs!$B$32</f>
        <v/>
      </c>
      <c r="AX100" s="2">
        <f>AS100-AT100-AV100-AW100</f>
        <v/>
      </c>
      <c r="AY100" s="2">
        <f>BD99</f>
        <v/>
      </c>
      <c r="AZ100" s="2">
        <f>AY100*Inputs!$B$33</f>
        <v/>
      </c>
      <c r="BA100" s="2">
        <f>(AY100-AZ100)*Inputs!$C$14/12</f>
        <v/>
      </c>
      <c r="BB100" s="2">
        <f>IF(MAX(Inputs!$D$14-(A100-1),0)&lt;=0,0,(AY100-AZ100)*((Inputs!$C$14/12)/(1-(1+Inputs!$C$14/12)^(-MAX(Inputs!$D$14-(A100-1),0)))-Inputs!$C$14/12))</f>
        <v/>
      </c>
      <c r="BC100" s="2">
        <f>(AY100-AZ100-BB100)*Inputs!$B$32</f>
        <v/>
      </c>
      <c r="BD100" s="2">
        <f>AY100-AZ100-BB100-BC100</f>
        <v/>
      </c>
      <c r="BE100" s="2">
        <f>BJ99</f>
        <v/>
      </c>
      <c r="BF100" s="2">
        <f>BE100*Inputs!$B$33</f>
        <v/>
      </c>
      <c r="BG100" s="2">
        <f>(BE100-BF100)*Inputs!$C$15/12</f>
        <v/>
      </c>
      <c r="BH100" s="2">
        <f>IF(MAX(Inputs!$D$15-(A100-1),0)&lt;=0,0,(BE100-BF100)*((Inputs!$C$15/12)/(1-(1+Inputs!$C$15/12)^(-MAX(Inputs!$D$15-(A100-1),0)))-Inputs!$C$15/12))</f>
        <v/>
      </c>
      <c r="BI100" s="2">
        <f>(BE100-BF100-BH100)*Inputs!$B$32</f>
        <v/>
      </c>
      <c r="BJ100" s="2">
        <f>BE100-BF100-BH100-BI100</f>
        <v/>
      </c>
      <c r="BK100" s="2">
        <f>C100+I100+O100+U100+AA100+AG100+AM100+AS100+AY100+BE100</f>
        <v/>
      </c>
      <c r="BL100" s="2">
        <f>D100+J100+P100+V100+AB100+AH100+AN100+AT100+AZ100+BF100</f>
        <v/>
      </c>
      <c r="BM100" s="2">
        <f>E100+K100+Q100+W100+AC100+AI100+AO100+AU100+BA100+BG100</f>
        <v/>
      </c>
      <c r="BN100" s="2">
        <f>F100+L100+R100+X100+AD100+AJ100+AP100+AV100+BB100+BH100</f>
        <v/>
      </c>
      <c r="BO100" s="2">
        <f>G100+M100+S100+Y100+AE100+AK100+AQ100+AW100+BC100+BI100</f>
        <v/>
      </c>
      <c r="BP100" s="2">
        <f>H100+N100+T100+Z100+AF100+AL100+AR100+AX100+BD100+BJ100</f>
        <v/>
      </c>
      <c r="BQ100" s="2">
        <f>IF(A100-Inputs!$B$30&gt;=1,INDEX($BL$5:$BL$101,A100-Inputs!$B$30+1)*(1-Inputs!$B$29),0)</f>
        <v/>
      </c>
      <c r="BR100" s="2">
        <f>BR99+BL100</f>
        <v/>
      </c>
      <c r="BS100" s="2">
        <f>BS99+BQ100</f>
        <v/>
      </c>
      <c r="BT100" s="2">
        <f>BR100*Inputs!$B$29</f>
        <v/>
      </c>
      <c r="BU100" s="2">
        <f>BR100*(1-Inputs!$B$29)-BS100</f>
        <v/>
      </c>
      <c r="BV100" s="2">
        <f>BP100+BU100</f>
        <v/>
      </c>
      <c r="BW100" s="2">
        <f>BM100+BN100+BO100+BQ100</f>
        <v/>
      </c>
      <c r="BX100" s="8">
        <f>BK100-BL100-BN100-BO100-BP100</f>
        <v/>
      </c>
    </row>
    <row r="101">
      <c r="A101" s="7" t="n">
        <v>96</v>
      </c>
      <c r="B101" s="3">
        <f>Inputs!$B$36+(Inputs!$B$37-Inputs!$B$36)*(1-EXP(-A101/Inputs!$B$38))+Inputs!$B$31/10000</f>
        <v/>
      </c>
      <c r="C101" s="2">
        <f>H100</f>
        <v/>
      </c>
      <c r="D101" s="2">
        <f>C101*Inputs!$B$33</f>
        <v/>
      </c>
      <c r="E101" s="2">
        <f>(C101-D101)*Inputs!$C$6/12</f>
        <v/>
      </c>
      <c r="F101" s="2">
        <f>IF(MAX(Inputs!$D$6-(A101-1),0)&lt;=0,0,(C101-D101)*((Inputs!$C$6/12)/(1-(1+Inputs!$C$6/12)^(-MAX(Inputs!$D$6-(A101-1),0)))-Inputs!$C$6/12))</f>
        <v/>
      </c>
      <c r="G101" s="2">
        <f>(C101-D101-F101)*Inputs!$B$32</f>
        <v/>
      </c>
      <c r="H101" s="2">
        <f>C101-D101-F101-G101</f>
        <v/>
      </c>
      <c r="I101" s="2">
        <f>N100</f>
        <v/>
      </c>
      <c r="J101" s="2">
        <f>I101*Inputs!$B$33</f>
        <v/>
      </c>
      <c r="K101" s="2">
        <f>(I101-J101)*Inputs!$C$7/12</f>
        <v/>
      </c>
      <c r="L101" s="2">
        <f>IF(MAX(Inputs!$D$7-(A101-1),0)&lt;=0,0,(I101-J101)*((Inputs!$C$7/12)/(1-(1+Inputs!$C$7/12)^(-MAX(Inputs!$D$7-(A101-1),0)))-Inputs!$C$7/12))</f>
        <v/>
      </c>
      <c r="M101" s="2">
        <f>(I101-J101-L101)*Inputs!$B$32</f>
        <v/>
      </c>
      <c r="N101" s="2">
        <f>I101-J101-L101-M101</f>
        <v/>
      </c>
      <c r="O101" s="2">
        <f>T100</f>
        <v/>
      </c>
      <c r="P101" s="2">
        <f>O101*Inputs!$B$33</f>
        <v/>
      </c>
      <c r="Q101" s="2">
        <f>(O101-P101)*Inputs!$C$8/12</f>
        <v/>
      </c>
      <c r="R101" s="2">
        <f>IF(MAX(Inputs!$D$8-(A101-1),0)&lt;=0,0,(O101-P101)*((Inputs!$C$8/12)/(1-(1+Inputs!$C$8/12)^(-MAX(Inputs!$D$8-(A101-1),0)))-Inputs!$C$8/12))</f>
        <v/>
      </c>
      <c r="S101" s="2">
        <f>(O101-P101-R101)*Inputs!$B$32</f>
        <v/>
      </c>
      <c r="T101" s="2">
        <f>O101-P101-R101-S101</f>
        <v/>
      </c>
      <c r="U101" s="2">
        <f>Z100</f>
        <v/>
      </c>
      <c r="V101" s="2">
        <f>U101*Inputs!$B$33</f>
        <v/>
      </c>
      <c r="W101" s="2">
        <f>(U101-V101)*Inputs!$C$9/12</f>
        <v/>
      </c>
      <c r="X101" s="2">
        <f>IF(MAX(Inputs!$D$9-(A101-1),0)&lt;=0,0,(U101-V101)*((Inputs!$C$9/12)/(1-(1+Inputs!$C$9/12)^(-MAX(Inputs!$D$9-(A101-1),0)))-Inputs!$C$9/12))</f>
        <v/>
      </c>
      <c r="Y101" s="2">
        <f>(U101-V101-X101)*Inputs!$B$32</f>
        <v/>
      </c>
      <c r="Z101" s="2">
        <f>U101-V101-X101-Y101</f>
        <v/>
      </c>
      <c r="AA101" s="2">
        <f>AF100</f>
        <v/>
      </c>
      <c r="AB101" s="2">
        <f>AA101*Inputs!$B$33</f>
        <v/>
      </c>
      <c r="AC101" s="2">
        <f>(AA101-AB101)*Inputs!$C$10/12</f>
        <v/>
      </c>
      <c r="AD101" s="2">
        <f>IF(MAX(Inputs!$D$10-(A101-1),0)&lt;=0,0,(AA101-AB101)*((Inputs!$C$10/12)/(1-(1+Inputs!$C$10/12)^(-MAX(Inputs!$D$10-(A101-1),0)))-Inputs!$C$10/12))</f>
        <v/>
      </c>
      <c r="AE101" s="2">
        <f>(AA101-AB101-AD101)*Inputs!$B$32</f>
        <v/>
      </c>
      <c r="AF101" s="2">
        <f>AA101-AB101-AD101-AE101</f>
        <v/>
      </c>
      <c r="AG101" s="2">
        <f>AL100</f>
        <v/>
      </c>
      <c r="AH101" s="2">
        <f>AG101*Inputs!$B$33</f>
        <v/>
      </c>
      <c r="AI101" s="2">
        <f>(AG101-AH101)*Inputs!$C$11/12</f>
        <v/>
      </c>
      <c r="AJ101" s="2">
        <f>IF(MAX(Inputs!$D$11-(A101-1),0)&lt;=0,0,(AG101-AH101)*((Inputs!$C$11/12)/(1-(1+Inputs!$C$11/12)^(-MAX(Inputs!$D$11-(A101-1),0)))-Inputs!$C$11/12))</f>
        <v/>
      </c>
      <c r="AK101" s="2">
        <f>(AG101-AH101-AJ101)*Inputs!$B$32</f>
        <v/>
      </c>
      <c r="AL101" s="2">
        <f>AG101-AH101-AJ101-AK101</f>
        <v/>
      </c>
      <c r="AM101" s="2">
        <f>AR100</f>
        <v/>
      </c>
      <c r="AN101" s="2">
        <f>AM101*Inputs!$B$33</f>
        <v/>
      </c>
      <c r="AO101" s="2">
        <f>(AM101-AN101)*Inputs!$C$12/12</f>
        <v/>
      </c>
      <c r="AP101" s="2">
        <f>IF(MAX(Inputs!$D$12-(A101-1),0)&lt;=0,0,(AM101-AN101)*((Inputs!$C$12/12)/(1-(1+Inputs!$C$12/12)^(-MAX(Inputs!$D$12-(A101-1),0)))-Inputs!$C$12/12))</f>
        <v/>
      </c>
      <c r="AQ101" s="2">
        <f>(AM101-AN101-AP101)*Inputs!$B$32</f>
        <v/>
      </c>
      <c r="AR101" s="2">
        <f>AM101-AN101-AP101-AQ101</f>
        <v/>
      </c>
      <c r="AS101" s="2">
        <f>AX100</f>
        <v/>
      </c>
      <c r="AT101" s="2">
        <f>AS101*Inputs!$B$33</f>
        <v/>
      </c>
      <c r="AU101" s="2">
        <f>(AS101-AT101)*Inputs!$C$13/12</f>
        <v/>
      </c>
      <c r="AV101" s="2">
        <f>IF(MAX(Inputs!$D$13-(A101-1),0)&lt;=0,0,(AS101-AT101)*((Inputs!$C$13/12)/(1-(1+Inputs!$C$13/12)^(-MAX(Inputs!$D$13-(A101-1),0)))-Inputs!$C$13/12))</f>
        <v/>
      </c>
      <c r="AW101" s="2">
        <f>(AS101-AT101-AV101)*Inputs!$B$32</f>
        <v/>
      </c>
      <c r="AX101" s="2">
        <f>AS101-AT101-AV101-AW101</f>
        <v/>
      </c>
      <c r="AY101" s="2">
        <f>BD100</f>
        <v/>
      </c>
      <c r="AZ101" s="2">
        <f>AY101*Inputs!$B$33</f>
        <v/>
      </c>
      <c r="BA101" s="2">
        <f>(AY101-AZ101)*Inputs!$C$14/12</f>
        <v/>
      </c>
      <c r="BB101" s="2">
        <f>IF(MAX(Inputs!$D$14-(A101-1),0)&lt;=0,0,(AY101-AZ101)*((Inputs!$C$14/12)/(1-(1+Inputs!$C$14/12)^(-MAX(Inputs!$D$14-(A101-1),0)))-Inputs!$C$14/12))</f>
        <v/>
      </c>
      <c r="BC101" s="2">
        <f>(AY101-AZ101-BB101)*Inputs!$B$32</f>
        <v/>
      </c>
      <c r="BD101" s="2">
        <f>AY101-AZ101-BB101-BC101</f>
        <v/>
      </c>
      <c r="BE101" s="2">
        <f>BJ100</f>
        <v/>
      </c>
      <c r="BF101" s="2">
        <f>BE101*Inputs!$B$33</f>
        <v/>
      </c>
      <c r="BG101" s="2">
        <f>(BE101-BF101)*Inputs!$C$15/12</f>
        <v/>
      </c>
      <c r="BH101" s="2">
        <f>IF(MAX(Inputs!$D$15-(A101-1),0)&lt;=0,0,(BE101-BF101)*((Inputs!$C$15/12)/(1-(1+Inputs!$C$15/12)^(-MAX(Inputs!$D$15-(A101-1),0)))-Inputs!$C$15/12))</f>
        <v/>
      </c>
      <c r="BI101" s="2">
        <f>(BE101-BF101-BH101)*Inputs!$B$32</f>
        <v/>
      </c>
      <c r="BJ101" s="2">
        <f>BE101-BF101-BH101-BI101</f>
        <v/>
      </c>
      <c r="BK101" s="2">
        <f>C101+I101+O101+U101+AA101+AG101+AM101+AS101+AY101+BE101</f>
        <v/>
      </c>
      <c r="BL101" s="2">
        <f>D101+J101+P101+V101+AB101+AH101+AN101+AT101+AZ101+BF101</f>
        <v/>
      </c>
      <c r="BM101" s="2">
        <f>E101+K101+Q101+W101+AC101+AI101+AO101+AU101+BA101+BG101</f>
        <v/>
      </c>
      <c r="BN101" s="2">
        <f>F101+L101+R101+X101+AD101+AJ101+AP101+AV101+BB101+BH101</f>
        <v/>
      </c>
      <c r="BO101" s="2">
        <f>G101+M101+S101+Y101+AE101+AK101+AQ101+AW101+BC101+BI101</f>
        <v/>
      </c>
      <c r="BP101" s="2">
        <f>H101+N101+T101+Z101+AF101+AL101+AR101+AX101+BD101+BJ101</f>
        <v/>
      </c>
      <c r="BQ101" s="2">
        <f>IF(A101-Inputs!$B$30&gt;=1,INDEX($BL$5:$BL$101,A101-Inputs!$B$30+1)*(1-Inputs!$B$29),0)</f>
        <v/>
      </c>
      <c r="BR101" s="2">
        <f>BR100+BL101</f>
        <v/>
      </c>
      <c r="BS101" s="2">
        <f>BS100+BQ101</f>
        <v/>
      </c>
      <c r="BT101" s="2">
        <f>BR101*Inputs!$B$29</f>
        <v/>
      </c>
      <c r="BU101" s="2">
        <f>BR101*(1-Inputs!$B$29)-BS101</f>
        <v/>
      </c>
      <c r="BV101" s="2">
        <f>BP101+BU101</f>
        <v/>
      </c>
      <c r="BW101" s="2">
        <f>BM101+BN101+BO101+BQ101</f>
        <v/>
      </c>
      <c r="BX101" s="8">
        <f>BK101-BL101-BN101-BO101-BP101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</cols>
  <sheetData>
    <row r="1">
      <c r="A1" s="1" t="inlineStr">
        <is>
          <t>Waterfall</t>
        </is>
      </c>
    </row>
    <row r="2">
      <c r="A2" t="inlineStr">
        <is>
          <t>Interest and principal priority of payments, turbo, reserve, write-downs.</t>
        </is>
      </c>
    </row>
    <row r="4">
      <c r="A4" s="6" t="inlineStr">
        <is>
          <t>Period</t>
        </is>
      </c>
      <c r="B4" s="6" t="inlineStr">
        <is>
          <t>Senior fees accrued</t>
        </is>
      </c>
      <c r="C4" s="6" t="inlineStr">
        <is>
          <t>Senior fees due</t>
        </is>
      </c>
      <c r="D4" s="6" t="inlineStr">
        <is>
          <t>A beg balance</t>
        </is>
      </c>
      <c r="E4" s="6" t="inlineStr">
        <is>
          <t>B beg balance</t>
        </is>
      </c>
      <c r="F4" s="6" t="inlineStr">
        <is>
          <t>C beg balance</t>
        </is>
      </c>
      <c r="G4" s="6" t="inlineStr">
        <is>
          <t>A coupon</t>
        </is>
      </c>
      <c r="H4" s="6" t="inlineStr">
        <is>
          <t>B coupon</t>
        </is>
      </c>
      <c r="I4" s="6" t="inlineStr">
        <is>
          <t>C coupon</t>
        </is>
      </c>
      <c r="J4" s="6" t="inlineStr">
        <is>
          <t>A interest accrued</t>
        </is>
      </c>
      <c r="K4" s="6" t="inlineStr">
        <is>
          <t>A interest due (incl carry)</t>
        </is>
      </c>
      <c r="L4" s="6" t="inlineStr">
        <is>
          <t>B interest accrued</t>
        </is>
      </c>
      <c r="M4" s="6" t="inlineStr">
        <is>
          <t>B interest due (incl carry)</t>
        </is>
      </c>
      <c r="N4" s="6" t="inlineStr">
        <is>
          <t>C interest accrued</t>
        </is>
      </c>
      <c r="O4" s="6" t="inlineStr">
        <is>
          <t>C interest due (incl carry)</t>
        </is>
      </c>
      <c r="P4" s="6" t="inlineStr">
        <is>
          <t>Interest collections</t>
        </is>
      </c>
      <c r="Q4" s="6" t="inlineStr">
        <is>
          <t>Reserve beg</t>
        </is>
      </c>
      <c r="R4" s="6" t="inlineStr">
        <is>
          <t>Reserve draw</t>
        </is>
      </c>
      <c r="S4" s="6" t="inlineStr">
        <is>
          <t>Available interest funds</t>
        </is>
      </c>
      <c r="T4" s="6" t="inlineStr">
        <is>
          <t>Available principal funds</t>
        </is>
      </c>
      <c r="U4" s="6" t="inlineStr">
        <is>
          <t>Sequential flag</t>
        </is>
      </c>
      <c r="V4" s="6" t="inlineStr">
        <is>
          <t>Sum A+B+C beg</t>
        </is>
      </c>
      <c r="W4" s="6" t="inlineStr">
        <is>
          <t>A regular principal</t>
        </is>
      </c>
      <c r="X4" s="6" t="inlineStr">
        <is>
          <t>B regular principal</t>
        </is>
      </c>
      <c r="Y4" s="6" t="inlineStr">
        <is>
          <t>C regular principal</t>
        </is>
      </c>
      <c r="Z4" s="6" t="inlineStr">
        <is>
          <t>Principal to residual</t>
        </is>
      </c>
      <c r="AA4" s="6" t="inlineStr">
        <is>
          <t>A pro forma balance</t>
        </is>
      </c>
      <c r="AB4" s="6" t="inlineStr">
        <is>
          <t>B pro forma balance</t>
        </is>
      </c>
      <c r="AC4" s="6" t="inlineStr">
        <is>
          <t>C pro forma balance</t>
        </is>
      </c>
      <c r="AD4" s="6" t="inlineStr">
        <is>
          <t>Pro forma A+B+C</t>
        </is>
      </c>
      <c r="AE4" s="6" t="inlineStr">
        <is>
          <t>1 Senior fees paid</t>
        </is>
      </c>
      <c r="AF4" s="6" t="inlineStr">
        <is>
          <t>Remaining after fees</t>
        </is>
      </c>
      <c r="AG4" s="6" t="inlineStr">
        <is>
          <t>2 A interest paid</t>
        </is>
      </c>
      <c r="AH4" s="6" t="inlineStr">
        <is>
          <t>Remaining after A int</t>
        </is>
      </c>
      <c r="AI4" s="6" t="inlineStr">
        <is>
          <t>3 Turbo (A test breach)</t>
        </is>
      </c>
      <c r="AJ4" s="6" t="inlineStr">
        <is>
          <t>Remaining after turbo 1</t>
        </is>
      </c>
      <c r="AK4" s="6" t="inlineStr">
        <is>
          <t>4 B interest paid</t>
        </is>
      </c>
      <c r="AL4" s="6" t="inlineStr">
        <is>
          <t>Remaining after B int</t>
        </is>
      </c>
      <c r="AM4" s="6" t="inlineStr">
        <is>
          <t>5 Turbo (B test breach)</t>
        </is>
      </c>
      <c r="AN4" s="6" t="inlineStr">
        <is>
          <t>Remaining after turbo 2</t>
        </is>
      </c>
      <c r="AO4" s="6" t="inlineStr">
        <is>
          <t>6 C interest paid</t>
        </is>
      </c>
      <c r="AP4" s="6" t="inlineStr">
        <is>
          <t>Remaining after C int</t>
        </is>
      </c>
      <c r="AQ4" s="6" t="inlineStr">
        <is>
          <t>7 Turbo (C test breach)</t>
        </is>
      </c>
      <c r="AR4" s="6" t="inlineStr">
        <is>
          <t>Remaining after turbo 3</t>
        </is>
      </c>
      <c r="AS4" s="6" t="inlineStr">
        <is>
          <t>Deficiency before turbo 4</t>
        </is>
      </c>
      <c r="AT4" s="6" t="inlineStr">
        <is>
          <t>8 Turbo (cure deficiency)</t>
        </is>
      </c>
      <c r="AU4" s="6" t="inlineStr">
        <is>
          <t>Remaining after turbo 4</t>
        </is>
      </c>
      <c r="AV4" s="6" t="inlineStr">
        <is>
          <t>Turbo total</t>
        </is>
      </c>
      <c r="AW4" s="6" t="inlineStr">
        <is>
          <t>Turbo to A</t>
        </is>
      </c>
      <c r="AX4" s="6" t="inlineStr">
        <is>
          <t>Turbo to B</t>
        </is>
      </c>
      <c r="AY4" s="6" t="inlineStr">
        <is>
          <t>Turbo to C</t>
        </is>
      </c>
      <c r="AZ4" s="6" t="inlineStr">
        <is>
          <t>A after turbo</t>
        </is>
      </c>
      <c r="BA4" s="6" t="inlineStr">
        <is>
          <t>B after turbo</t>
        </is>
      </c>
      <c r="BB4" s="6" t="inlineStr">
        <is>
          <t>C after turbo</t>
        </is>
      </c>
      <c r="BC4" s="6" t="inlineStr">
        <is>
          <t>A+B+C after turbo</t>
        </is>
      </c>
      <c r="BD4" s="6" t="inlineStr">
        <is>
          <t>Principal deficiency</t>
        </is>
      </c>
      <c r="BE4" s="6" t="inlineStr">
        <is>
          <t>C write-down</t>
        </is>
      </c>
      <c r="BF4" s="6" t="inlineStr">
        <is>
          <t>B write-down</t>
        </is>
      </c>
      <c r="BG4" s="6" t="inlineStr">
        <is>
          <t>A write-down</t>
        </is>
      </c>
      <c r="BH4" s="6" t="inlineStr">
        <is>
          <t>A end balance</t>
        </is>
      </c>
      <c r="BI4" s="6" t="inlineStr">
        <is>
          <t>B end balance</t>
        </is>
      </c>
      <c r="BJ4" s="6" t="inlineStr">
        <is>
          <t>C end balance</t>
        </is>
      </c>
      <c r="BK4" s="6" t="inlineStr">
        <is>
          <t>Notes retired flag</t>
        </is>
      </c>
      <c r="BL4" s="6" t="inlineStr">
        <is>
          <t>Reserve after draw</t>
        </is>
      </c>
      <c r="BM4" s="6" t="inlineStr">
        <is>
          <t>9 Reserve top-up</t>
        </is>
      </c>
      <c r="BN4" s="6" t="inlineStr">
        <is>
          <t>Reserve release</t>
        </is>
      </c>
      <c r="BO4" s="6" t="inlineStr">
        <is>
          <t>Reserve end</t>
        </is>
      </c>
      <c r="BP4" s="6" t="inlineStr">
        <is>
          <t>10 Residual interest distribution</t>
        </is>
      </c>
      <c r="BQ4" s="6" t="inlineStr">
        <is>
          <t>Residual cash (int + prin + release)</t>
        </is>
      </c>
      <c r="BR4" s="6" t="inlineStr">
        <is>
          <t>A principal paid</t>
        </is>
      </c>
      <c r="BS4" s="6" t="inlineStr">
        <is>
          <t>B principal paid</t>
        </is>
      </c>
      <c r="BT4" s="6" t="inlineStr">
        <is>
          <t>C principal paid</t>
        </is>
      </c>
      <c r="BU4" s="6" t="inlineStr">
        <is>
          <t>Notes P+I paid</t>
        </is>
      </c>
      <c r="BV4" s="6" t="inlineStr">
        <is>
          <t>A interest shortfall carried</t>
        </is>
      </c>
      <c r="BW4" s="6" t="inlineStr">
        <is>
          <t>B interest shortfall carried</t>
        </is>
      </c>
      <c r="BX4" s="6" t="inlineStr">
        <is>
          <t>C interest shortfall carried</t>
        </is>
      </c>
      <c r="BY4" s="6" t="inlineStr">
        <is>
          <t>Fee shortfall carried</t>
        </is>
      </c>
      <c r="BZ4" s="6" t="inlineStr">
        <is>
          <t>Cash conservation check</t>
        </is>
      </c>
    </row>
    <row r="5">
      <c r="A5" s="7" t="n">
        <v>0</v>
      </c>
      <c r="BH5" s="2">
        <f>Inputs!$B$39</f>
        <v/>
      </c>
      <c r="BI5" s="2">
        <f>Inputs!$B$40</f>
        <v/>
      </c>
      <c r="BJ5" s="2">
        <f>Inputs!$B$41</f>
        <v/>
      </c>
      <c r="BO5" s="2">
        <f>Inputs!$B$47</f>
        <v/>
      </c>
      <c r="BV5" s="2" t="n">
        <v>0</v>
      </c>
      <c r="BW5" s="2" t="n">
        <v>0</v>
      </c>
      <c r="BX5" s="2" t="n">
        <v>0</v>
      </c>
      <c r="BY5" s="2" t="n">
        <v>0</v>
      </c>
    </row>
    <row r="6">
      <c r="A6" s="7" t="n">
        <v>1</v>
      </c>
      <c r="B6" s="2">
        <f>Inputs!$B$51/12*Pool!BK6</f>
        <v/>
      </c>
      <c r="C6" s="2">
        <f>B6+BY5</f>
        <v/>
      </c>
      <c r="D6" s="2">
        <f>BH5</f>
        <v/>
      </c>
      <c r="E6" s="2">
        <f>BI5</f>
        <v/>
      </c>
      <c r="F6" s="2">
        <f>BJ5</f>
        <v/>
      </c>
      <c r="G6" s="3">
        <f>MAX(0,Pool!B6+Inputs!$B$42)</f>
        <v/>
      </c>
      <c r="H6" s="3">
        <f>MAX(0,Pool!B6+Inputs!$B$43)</f>
        <v/>
      </c>
      <c r="I6" s="3">
        <f>Inputs!$B$44</f>
        <v/>
      </c>
      <c r="J6" s="2">
        <f>D6*G6/12</f>
        <v/>
      </c>
      <c r="K6" s="2">
        <f>J6+BV5</f>
        <v/>
      </c>
      <c r="L6" s="2">
        <f>E6*H6/12</f>
        <v/>
      </c>
      <c r="M6" s="2">
        <f>L6+BW5</f>
        <v/>
      </c>
      <c r="N6" s="2">
        <f>F6*I6/12</f>
        <v/>
      </c>
      <c r="O6" s="2">
        <f>N6+BX5</f>
        <v/>
      </c>
      <c r="P6" s="2">
        <f>Pool!BM6</f>
        <v/>
      </c>
      <c r="Q6" s="2">
        <f>BO5</f>
        <v/>
      </c>
      <c r="R6" s="2">
        <f>MIN(Q6,MAX(0,C6+K6+M6-P6))</f>
        <v/>
      </c>
      <c r="S6" s="2">
        <f>P6+R6</f>
        <v/>
      </c>
      <c r="T6" s="2">
        <f>Pool!BN6+Pool!BO6+Pool!BQ6</f>
        <v/>
      </c>
      <c r="U6" s="7">
        <f>IF(OR(Inputs!$B$53=1,Tests!M5=1),1,0)</f>
        <v/>
      </c>
      <c r="V6" s="2">
        <f>D6+E6+F6</f>
        <v/>
      </c>
      <c r="W6" s="2">
        <f>IF(U6=1,MIN(D6,T6),IF(V6&lt;=0,0,MIN(T6,V6)*D6/V6))</f>
        <v/>
      </c>
      <c r="X6" s="2">
        <f>IF(U6=1,MIN(E6,T6-W6),IF(V6&lt;=0,0,MIN(T6,V6)*E6/V6))</f>
        <v/>
      </c>
      <c r="Y6" s="2">
        <f>IF(U6=1,MIN(F6,T6-W6-X6),IF(V6&lt;=0,0,MIN(T6,V6)*F6/V6))</f>
        <v/>
      </c>
      <c r="Z6" s="2">
        <f>T6-W6-X6-Y6</f>
        <v/>
      </c>
      <c r="AA6" s="2">
        <f>D6-W6</f>
        <v/>
      </c>
      <c r="AB6" s="2">
        <f>E6-X6</f>
        <v/>
      </c>
      <c r="AC6" s="2">
        <f>F6-Y6</f>
        <v/>
      </c>
      <c r="AD6" s="2">
        <f>AA6+AB6+AC6</f>
        <v/>
      </c>
      <c r="AE6" s="2">
        <f>MIN(C6,S6)</f>
        <v/>
      </c>
      <c r="AF6" s="2">
        <f>S6-AE6</f>
        <v/>
      </c>
      <c r="AG6" s="2">
        <f>MIN(K6,AF6)</f>
        <v/>
      </c>
      <c r="AH6" s="2">
        <f>AF6-AG6</f>
        <v/>
      </c>
      <c r="AI6" s="2">
        <f>IF(Tests!F6=1,MIN(AH6,AD6),0)</f>
        <v/>
      </c>
      <c r="AJ6" s="2">
        <f>AH6-AI6</f>
        <v/>
      </c>
      <c r="AK6" s="2">
        <f>MIN(M6,AJ6)</f>
        <v/>
      </c>
      <c r="AL6" s="2">
        <f>AJ6-AK6</f>
        <v/>
      </c>
      <c r="AM6" s="2">
        <f>IF(Tests!I6=1,MIN(AL6,AD6-AI6),0)</f>
        <v/>
      </c>
      <c r="AN6" s="2">
        <f>AL6-AM6</f>
        <v/>
      </c>
      <c r="AO6" s="2">
        <f>MIN(O6,AN6)</f>
        <v/>
      </c>
      <c r="AP6" s="2">
        <f>AN6-AO6</f>
        <v/>
      </c>
      <c r="AQ6" s="2">
        <f>IF(Tests!L6=1,MIN(AP6,AD6-AI6-AM6),0)</f>
        <v/>
      </c>
      <c r="AR6" s="2">
        <f>AP6-AQ6</f>
        <v/>
      </c>
      <c r="AS6" s="2">
        <f>MAX(0,AD6-AI6-AM6-AQ6-Pool!BV6)</f>
        <v/>
      </c>
      <c r="AT6" s="2">
        <f>MIN(AR6,AS6)</f>
        <v/>
      </c>
      <c r="AU6" s="2">
        <f>AR6-AT6</f>
        <v/>
      </c>
      <c r="AV6" s="2">
        <f>AI6+AM6+AQ6+AT6</f>
        <v/>
      </c>
      <c r="AW6" s="2">
        <f>MIN(AA6,AV6)</f>
        <v/>
      </c>
      <c r="AX6" s="2">
        <f>MIN(AB6,AV6-AW6)</f>
        <v/>
      </c>
      <c r="AY6" s="2">
        <f>MIN(AC6,AV6-AW6-AX6)</f>
        <v/>
      </c>
      <c r="AZ6" s="2">
        <f>AA6-AW6</f>
        <v/>
      </c>
      <c r="BA6" s="2">
        <f>AB6-AX6</f>
        <v/>
      </c>
      <c r="BB6" s="2">
        <f>AC6-AY6</f>
        <v/>
      </c>
      <c r="BC6" s="2">
        <f>AZ6+BA6+BB6</f>
        <v/>
      </c>
      <c r="BD6" s="2">
        <f>MAX(0,BC6-Pool!BV6)</f>
        <v/>
      </c>
      <c r="BE6" s="2">
        <f>MIN(BB6,BD6)</f>
        <v/>
      </c>
      <c r="BF6" s="2">
        <f>MIN(BA6,BD6-BE6)</f>
        <v/>
      </c>
      <c r="BG6" s="2">
        <f>MIN(AZ6,BD6-BE6-BF6)</f>
        <v/>
      </c>
      <c r="BH6" s="2">
        <f>AZ6-BG6</f>
        <v/>
      </c>
      <c r="BI6" s="2">
        <f>BA6-BF6</f>
        <v/>
      </c>
      <c r="BJ6" s="2">
        <f>BB6-BE6</f>
        <v/>
      </c>
      <c r="BK6" s="7">
        <f>IF(BH6+BI6+BJ6&lt;0.005,1,0)</f>
        <v/>
      </c>
      <c r="BL6" s="2">
        <f>Q6-R6</f>
        <v/>
      </c>
      <c r="BM6" s="2">
        <f>IF(BK6=1,0,MIN(AU6,MAX(0,Inputs!$B$48-BL6)))</f>
        <v/>
      </c>
      <c r="BN6" s="2">
        <f>IF(BK6=1,BL6,0)</f>
        <v/>
      </c>
      <c r="BO6" s="2">
        <f>BL6+BM6-BN6</f>
        <v/>
      </c>
      <c r="BP6" s="2">
        <f>AU6-BM6</f>
        <v/>
      </c>
      <c r="BQ6" s="2">
        <f>BP6+Z6+BN6</f>
        <v/>
      </c>
      <c r="BR6" s="2">
        <f>W6+AW6</f>
        <v/>
      </c>
      <c r="BS6" s="2">
        <f>X6+AX6</f>
        <v/>
      </c>
      <c r="BT6" s="2">
        <f>Y6+AY6</f>
        <v/>
      </c>
      <c r="BU6" s="2">
        <f>AG6+AK6+AO6+BR6+BS6+BT6</f>
        <v/>
      </c>
      <c r="BV6" s="2">
        <f>K6-AG6</f>
        <v/>
      </c>
      <c r="BW6" s="2">
        <f>M6-AK6</f>
        <v/>
      </c>
      <c r="BX6" s="2">
        <f>O6-AO6</f>
        <v/>
      </c>
      <c r="BY6" s="2">
        <f>C6-AE6</f>
        <v/>
      </c>
      <c r="BZ6" s="8">
        <f>AE6+BU6+BQ6+(BO6-Q6)-Pool!BW6</f>
        <v/>
      </c>
    </row>
    <row r="7">
      <c r="A7" s="7" t="n">
        <v>2</v>
      </c>
      <c r="B7" s="2">
        <f>Inputs!$B$51/12*Pool!BK7</f>
        <v/>
      </c>
      <c r="C7" s="2">
        <f>B7+BY6</f>
        <v/>
      </c>
      <c r="D7" s="2">
        <f>BH6</f>
        <v/>
      </c>
      <c r="E7" s="2">
        <f>BI6</f>
        <v/>
      </c>
      <c r="F7" s="2">
        <f>BJ6</f>
        <v/>
      </c>
      <c r="G7" s="3">
        <f>MAX(0,Pool!B7+Inputs!$B$42)</f>
        <v/>
      </c>
      <c r="H7" s="3">
        <f>MAX(0,Pool!B7+Inputs!$B$43)</f>
        <v/>
      </c>
      <c r="I7" s="3">
        <f>Inputs!$B$44</f>
        <v/>
      </c>
      <c r="J7" s="2">
        <f>D7*G7/12</f>
        <v/>
      </c>
      <c r="K7" s="2">
        <f>J7+BV6</f>
        <v/>
      </c>
      <c r="L7" s="2">
        <f>E7*H7/12</f>
        <v/>
      </c>
      <c r="M7" s="2">
        <f>L7+BW6</f>
        <v/>
      </c>
      <c r="N7" s="2">
        <f>F7*I7/12</f>
        <v/>
      </c>
      <c r="O7" s="2">
        <f>N7+BX6</f>
        <v/>
      </c>
      <c r="P7" s="2">
        <f>Pool!BM7</f>
        <v/>
      </c>
      <c r="Q7" s="2">
        <f>BO6</f>
        <v/>
      </c>
      <c r="R7" s="2">
        <f>MIN(Q7,MAX(0,C7+K7+M7-P7))</f>
        <v/>
      </c>
      <c r="S7" s="2">
        <f>P7+R7</f>
        <v/>
      </c>
      <c r="T7" s="2">
        <f>Pool!BN7+Pool!BO7+Pool!BQ7</f>
        <v/>
      </c>
      <c r="U7" s="7">
        <f>IF(OR(Inputs!$B$53=1,Tests!M6=1),1,0)</f>
        <v/>
      </c>
      <c r="V7" s="2">
        <f>D7+E7+F7</f>
        <v/>
      </c>
      <c r="W7" s="2">
        <f>IF(U7=1,MIN(D7,T7),IF(V7&lt;=0,0,MIN(T7,V7)*D7/V7))</f>
        <v/>
      </c>
      <c r="X7" s="2">
        <f>IF(U7=1,MIN(E7,T7-W7),IF(V7&lt;=0,0,MIN(T7,V7)*E7/V7))</f>
        <v/>
      </c>
      <c r="Y7" s="2">
        <f>IF(U7=1,MIN(F7,T7-W7-X7),IF(V7&lt;=0,0,MIN(T7,V7)*F7/V7))</f>
        <v/>
      </c>
      <c r="Z7" s="2">
        <f>T7-W7-X7-Y7</f>
        <v/>
      </c>
      <c r="AA7" s="2">
        <f>D7-W7</f>
        <v/>
      </c>
      <c r="AB7" s="2">
        <f>E7-X7</f>
        <v/>
      </c>
      <c r="AC7" s="2">
        <f>F7-Y7</f>
        <v/>
      </c>
      <c r="AD7" s="2">
        <f>AA7+AB7+AC7</f>
        <v/>
      </c>
      <c r="AE7" s="2">
        <f>MIN(C7,S7)</f>
        <v/>
      </c>
      <c r="AF7" s="2">
        <f>S7-AE7</f>
        <v/>
      </c>
      <c r="AG7" s="2">
        <f>MIN(K7,AF7)</f>
        <v/>
      </c>
      <c r="AH7" s="2">
        <f>AF7-AG7</f>
        <v/>
      </c>
      <c r="AI7" s="2">
        <f>IF(Tests!F7=1,MIN(AH7,AD7),0)</f>
        <v/>
      </c>
      <c r="AJ7" s="2">
        <f>AH7-AI7</f>
        <v/>
      </c>
      <c r="AK7" s="2">
        <f>MIN(M7,AJ7)</f>
        <v/>
      </c>
      <c r="AL7" s="2">
        <f>AJ7-AK7</f>
        <v/>
      </c>
      <c r="AM7" s="2">
        <f>IF(Tests!I7=1,MIN(AL7,AD7-AI7),0)</f>
        <v/>
      </c>
      <c r="AN7" s="2">
        <f>AL7-AM7</f>
        <v/>
      </c>
      <c r="AO7" s="2">
        <f>MIN(O7,AN7)</f>
        <v/>
      </c>
      <c r="AP7" s="2">
        <f>AN7-AO7</f>
        <v/>
      </c>
      <c r="AQ7" s="2">
        <f>IF(Tests!L7=1,MIN(AP7,AD7-AI7-AM7),0)</f>
        <v/>
      </c>
      <c r="AR7" s="2">
        <f>AP7-AQ7</f>
        <v/>
      </c>
      <c r="AS7" s="2">
        <f>MAX(0,AD7-AI7-AM7-AQ7-Pool!BV7)</f>
        <v/>
      </c>
      <c r="AT7" s="2">
        <f>MIN(AR7,AS7)</f>
        <v/>
      </c>
      <c r="AU7" s="2">
        <f>AR7-AT7</f>
        <v/>
      </c>
      <c r="AV7" s="2">
        <f>AI7+AM7+AQ7+AT7</f>
        <v/>
      </c>
      <c r="AW7" s="2">
        <f>MIN(AA7,AV7)</f>
        <v/>
      </c>
      <c r="AX7" s="2">
        <f>MIN(AB7,AV7-AW7)</f>
        <v/>
      </c>
      <c r="AY7" s="2">
        <f>MIN(AC7,AV7-AW7-AX7)</f>
        <v/>
      </c>
      <c r="AZ7" s="2">
        <f>AA7-AW7</f>
        <v/>
      </c>
      <c r="BA7" s="2">
        <f>AB7-AX7</f>
        <v/>
      </c>
      <c r="BB7" s="2">
        <f>AC7-AY7</f>
        <v/>
      </c>
      <c r="BC7" s="2">
        <f>AZ7+BA7+BB7</f>
        <v/>
      </c>
      <c r="BD7" s="2">
        <f>MAX(0,BC7-Pool!BV7)</f>
        <v/>
      </c>
      <c r="BE7" s="2">
        <f>MIN(BB7,BD7)</f>
        <v/>
      </c>
      <c r="BF7" s="2">
        <f>MIN(BA7,BD7-BE7)</f>
        <v/>
      </c>
      <c r="BG7" s="2">
        <f>MIN(AZ7,BD7-BE7-BF7)</f>
        <v/>
      </c>
      <c r="BH7" s="2">
        <f>AZ7-BG7</f>
        <v/>
      </c>
      <c r="BI7" s="2">
        <f>BA7-BF7</f>
        <v/>
      </c>
      <c r="BJ7" s="2">
        <f>BB7-BE7</f>
        <v/>
      </c>
      <c r="BK7" s="7">
        <f>IF(BH7+BI7+BJ7&lt;0.005,1,0)</f>
        <v/>
      </c>
      <c r="BL7" s="2">
        <f>Q7-R7</f>
        <v/>
      </c>
      <c r="BM7" s="2">
        <f>IF(BK7=1,0,MIN(AU7,MAX(0,Inputs!$B$48-BL7)))</f>
        <v/>
      </c>
      <c r="BN7" s="2">
        <f>IF(BK7=1,BL7,0)</f>
        <v/>
      </c>
      <c r="BO7" s="2">
        <f>BL7+BM7-BN7</f>
        <v/>
      </c>
      <c r="BP7" s="2">
        <f>AU7-BM7</f>
        <v/>
      </c>
      <c r="BQ7" s="2">
        <f>BP7+Z7+BN7</f>
        <v/>
      </c>
      <c r="BR7" s="2">
        <f>W7+AW7</f>
        <v/>
      </c>
      <c r="BS7" s="2">
        <f>X7+AX7</f>
        <v/>
      </c>
      <c r="BT7" s="2">
        <f>Y7+AY7</f>
        <v/>
      </c>
      <c r="BU7" s="2">
        <f>AG7+AK7+AO7+BR7+BS7+BT7</f>
        <v/>
      </c>
      <c r="BV7" s="2">
        <f>K7-AG7</f>
        <v/>
      </c>
      <c r="BW7" s="2">
        <f>M7-AK7</f>
        <v/>
      </c>
      <c r="BX7" s="2">
        <f>O7-AO7</f>
        <v/>
      </c>
      <c r="BY7" s="2">
        <f>C7-AE7</f>
        <v/>
      </c>
      <c r="BZ7" s="8">
        <f>AE7+BU7+BQ7+(BO7-Q7)-Pool!BW7</f>
        <v/>
      </c>
    </row>
    <row r="8">
      <c r="A8" s="7" t="n">
        <v>3</v>
      </c>
      <c r="B8" s="2">
        <f>Inputs!$B$51/12*Pool!BK8</f>
        <v/>
      </c>
      <c r="C8" s="2">
        <f>B8+BY7</f>
        <v/>
      </c>
      <c r="D8" s="2">
        <f>BH7</f>
        <v/>
      </c>
      <c r="E8" s="2">
        <f>BI7</f>
        <v/>
      </c>
      <c r="F8" s="2">
        <f>BJ7</f>
        <v/>
      </c>
      <c r="G8" s="3">
        <f>MAX(0,Pool!B8+Inputs!$B$42)</f>
        <v/>
      </c>
      <c r="H8" s="3">
        <f>MAX(0,Pool!B8+Inputs!$B$43)</f>
        <v/>
      </c>
      <c r="I8" s="3">
        <f>Inputs!$B$44</f>
        <v/>
      </c>
      <c r="J8" s="2">
        <f>D8*G8/12</f>
        <v/>
      </c>
      <c r="K8" s="2">
        <f>J8+BV7</f>
        <v/>
      </c>
      <c r="L8" s="2">
        <f>E8*H8/12</f>
        <v/>
      </c>
      <c r="M8" s="2">
        <f>L8+BW7</f>
        <v/>
      </c>
      <c r="N8" s="2">
        <f>F8*I8/12</f>
        <v/>
      </c>
      <c r="O8" s="2">
        <f>N8+BX7</f>
        <v/>
      </c>
      <c r="P8" s="2">
        <f>Pool!BM8</f>
        <v/>
      </c>
      <c r="Q8" s="2">
        <f>BO7</f>
        <v/>
      </c>
      <c r="R8" s="2">
        <f>MIN(Q8,MAX(0,C8+K8+M8-P8))</f>
        <v/>
      </c>
      <c r="S8" s="2">
        <f>P8+R8</f>
        <v/>
      </c>
      <c r="T8" s="2">
        <f>Pool!BN8+Pool!BO8+Pool!BQ8</f>
        <v/>
      </c>
      <c r="U8" s="7">
        <f>IF(OR(Inputs!$B$53=1,Tests!M7=1),1,0)</f>
        <v/>
      </c>
      <c r="V8" s="2">
        <f>D8+E8+F8</f>
        <v/>
      </c>
      <c r="W8" s="2">
        <f>IF(U8=1,MIN(D8,T8),IF(V8&lt;=0,0,MIN(T8,V8)*D8/V8))</f>
        <v/>
      </c>
      <c r="X8" s="2">
        <f>IF(U8=1,MIN(E8,T8-W8),IF(V8&lt;=0,0,MIN(T8,V8)*E8/V8))</f>
        <v/>
      </c>
      <c r="Y8" s="2">
        <f>IF(U8=1,MIN(F8,T8-W8-X8),IF(V8&lt;=0,0,MIN(T8,V8)*F8/V8))</f>
        <v/>
      </c>
      <c r="Z8" s="2">
        <f>T8-W8-X8-Y8</f>
        <v/>
      </c>
      <c r="AA8" s="2">
        <f>D8-W8</f>
        <v/>
      </c>
      <c r="AB8" s="2">
        <f>E8-X8</f>
        <v/>
      </c>
      <c r="AC8" s="2">
        <f>F8-Y8</f>
        <v/>
      </c>
      <c r="AD8" s="2">
        <f>AA8+AB8+AC8</f>
        <v/>
      </c>
      <c r="AE8" s="2">
        <f>MIN(C8,S8)</f>
        <v/>
      </c>
      <c r="AF8" s="2">
        <f>S8-AE8</f>
        <v/>
      </c>
      <c r="AG8" s="2">
        <f>MIN(K8,AF8)</f>
        <v/>
      </c>
      <c r="AH8" s="2">
        <f>AF8-AG8</f>
        <v/>
      </c>
      <c r="AI8" s="2">
        <f>IF(Tests!F8=1,MIN(AH8,AD8),0)</f>
        <v/>
      </c>
      <c r="AJ8" s="2">
        <f>AH8-AI8</f>
        <v/>
      </c>
      <c r="AK8" s="2">
        <f>MIN(M8,AJ8)</f>
        <v/>
      </c>
      <c r="AL8" s="2">
        <f>AJ8-AK8</f>
        <v/>
      </c>
      <c r="AM8" s="2">
        <f>IF(Tests!I8=1,MIN(AL8,AD8-AI8),0)</f>
        <v/>
      </c>
      <c r="AN8" s="2">
        <f>AL8-AM8</f>
        <v/>
      </c>
      <c r="AO8" s="2">
        <f>MIN(O8,AN8)</f>
        <v/>
      </c>
      <c r="AP8" s="2">
        <f>AN8-AO8</f>
        <v/>
      </c>
      <c r="AQ8" s="2">
        <f>IF(Tests!L8=1,MIN(AP8,AD8-AI8-AM8),0)</f>
        <v/>
      </c>
      <c r="AR8" s="2">
        <f>AP8-AQ8</f>
        <v/>
      </c>
      <c r="AS8" s="2">
        <f>MAX(0,AD8-AI8-AM8-AQ8-Pool!BV8)</f>
        <v/>
      </c>
      <c r="AT8" s="2">
        <f>MIN(AR8,AS8)</f>
        <v/>
      </c>
      <c r="AU8" s="2">
        <f>AR8-AT8</f>
        <v/>
      </c>
      <c r="AV8" s="2">
        <f>AI8+AM8+AQ8+AT8</f>
        <v/>
      </c>
      <c r="AW8" s="2">
        <f>MIN(AA8,AV8)</f>
        <v/>
      </c>
      <c r="AX8" s="2">
        <f>MIN(AB8,AV8-AW8)</f>
        <v/>
      </c>
      <c r="AY8" s="2">
        <f>MIN(AC8,AV8-AW8-AX8)</f>
        <v/>
      </c>
      <c r="AZ8" s="2">
        <f>AA8-AW8</f>
        <v/>
      </c>
      <c r="BA8" s="2">
        <f>AB8-AX8</f>
        <v/>
      </c>
      <c r="BB8" s="2">
        <f>AC8-AY8</f>
        <v/>
      </c>
      <c r="BC8" s="2">
        <f>AZ8+BA8+BB8</f>
        <v/>
      </c>
      <c r="BD8" s="2">
        <f>MAX(0,BC8-Pool!BV8)</f>
        <v/>
      </c>
      <c r="BE8" s="2">
        <f>MIN(BB8,BD8)</f>
        <v/>
      </c>
      <c r="BF8" s="2">
        <f>MIN(BA8,BD8-BE8)</f>
        <v/>
      </c>
      <c r="BG8" s="2">
        <f>MIN(AZ8,BD8-BE8-BF8)</f>
        <v/>
      </c>
      <c r="BH8" s="2">
        <f>AZ8-BG8</f>
        <v/>
      </c>
      <c r="BI8" s="2">
        <f>BA8-BF8</f>
        <v/>
      </c>
      <c r="BJ8" s="2">
        <f>BB8-BE8</f>
        <v/>
      </c>
      <c r="BK8" s="7">
        <f>IF(BH8+BI8+BJ8&lt;0.005,1,0)</f>
        <v/>
      </c>
      <c r="BL8" s="2">
        <f>Q8-R8</f>
        <v/>
      </c>
      <c r="BM8" s="2">
        <f>IF(BK8=1,0,MIN(AU8,MAX(0,Inputs!$B$48-BL8)))</f>
        <v/>
      </c>
      <c r="BN8" s="2">
        <f>IF(BK8=1,BL8,0)</f>
        <v/>
      </c>
      <c r="BO8" s="2">
        <f>BL8+BM8-BN8</f>
        <v/>
      </c>
      <c r="BP8" s="2">
        <f>AU8-BM8</f>
        <v/>
      </c>
      <c r="BQ8" s="2">
        <f>BP8+Z8+BN8</f>
        <v/>
      </c>
      <c r="BR8" s="2">
        <f>W8+AW8</f>
        <v/>
      </c>
      <c r="BS8" s="2">
        <f>X8+AX8</f>
        <v/>
      </c>
      <c r="BT8" s="2">
        <f>Y8+AY8</f>
        <v/>
      </c>
      <c r="BU8" s="2">
        <f>AG8+AK8+AO8+BR8+BS8+BT8</f>
        <v/>
      </c>
      <c r="BV8" s="2">
        <f>K8-AG8</f>
        <v/>
      </c>
      <c r="BW8" s="2">
        <f>M8-AK8</f>
        <v/>
      </c>
      <c r="BX8" s="2">
        <f>O8-AO8</f>
        <v/>
      </c>
      <c r="BY8" s="2">
        <f>C8-AE8</f>
        <v/>
      </c>
      <c r="BZ8" s="8">
        <f>AE8+BU8+BQ8+(BO8-Q8)-Pool!BW8</f>
        <v/>
      </c>
    </row>
    <row r="9">
      <c r="A9" s="7" t="n">
        <v>4</v>
      </c>
      <c r="B9" s="2">
        <f>Inputs!$B$51/12*Pool!BK9</f>
        <v/>
      </c>
      <c r="C9" s="2">
        <f>B9+BY8</f>
        <v/>
      </c>
      <c r="D9" s="2">
        <f>BH8</f>
        <v/>
      </c>
      <c r="E9" s="2">
        <f>BI8</f>
        <v/>
      </c>
      <c r="F9" s="2">
        <f>BJ8</f>
        <v/>
      </c>
      <c r="G9" s="3">
        <f>MAX(0,Pool!B9+Inputs!$B$42)</f>
        <v/>
      </c>
      <c r="H9" s="3">
        <f>MAX(0,Pool!B9+Inputs!$B$43)</f>
        <v/>
      </c>
      <c r="I9" s="3">
        <f>Inputs!$B$44</f>
        <v/>
      </c>
      <c r="J9" s="2">
        <f>D9*G9/12</f>
        <v/>
      </c>
      <c r="K9" s="2">
        <f>J9+BV8</f>
        <v/>
      </c>
      <c r="L9" s="2">
        <f>E9*H9/12</f>
        <v/>
      </c>
      <c r="M9" s="2">
        <f>L9+BW8</f>
        <v/>
      </c>
      <c r="N9" s="2">
        <f>F9*I9/12</f>
        <v/>
      </c>
      <c r="O9" s="2">
        <f>N9+BX8</f>
        <v/>
      </c>
      <c r="P9" s="2">
        <f>Pool!BM9</f>
        <v/>
      </c>
      <c r="Q9" s="2">
        <f>BO8</f>
        <v/>
      </c>
      <c r="R9" s="2">
        <f>MIN(Q9,MAX(0,C9+K9+M9-P9))</f>
        <v/>
      </c>
      <c r="S9" s="2">
        <f>P9+R9</f>
        <v/>
      </c>
      <c r="T9" s="2">
        <f>Pool!BN9+Pool!BO9+Pool!BQ9</f>
        <v/>
      </c>
      <c r="U9" s="7">
        <f>IF(OR(Inputs!$B$53=1,Tests!M8=1),1,0)</f>
        <v/>
      </c>
      <c r="V9" s="2">
        <f>D9+E9+F9</f>
        <v/>
      </c>
      <c r="W9" s="2">
        <f>IF(U9=1,MIN(D9,T9),IF(V9&lt;=0,0,MIN(T9,V9)*D9/V9))</f>
        <v/>
      </c>
      <c r="X9" s="2">
        <f>IF(U9=1,MIN(E9,T9-W9),IF(V9&lt;=0,0,MIN(T9,V9)*E9/V9))</f>
        <v/>
      </c>
      <c r="Y9" s="2">
        <f>IF(U9=1,MIN(F9,T9-W9-X9),IF(V9&lt;=0,0,MIN(T9,V9)*F9/V9))</f>
        <v/>
      </c>
      <c r="Z9" s="2">
        <f>T9-W9-X9-Y9</f>
        <v/>
      </c>
      <c r="AA9" s="2">
        <f>D9-W9</f>
        <v/>
      </c>
      <c r="AB9" s="2">
        <f>E9-X9</f>
        <v/>
      </c>
      <c r="AC9" s="2">
        <f>F9-Y9</f>
        <v/>
      </c>
      <c r="AD9" s="2">
        <f>AA9+AB9+AC9</f>
        <v/>
      </c>
      <c r="AE9" s="2">
        <f>MIN(C9,S9)</f>
        <v/>
      </c>
      <c r="AF9" s="2">
        <f>S9-AE9</f>
        <v/>
      </c>
      <c r="AG9" s="2">
        <f>MIN(K9,AF9)</f>
        <v/>
      </c>
      <c r="AH9" s="2">
        <f>AF9-AG9</f>
        <v/>
      </c>
      <c r="AI9" s="2">
        <f>IF(Tests!F9=1,MIN(AH9,AD9),0)</f>
        <v/>
      </c>
      <c r="AJ9" s="2">
        <f>AH9-AI9</f>
        <v/>
      </c>
      <c r="AK9" s="2">
        <f>MIN(M9,AJ9)</f>
        <v/>
      </c>
      <c r="AL9" s="2">
        <f>AJ9-AK9</f>
        <v/>
      </c>
      <c r="AM9" s="2">
        <f>IF(Tests!I9=1,MIN(AL9,AD9-AI9),0)</f>
        <v/>
      </c>
      <c r="AN9" s="2">
        <f>AL9-AM9</f>
        <v/>
      </c>
      <c r="AO9" s="2">
        <f>MIN(O9,AN9)</f>
        <v/>
      </c>
      <c r="AP9" s="2">
        <f>AN9-AO9</f>
        <v/>
      </c>
      <c r="AQ9" s="2">
        <f>IF(Tests!L9=1,MIN(AP9,AD9-AI9-AM9),0)</f>
        <v/>
      </c>
      <c r="AR9" s="2">
        <f>AP9-AQ9</f>
        <v/>
      </c>
      <c r="AS9" s="2">
        <f>MAX(0,AD9-AI9-AM9-AQ9-Pool!BV9)</f>
        <v/>
      </c>
      <c r="AT9" s="2">
        <f>MIN(AR9,AS9)</f>
        <v/>
      </c>
      <c r="AU9" s="2">
        <f>AR9-AT9</f>
        <v/>
      </c>
      <c r="AV9" s="2">
        <f>AI9+AM9+AQ9+AT9</f>
        <v/>
      </c>
      <c r="AW9" s="2">
        <f>MIN(AA9,AV9)</f>
        <v/>
      </c>
      <c r="AX9" s="2">
        <f>MIN(AB9,AV9-AW9)</f>
        <v/>
      </c>
      <c r="AY9" s="2">
        <f>MIN(AC9,AV9-AW9-AX9)</f>
        <v/>
      </c>
      <c r="AZ9" s="2">
        <f>AA9-AW9</f>
        <v/>
      </c>
      <c r="BA9" s="2">
        <f>AB9-AX9</f>
        <v/>
      </c>
      <c r="BB9" s="2">
        <f>AC9-AY9</f>
        <v/>
      </c>
      <c r="BC9" s="2">
        <f>AZ9+BA9+BB9</f>
        <v/>
      </c>
      <c r="BD9" s="2">
        <f>MAX(0,BC9-Pool!BV9)</f>
        <v/>
      </c>
      <c r="BE9" s="2">
        <f>MIN(BB9,BD9)</f>
        <v/>
      </c>
      <c r="BF9" s="2">
        <f>MIN(BA9,BD9-BE9)</f>
        <v/>
      </c>
      <c r="BG9" s="2">
        <f>MIN(AZ9,BD9-BE9-BF9)</f>
        <v/>
      </c>
      <c r="BH9" s="2">
        <f>AZ9-BG9</f>
        <v/>
      </c>
      <c r="BI9" s="2">
        <f>BA9-BF9</f>
        <v/>
      </c>
      <c r="BJ9" s="2">
        <f>BB9-BE9</f>
        <v/>
      </c>
      <c r="BK9" s="7">
        <f>IF(BH9+BI9+BJ9&lt;0.005,1,0)</f>
        <v/>
      </c>
      <c r="BL9" s="2">
        <f>Q9-R9</f>
        <v/>
      </c>
      <c r="BM9" s="2">
        <f>IF(BK9=1,0,MIN(AU9,MAX(0,Inputs!$B$48-BL9)))</f>
        <v/>
      </c>
      <c r="BN9" s="2">
        <f>IF(BK9=1,BL9,0)</f>
        <v/>
      </c>
      <c r="BO9" s="2">
        <f>BL9+BM9-BN9</f>
        <v/>
      </c>
      <c r="BP9" s="2">
        <f>AU9-BM9</f>
        <v/>
      </c>
      <c r="BQ9" s="2">
        <f>BP9+Z9+BN9</f>
        <v/>
      </c>
      <c r="BR9" s="2">
        <f>W9+AW9</f>
        <v/>
      </c>
      <c r="BS9" s="2">
        <f>X9+AX9</f>
        <v/>
      </c>
      <c r="BT9" s="2">
        <f>Y9+AY9</f>
        <v/>
      </c>
      <c r="BU9" s="2">
        <f>AG9+AK9+AO9+BR9+BS9+BT9</f>
        <v/>
      </c>
      <c r="BV9" s="2">
        <f>K9-AG9</f>
        <v/>
      </c>
      <c r="BW9" s="2">
        <f>M9-AK9</f>
        <v/>
      </c>
      <c r="BX9" s="2">
        <f>O9-AO9</f>
        <v/>
      </c>
      <c r="BY9" s="2">
        <f>C9-AE9</f>
        <v/>
      </c>
      <c r="BZ9" s="8">
        <f>AE9+BU9+BQ9+(BO9-Q9)-Pool!BW9</f>
        <v/>
      </c>
    </row>
    <row r="10">
      <c r="A10" s="7" t="n">
        <v>5</v>
      </c>
      <c r="B10" s="2">
        <f>Inputs!$B$51/12*Pool!BK10</f>
        <v/>
      </c>
      <c r="C10" s="2">
        <f>B10+BY9</f>
        <v/>
      </c>
      <c r="D10" s="2">
        <f>BH9</f>
        <v/>
      </c>
      <c r="E10" s="2">
        <f>BI9</f>
        <v/>
      </c>
      <c r="F10" s="2">
        <f>BJ9</f>
        <v/>
      </c>
      <c r="G10" s="3">
        <f>MAX(0,Pool!B10+Inputs!$B$42)</f>
        <v/>
      </c>
      <c r="H10" s="3">
        <f>MAX(0,Pool!B10+Inputs!$B$43)</f>
        <v/>
      </c>
      <c r="I10" s="3">
        <f>Inputs!$B$44</f>
        <v/>
      </c>
      <c r="J10" s="2">
        <f>D10*G10/12</f>
        <v/>
      </c>
      <c r="K10" s="2">
        <f>J10+BV9</f>
        <v/>
      </c>
      <c r="L10" s="2">
        <f>E10*H10/12</f>
        <v/>
      </c>
      <c r="M10" s="2">
        <f>L10+BW9</f>
        <v/>
      </c>
      <c r="N10" s="2">
        <f>F10*I10/12</f>
        <v/>
      </c>
      <c r="O10" s="2">
        <f>N10+BX9</f>
        <v/>
      </c>
      <c r="P10" s="2">
        <f>Pool!BM10</f>
        <v/>
      </c>
      <c r="Q10" s="2">
        <f>BO9</f>
        <v/>
      </c>
      <c r="R10" s="2">
        <f>MIN(Q10,MAX(0,C10+K10+M10-P10))</f>
        <v/>
      </c>
      <c r="S10" s="2">
        <f>P10+R10</f>
        <v/>
      </c>
      <c r="T10" s="2">
        <f>Pool!BN10+Pool!BO10+Pool!BQ10</f>
        <v/>
      </c>
      <c r="U10" s="7">
        <f>IF(OR(Inputs!$B$53=1,Tests!M9=1),1,0)</f>
        <v/>
      </c>
      <c r="V10" s="2">
        <f>D10+E10+F10</f>
        <v/>
      </c>
      <c r="W10" s="2">
        <f>IF(U10=1,MIN(D10,T10),IF(V10&lt;=0,0,MIN(T10,V10)*D10/V10))</f>
        <v/>
      </c>
      <c r="X10" s="2">
        <f>IF(U10=1,MIN(E10,T10-W10),IF(V10&lt;=0,0,MIN(T10,V10)*E10/V10))</f>
        <v/>
      </c>
      <c r="Y10" s="2">
        <f>IF(U10=1,MIN(F10,T10-W10-X10),IF(V10&lt;=0,0,MIN(T10,V10)*F10/V10))</f>
        <v/>
      </c>
      <c r="Z10" s="2">
        <f>T10-W10-X10-Y10</f>
        <v/>
      </c>
      <c r="AA10" s="2">
        <f>D10-W10</f>
        <v/>
      </c>
      <c r="AB10" s="2">
        <f>E10-X10</f>
        <v/>
      </c>
      <c r="AC10" s="2">
        <f>F10-Y10</f>
        <v/>
      </c>
      <c r="AD10" s="2">
        <f>AA10+AB10+AC10</f>
        <v/>
      </c>
      <c r="AE10" s="2">
        <f>MIN(C10,S10)</f>
        <v/>
      </c>
      <c r="AF10" s="2">
        <f>S10-AE10</f>
        <v/>
      </c>
      <c r="AG10" s="2">
        <f>MIN(K10,AF10)</f>
        <v/>
      </c>
      <c r="AH10" s="2">
        <f>AF10-AG10</f>
        <v/>
      </c>
      <c r="AI10" s="2">
        <f>IF(Tests!F10=1,MIN(AH10,AD10),0)</f>
        <v/>
      </c>
      <c r="AJ10" s="2">
        <f>AH10-AI10</f>
        <v/>
      </c>
      <c r="AK10" s="2">
        <f>MIN(M10,AJ10)</f>
        <v/>
      </c>
      <c r="AL10" s="2">
        <f>AJ10-AK10</f>
        <v/>
      </c>
      <c r="AM10" s="2">
        <f>IF(Tests!I10=1,MIN(AL10,AD10-AI10),0)</f>
        <v/>
      </c>
      <c r="AN10" s="2">
        <f>AL10-AM10</f>
        <v/>
      </c>
      <c r="AO10" s="2">
        <f>MIN(O10,AN10)</f>
        <v/>
      </c>
      <c r="AP10" s="2">
        <f>AN10-AO10</f>
        <v/>
      </c>
      <c r="AQ10" s="2">
        <f>IF(Tests!L10=1,MIN(AP10,AD10-AI10-AM10),0)</f>
        <v/>
      </c>
      <c r="AR10" s="2">
        <f>AP10-AQ10</f>
        <v/>
      </c>
      <c r="AS10" s="2">
        <f>MAX(0,AD10-AI10-AM10-AQ10-Pool!BV10)</f>
        <v/>
      </c>
      <c r="AT10" s="2">
        <f>MIN(AR10,AS10)</f>
        <v/>
      </c>
      <c r="AU10" s="2">
        <f>AR10-AT10</f>
        <v/>
      </c>
      <c r="AV10" s="2">
        <f>AI10+AM10+AQ10+AT10</f>
        <v/>
      </c>
      <c r="AW10" s="2">
        <f>MIN(AA10,AV10)</f>
        <v/>
      </c>
      <c r="AX10" s="2">
        <f>MIN(AB10,AV10-AW10)</f>
        <v/>
      </c>
      <c r="AY10" s="2">
        <f>MIN(AC10,AV10-AW10-AX10)</f>
        <v/>
      </c>
      <c r="AZ10" s="2">
        <f>AA10-AW10</f>
        <v/>
      </c>
      <c r="BA10" s="2">
        <f>AB10-AX10</f>
        <v/>
      </c>
      <c r="BB10" s="2">
        <f>AC10-AY10</f>
        <v/>
      </c>
      <c r="BC10" s="2">
        <f>AZ10+BA10+BB10</f>
        <v/>
      </c>
      <c r="BD10" s="2">
        <f>MAX(0,BC10-Pool!BV10)</f>
        <v/>
      </c>
      <c r="BE10" s="2">
        <f>MIN(BB10,BD10)</f>
        <v/>
      </c>
      <c r="BF10" s="2">
        <f>MIN(BA10,BD10-BE10)</f>
        <v/>
      </c>
      <c r="BG10" s="2">
        <f>MIN(AZ10,BD10-BE10-BF10)</f>
        <v/>
      </c>
      <c r="BH10" s="2">
        <f>AZ10-BG10</f>
        <v/>
      </c>
      <c r="BI10" s="2">
        <f>BA10-BF10</f>
        <v/>
      </c>
      <c r="BJ10" s="2">
        <f>BB10-BE10</f>
        <v/>
      </c>
      <c r="BK10" s="7">
        <f>IF(BH10+BI10+BJ10&lt;0.005,1,0)</f>
        <v/>
      </c>
      <c r="BL10" s="2">
        <f>Q10-R10</f>
        <v/>
      </c>
      <c r="BM10" s="2">
        <f>IF(BK10=1,0,MIN(AU10,MAX(0,Inputs!$B$48-BL10)))</f>
        <v/>
      </c>
      <c r="BN10" s="2">
        <f>IF(BK10=1,BL10,0)</f>
        <v/>
      </c>
      <c r="BO10" s="2">
        <f>BL10+BM10-BN10</f>
        <v/>
      </c>
      <c r="BP10" s="2">
        <f>AU10-BM10</f>
        <v/>
      </c>
      <c r="BQ10" s="2">
        <f>BP10+Z10+BN10</f>
        <v/>
      </c>
      <c r="BR10" s="2">
        <f>W10+AW10</f>
        <v/>
      </c>
      <c r="BS10" s="2">
        <f>X10+AX10</f>
        <v/>
      </c>
      <c r="BT10" s="2">
        <f>Y10+AY10</f>
        <v/>
      </c>
      <c r="BU10" s="2">
        <f>AG10+AK10+AO10+BR10+BS10+BT10</f>
        <v/>
      </c>
      <c r="BV10" s="2">
        <f>K10-AG10</f>
        <v/>
      </c>
      <c r="BW10" s="2">
        <f>M10-AK10</f>
        <v/>
      </c>
      <c r="BX10" s="2">
        <f>O10-AO10</f>
        <v/>
      </c>
      <c r="BY10" s="2">
        <f>C10-AE10</f>
        <v/>
      </c>
      <c r="BZ10" s="8">
        <f>AE10+BU10+BQ10+(BO10-Q10)-Pool!BW10</f>
        <v/>
      </c>
    </row>
    <row r="11">
      <c r="A11" s="7" t="n">
        <v>6</v>
      </c>
      <c r="B11" s="2">
        <f>Inputs!$B$51/12*Pool!BK11</f>
        <v/>
      </c>
      <c r="C11" s="2">
        <f>B11+BY10</f>
        <v/>
      </c>
      <c r="D11" s="2">
        <f>BH10</f>
        <v/>
      </c>
      <c r="E11" s="2">
        <f>BI10</f>
        <v/>
      </c>
      <c r="F11" s="2">
        <f>BJ10</f>
        <v/>
      </c>
      <c r="G11" s="3">
        <f>MAX(0,Pool!B11+Inputs!$B$42)</f>
        <v/>
      </c>
      <c r="H11" s="3">
        <f>MAX(0,Pool!B11+Inputs!$B$43)</f>
        <v/>
      </c>
      <c r="I11" s="3">
        <f>Inputs!$B$44</f>
        <v/>
      </c>
      <c r="J11" s="2">
        <f>D11*G11/12</f>
        <v/>
      </c>
      <c r="K11" s="2">
        <f>J11+BV10</f>
        <v/>
      </c>
      <c r="L11" s="2">
        <f>E11*H11/12</f>
        <v/>
      </c>
      <c r="M11" s="2">
        <f>L11+BW10</f>
        <v/>
      </c>
      <c r="N11" s="2">
        <f>F11*I11/12</f>
        <v/>
      </c>
      <c r="O11" s="2">
        <f>N11+BX10</f>
        <v/>
      </c>
      <c r="P11" s="2">
        <f>Pool!BM11</f>
        <v/>
      </c>
      <c r="Q11" s="2">
        <f>BO10</f>
        <v/>
      </c>
      <c r="R11" s="2">
        <f>MIN(Q11,MAX(0,C11+K11+M11-P11))</f>
        <v/>
      </c>
      <c r="S11" s="2">
        <f>P11+R11</f>
        <v/>
      </c>
      <c r="T11" s="2">
        <f>Pool!BN11+Pool!BO11+Pool!BQ11</f>
        <v/>
      </c>
      <c r="U11" s="7">
        <f>IF(OR(Inputs!$B$53=1,Tests!M10=1),1,0)</f>
        <v/>
      </c>
      <c r="V11" s="2">
        <f>D11+E11+F11</f>
        <v/>
      </c>
      <c r="W11" s="2">
        <f>IF(U11=1,MIN(D11,T11),IF(V11&lt;=0,0,MIN(T11,V11)*D11/V11))</f>
        <v/>
      </c>
      <c r="X11" s="2">
        <f>IF(U11=1,MIN(E11,T11-W11),IF(V11&lt;=0,0,MIN(T11,V11)*E11/V11))</f>
        <v/>
      </c>
      <c r="Y11" s="2">
        <f>IF(U11=1,MIN(F11,T11-W11-X11),IF(V11&lt;=0,0,MIN(T11,V11)*F11/V11))</f>
        <v/>
      </c>
      <c r="Z11" s="2">
        <f>T11-W11-X11-Y11</f>
        <v/>
      </c>
      <c r="AA11" s="2">
        <f>D11-W11</f>
        <v/>
      </c>
      <c r="AB11" s="2">
        <f>E11-X11</f>
        <v/>
      </c>
      <c r="AC11" s="2">
        <f>F11-Y11</f>
        <v/>
      </c>
      <c r="AD11" s="2">
        <f>AA11+AB11+AC11</f>
        <v/>
      </c>
      <c r="AE11" s="2">
        <f>MIN(C11,S11)</f>
        <v/>
      </c>
      <c r="AF11" s="2">
        <f>S11-AE11</f>
        <v/>
      </c>
      <c r="AG11" s="2">
        <f>MIN(K11,AF11)</f>
        <v/>
      </c>
      <c r="AH11" s="2">
        <f>AF11-AG11</f>
        <v/>
      </c>
      <c r="AI11" s="2">
        <f>IF(Tests!F11=1,MIN(AH11,AD11),0)</f>
        <v/>
      </c>
      <c r="AJ11" s="2">
        <f>AH11-AI11</f>
        <v/>
      </c>
      <c r="AK11" s="2">
        <f>MIN(M11,AJ11)</f>
        <v/>
      </c>
      <c r="AL11" s="2">
        <f>AJ11-AK11</f>
        <v/>
      </c>
      <c r="AM11" s="2">
        <f>IF(Tests!I11=1,MIN(AL11,AD11-AI11),0)</f>
        <v/>
      </c>
      <c r="AN11" s="2">
        <f>AL11-AM11</f>
        <v/>
      </c>
      <c r="AO11" s="2">
        <f>MIN(O11,AN11)</f>
        <v/>
      </c>
      <c r="AP11" s="2">
        <f>AN11-AO11</f>
        <v/>
      </c>
      <c r="AQ11" s="2">
        <f>IF(Tests!L11=1,MIN(AP11,AD11-AI11-AM11),0)</f>
        <v/>
      </c>
      <c r="AR11" s="2">
        <f>AP11-AQ11</f>
        <v/>
      </c>
      <c r="AS11" s="2">
        <f>MAX(0,AD11-AI11-AM11-AQ11-Pool!BV11)</f>
        <v/>
      </c>
      <c r="AT11" s="2">
        <f>MIN(AR11,AS11)</f>
        <v/>
      </c>
      <c r="AU11" s="2">
        <f>AR11-AT11</f>
        <v/>
      </c>
      <c r="AV11" s="2">
        <f>AI11+AM11+AQ11+AT11</f>
        <v/>
      </c>
      <c r="AW11" s="2">
        <f>MIN(AA11,AV11)</f>
        <v/>
      </c>
      <c r="AX11" s="2">
        <f>MIN(AB11,AV11-AW11)</f>
        <v/>
      </c>
      <c r="AY11" s="2">
        <f>MIN(AC11,AV11-AW11-AX11)</f>
        <v/>
      </c>
      <c r="AZ11" s="2">
        <f>AA11-AW11</f>
        <v/>
      </c>
      <c r="BA11" s="2">
        <f>AB11-AX11</f>
        <v/>
      </c>
      <c r="BB11" s="2">
        <f>AC11-AY11</f>
        <v/>
      </c>
      <c r="BC11" s="2">
        <f>AZ11+BA11+BB11</f>
        <v/>
      </c>
      <c r="BD11" s="2">
        <f>MAX(0,BC11-Pool!BV11)</f>
        <v/>
      </c>
      <c r="BE11" s="2">
        <f>MIN(BB11,BD11)</f>
        <v/>
      </c>
      <c r="BF11" s="2">
        <f>MIN(BA11,BD11-BE11)</f>
        <v/>
      </c>
      <c r="BG11" s="2">
        <f>MIN(AZ11,BD11-BE11-BF11)</f>
        <v/>
      </c>
      <c r="BH11" s="2">
        <f>AZ11-BG11</f>
        <v/>
      </c>
      <c r="BI11" s="2">
        <f>BA11-BF11</f>
        <v/>
      </c>
      <c r="BJ11" s="2">
        <f>BB11-BE11</f>
        <v/>
      </c>
      <c r="BK11" s="7">
        <f>IF(BH11+BI11+BJ11&lt;0.005,1,0)</f>
        <v/>
      </c>
      <c r="BL11" s="2">
        <f>Q11-R11</f>
        <v/>
      </c>
      <c r="BM11" s="2">
        <f>IF(BK11=1,0,MIN(AU11,MAX(0,Inputs!$B$48-BL11)))</f>
        <v/>
      </c>
      <c r="BN11" s="2">
        <f>IF(BK11=1,BL11,0)</f>
        <v/>
      </c>
      <c r="BO11" s="2">
        <f>BL11+BM11-BN11</f>
        <v/>
      </c>
      <c r="BP11" s="2">
        <f>AU11-BM11</f>
        <v/>
      </c>
      <c r="BQ11" s="2">
        <f>BP11+Z11+BN11</f>
        <v/>
      </c>
      <c r="BR11" s="2">
        <f>W11+AW11</f>
        <v/>
      </c>
      <c r="BS11" s="2">
        <f>X11+AX11</f>
        <v/>
      </c>
      <c r="BT11" s="2">
        <f>Y11+AY11</f>
        <v/>
      </c>
      <c r="BU11" s="2">
        <f>AG11+AK11+AO11+BR11+BS11+BT11</f>
        <v/>
      </c>
      <c r="BV11" s="2">
        <f>K11-AG11</f>
        <v/>
      </c>
      <c r="BW11" s="2">
        <f>M11-AK11</f>
        <v/>
      </c>
      <c r="BX11" s="2">
        <f>O11-AO11</f>
        <v/>
      </c>
      <c r="BY11" s="2">
        <f>C11-AE11</f>
        <v/>
      </c>
      <c r="BZ11" s="8">
        <f>AE11+BU11+BQ11+(BO11-Q11)-Pool!BW11</f>
        <v/>
      </c>
    </row>
    <row r="12">
      <c r="A12" s="7" t="n">
        <v>7</v>
      </c>
      <c r="B12" s="2">
        <f>Inputs!$B$51/12*Pool!BK12</f>
        <v/>
      </c>
      <c r="C12" s="2">
        <f>B12+BY11</f>
        <v/>
      </c>
      <c r="D12" s="2">
        <f>BH11</f>
        <v/>
      </c>
      <c r="E12" s="2">
        <f>BI11</f>
        <v/>
      </c>
      <c r="F12" s="2">
        <f>BJ11</f>
        <v/>
      </c>
      <c r="G12" s="3">
        <f>MAX(0,Pool!B12+Inputs!$B$42)</f>
        <v/>
      </c>
      <c r="H12" s="3">
        <f>MAX(0,Pool!B12+Inputs!$B$43)</f>
        <v/>
      </c>
      <c r="I12" s="3">
        <f>Inputs!$B$44</f>
        <v/>
      </c>
      <c r="J12" s="2">
        <f>D12*G12/12</f>
        <v/>
      </c>
      <c r="K12" s="2">
        <f>J12+BV11</f>
        <v/>
      </c>
      <c r="L12" s="2">
        <f>E12*H12/12</f>
        <v/>
      </c>
      <c r="M12" s="2">
        <f>L12+BW11</f>
        <v/>
      </c>
      <c r="N12" s="2">
        <f>F12*I12/12</f>
        <v/>
      </c>
      <c r="O12" s="2">
        <f>N12+BX11</f>
        <v/>
      </c>
      <c r="P12" s="2">
        <f>Pool!BM12</f>
        <v/>
      </c>
      <c r="Q12" s="2">
        <f>BO11</f>
        <v/>
      </c>
      <c r="R12" s="2">
        <f>MIN(Q12,MAX(0,C12+K12+M12-P12))</f>
        <v/>
      </c>
      <c r="S12" s="2">
        <f>P12+R12</f>
        <v/>
      </c>
      <c r="T12" s="2">
        <f>Pool!BN12+Pool!BO12+Pool!BQ12</f>
        <v/>
      </c>
      <c r="U12" s="7">
        <f>IF(OR(Inputs!$B$53=1,Tests!M11=1),1,0)</f>
        <v/>
      </c>
      <c r="V12" s="2">
        <f>D12+E12+F12</f>
        <v/>
      </c>
      <c r="W12" s="2">
        <f>IF(U12=1,MIN(D12,T12),IF(V12&lt;=0,0,MIN(T12,V12)*D12/V12))</f>
        <v/>
      </c>
      <c r="X12" s="2">
        <f>IF(U12=1,MIN(E12,T12-W12),IF(V12&lt;=0,0,MIN(T12,V12)*E12/V12))</f>
        <v/>
      </c>
      <c r="Y12" s="2">
        <f>IF(U12=1,MIN(F12,T12-W12-X12),IF(V12&lt;=0,0,MIN(T12,V12)*F12/V12))</f>
        <v/>
      </c>
      <c r="Z12" s="2">
        <f>T12-W12-X12-Y12</f>
        <v/>
      </c>
      <c r="AA12" s="2">
        <f>D12-W12</f>
        <v/>
      </c>
      <c r="AB12" s="2">
        <f>E12-X12</f>
        <v/>
      </c>
      <c r="AC12" s="2">
        <f>F12-Y12</f>
        <v/>
      </c>
      <c r="AD12" s="2">
        <f>AA12+AB12+AC12</f>
        <v/>
      </c>
      <c r="AE12" s="2">
        <f>MIN(C12,S12)</f>
        <v/>
      </c>
      <c r="AF12" s="2">
        <f>S12-AE12</f>
        <v/>
      </c>
      <c r="AG12" s="2">
        <f>MIN(K12,AF12)</f>
        <v/>
      </c>
      <c r="AH12" s="2">
        <f>AF12-AG12</f>
        <v/>
      </c>
      <c r="AI12" s="2">
        <f>IF(Tests!F12=1,MIN(AH12,AD12),0)</f>
        <v/>
      </c>
      <c r="AJ12" s="2">
        <f>AH12-AI12</f>
        <v/>
      </c>
      <c r="AK12" s="2">
        <f>MIN(M12,AJ12)</f>
        <v/>
      </c>
      <c r="AL12" s="2">
        <f>AJ12-AK12</f>
        <v/>
      </c>
      <c r="AM12" s="2">
        <f>IF(Tests!I12=1,MIN(AL12,AD12-AI12),0)</f>
        <v/>
      </c>
      <c r="AN12" s="2">
        <f>AL12-AM12</f>
        <v/>
      </c>
      <c r="AO12" s="2">
        <f>MIN(O12,AN12)</f>
        <v/>
      </c>
      <c r="AP12" s="2">
        <f>AN12-AO12</f>
        <v/>
      </c>
      <c r="AQ12" s="2">
        <f>IF(Tests!L12=1,MIN(AP12,AD12-AI12-AM12),0)</f>
        <v/>
      </c>
      <c r="AR12" s="2">
        <f>AP12-AQ12</f>
        <v/>
      </c>
      <c r="AS12" s="2">
        <f>MAX(0,AD12-AI12-AM12-AQ12-Pool!BV12)</f>
        <v/>
      </c>
      <c r="AT12" s="2">
        <f>MIN(AR12,AS12)</f>
        <v/>
      </c>
      <c r="AU12" s="2">
        <f>AR12-AT12</f>
        <v/>
      </c>
      <c r="AV12" s="2">
        <f>AI12+AM12+AQ12+AT12</f>
        <v/>
      </c>
      <c r="AW12" s="2">
        <f>MIN(AA12,AV12)</f>
        <v/>
      </c>
      <c r="AX12" s="2">
        <f>MIN(AB12,AV12-AW12)</f>
        <v/>
      </c>
      <c r="AY12" s="2">
        <f>MIN(AC12,AV12-AW12-AX12)</f>
        <v/>
      </c>
      <c r="AZ12" s="2">
        <f>AA12-AW12</f>
        <v/>
      </c>
      <c r="BA12" s="2">
        <f>AB12-AX12</f>
        <v/>
      </c>
      <c r="BB12" s="2">
        <f>AC12-AY12</f>
        <v/>
      </c>
      <c r="BC12" s="2">
        <f>AZ12+BA12+BB12</f>
        <v/>
      </c>
      <c r="BD12" s="2">
        <f>MAX(0,BC12-Pool!BV12)</f>
        <v/>
      </c>
      <c r="BE12" s="2">
        <f>MIN(BB12,BD12)</f>
        <v/>
      </c>
      <c r="BF12" s="2">
        <f>MIN(BA12,BD12-BE12)</f>
        <v/>
      </c>
      <c r="BG12" s="2">
        <f>MIN(AZ12,BD12-BE12-BF12)</f>
        <v/>
      </c>
      <c r="BH12" s="2">
        <f>AZ12-BG12</f>
        <v/>
      </c>
      <c r="BI12" s="2">
        <f>BA12-BF12</f>
        <v/>
      </c>
      <c r="BJ12" s="2">
        <f>BB12-BE12</f>
        <v/>
      </c>
      <c r="BK12" s="7">
        <f>IF(BH12+BI12+BJ12&lt;0.005,1,0)</f>
        <v/>
      </c>
      <c r="BL12" s="2">
        <f>Q12-R12</f>
        <v/>
      </c>
      <c r="BM12" s="2">
        <f>IF(BK12=1,0,MIN(AU12,MAX(0,Inputs!$B$48-BL12)))</f>
        <v/>
      </c>
      <c r="BN12" s="2">
        <f>IF(BK12=1,BL12,0)</f>
        <v/>
      </c>
      <c r="BO12" s="2">
        <f>BL12+BM12-BN12</f>
        <v/>
      </c>
      <c r="BP12" s="2">
        <f>AU12-BM12</f>
        <v/>
      </c>
      <c r="BQ12" s="2">
        <f>BP12+Z12+BN12</f>
        <v/>
      </c>
      <c r="BR12" s="2">
        <f>W12+AW12</f>
        <v/>
      </c>
      <c r="BS12" s="2">
        <f>X12+AX12</f>
        <v/>
      </c>
      <c r="BT12" s="2">
        <f>Y12+AY12</f>
        <v/>
      </c>
      <c r="BU12" s="2">
        <f>AG12+AK12+AO12+BR12+BS12+BT12</f>
        <v/>
      </c>
      <c r="BV12" s="2">
        <f>K12-AG12</f>
        <v/>
      </c>
      <c r="BW12" s="2">
        <f>M12-AK12</f>
        <v/>
      </c>
      <c r="BX12" s="2">
        <f>O12-AO12</f>
        <v/>
      </c>
      <c r="BY12" s="2">
        <f>C12-AE12</f>
        <v/>
      </c>
      <c r="BZ12" s="8">
        <f>AE12+BU12+BQ12+(BO12-Q12)-Pool!BW12</f>
        <v/>
      </c>
    </row>
    <row r="13">
      <c r="A13" s="7" t="n">
        <v>8</v>
      </c>
      <c r="B13" s="2">
        <f>Inputs!$B$51/12*Pool!BK13</f>
        <v/>
      </c>
      <c r="C13" s="2">
        <f>B13+BY12</f>
        <v/>
      </c>
      <c r="D13" s="2">
        <f>BH12</f>
        <v/>
      </c>
      <c r="E13" s="2">
        <f>BI12</f>
        <v/>
      </c>
      <c r="F13" s="2">
        <f>BJ12</f>
        <v/>
      </c>
      <c r="G13" s="3">
        <f>MAX(0,Pool!B13+Inputs!$B$42)</f>
        <v/>
      </c>
      <c r="H13" s="3">
        <f>MAX(0,Pool!B13+Inputs!$B$43)</f>
        <v/>
      </c>
      <c r="I13" s="3">
        <f>Inputs!$B$44</f>
        <v/>
      </c>
      <c r="J13" s="2">
        <f>D13*G13/12</f>
        <v/>
      </c>
      <c r="K13" s="2">
        <f>J13+BV12</f>
        <v/>
      </c>
      <c r="L13" s="2">
        <f>E13*H13/12</f>
        <v/>
      </c>
      <c r="M13" s="2">
        <f>L13+BW12</f>
        <v/>
      </c>
      <c r="N13" s="2">
        <f>F13*I13/12</f>
        <v/>
      </c>
      <c r="O13" s="2">
        <f>N13+BX12</f>
        <v/>
      </c>
      <c r="P13" s="2">
        <f>Pool!BM13</f>
        <v/>
      </c>
      <c r="Q13" s="2">
        <f>BO12</f>
        <v/>
      </c>
      <c r="R13" s="2">
        <f>MIN(Q13,MAX(0,C13+K13+M13-P13))</f>
        <v/>
      </c>
      <c r="S13" s="2">
        <f>P13+R13</f>
        <v/>
      </c>
      <c r="T13" s="2">
        <f>Pool!BN13+Pool!BO13+Pool!BQ13</f>
        <v/>
      </c>
      <c r="U13" s="7">
        <f>IF(OR(Inputs!$B$53=1,Tests!M12=1),1,0)</f>
        <v/>
      </c>
      <c r="V13" s="2">
        <f>D13+E13+F13</f>
        <v/>
      </c>
      <c r="W13" s="2">
        <f>IF(U13=1,MIN(D13,T13),IF(V13&lt;=0,0,MIN(T13,V13)*D13/V13))</f>
        <v/>
      </c>
      <c r="X13" s="2">
        <f>IF(U13=1,MIN(E13,T13-W13),IF(V13&lt;=0,0,MIN(T13,V13)*E13/V13))</f>
        <v/>
      </c>
      <c r="Y13" s="2">
        <f>IF(U13=1,MIN(F13,T13-W13-X13),IF(V13&lt;=0,0,MIN(T13,V13)*F13/V13))</f>
        <v/>
      </c>
      <c r="Z13" s="2">
        <f>T13-W13-X13-Y13</f>
        <v/>
      </c>
      <c r="AA13" s="2">
        <f>D13-W13</f>
        <v/>
      </c>
      <c r="AB13" s="2">
        <f>E13-X13</f>
        <v/>
      </c>
      <c r="AC13" s="2">
        <f>F13-Y13</f>
        <v/>
      </c>
      <c r="AD13" s="2">
        <f>AA13+AB13+AC13</f>
        <v/>
      </c>
      <c r="AE13" s="2">
        <f>MIN(C13,S13)</f>
        <v/>
      </c>
      <c r="AF13" s="2">
        <f>S13-AE13</f>
        <v/>
      </c>
      <c r="AG13" s="2">
        <f>MIN(K13,AF13)</f>
        <v/>
      </c>
      <c r="AH13" s="2">
        <f>AF13-AG13</f>
        <v/>
      </c>
      <c r="AI13" s="2">
        <f>IF(Tests!F13=1,MIN(AH13,AD13),0)</f>
        <v/>
      </c>
      <c r="AJ13" s="2">
        <f>AH13-AI13</f>
        <v/>
      </c>
      <c r="AK13" s="2">
        <f>MIN(M13,AJ13)</f>
        <v/>
      </c>
      <c r="AL13" s="2">
        <f>AJ13-AK13</f>
        <v/>
      </c>
      <c r="AM13" s="2">
        <f>IF(Tests!I13=1,MIN(AL13,AD13-AI13),0)</f>
        <v/>
      </c>
      <c r="AN13" s="2">
        <f>AL13-AM13</f>
        <v/>
      </c>
      <c r="AO13" s="2">
        <f>MIN(O13,AN13)</f>
        <v/>
      </c>
      <c r="AP13" s="2">
        <f>AN13-AO13</f>
        <v/>
      </c>
      <c r="AQ13" s="2">
        <f>IF(Tests!L13=1,MIN(AP13,AD13-AI13-AM13),0)</f>
        <v/>
      </c>
      <c r="AR13" s="2">
        <f>AP13-AQ13</f>
        <v/>
      </c>
      <c r="AS13" s="2">
        <f>MAX(0,AD13-AI13-AM13-AQ13-Pool!BV13)</f>
        <v/>
      </c>
      <c r="AT13" s="2">
        <f>MIN(AR13,AS13)</f>
        <v/>
      </c>
      <c r="AU13" s="2">
        <f>AR13-AT13</f>
        <v/>
      </c>
      <c r="AV13" s="2">
        <f>AI13+AM13+AQ13+AT13</f>
        <v/>
      </c>
      <c r="AW13" s="2">
        <f>MIN(AA13,AV13)</f>
        <v/>
      </c>
      <c r="AX13" s="2">
        <f>MIN(AB13,AV13-AW13)</f>
        <v/>
      </c>
      <c r="AY13" s="2">
        <f>MIN(AC13,AV13-AW13-AX13)</f>
        <v/>
      </c>
      <c r="AZ13" s="2">
        <f>AA13-AW13</f>
        <v/>
      </c>
      <c r="BA13" s="2">
        <f>AB13-AX13</f>
        <v/>
      </c>
      <c r="BB13" s="2">
        <f>AC13-AY13</f>
        <v/>
      </c>
      <c r="BC13" s="2">
        <f>AZ13+BA13+BB13</f>
        <v/>
      </c>
      <c r="BD13" s="2">
        <f>MAX(0,BC13-Pool!BV13)</f>
        <v/>
      </c>
      <c r="BE13" s="2">
        <f>MIN(BB13,BD13)</f>
        <v/>
      </c>
      <c r="BF13" s="2">
        <f>MIN(BA13,BD13-BE13)</f>
        <v/>
      </c>
      <c r="BG13" s="2">
        <f>MIN(AZ13,BD13-BE13-BF13)</f>
        <v/>
      </c>
      <c r="BH13" s="2">
        <f>AZ13-BG13</f>
        <v/>
      </c>
      <c r="BI13" s="2">
        <f>BA13-BF13</f>
        <v/>
      </c>
      <c r="BJ13" s="2">
        <f>BB13-BE13</f>
        <v/>
      </c>
      <c r="BK13" s="7">
        <f>IF(BH13+BI13+BJ13&lt;0.005,1,0)</f>
        <v/>
      </c>
      <c r="BL13" s="2">
        <f>Q13-R13</f>
        <v/>
      </c>
      <c r="BM13" s="2">
        <f>IF(BK13=1,0,MIN(AU13,MAX(0,Inputs!$B$48-BL13)))</f>
        <v/>
      </c>
      <c r="BN13" s="2">
        <f>IF(BK13=1,BL13,0)</f>
        <v/>
      </c>
      <c r="BO13" s="2">
        <f>BL13+BM13-BN13</f>
        <v/>
      </c>
      <c r="BP13" s="2">
        <f>AU13-BM13</f>
        <v/>
      </c>
      <c r="BQ13" s="2">
        <f>BP13+Z13+BN13</f>
        <v/>
      </c>
      <c r="BR13" s="2">
        <f>W13+AW13</f>
        <v/>
      </c>
      <c r="BS13" s="2">
        <f>X13+AX13</f>
        <v/>
      </c>
      <c r="BT13" s="2">
        <f>Y13+AY13</f>
        <v/>
      </c>
      <c r="BU13" s="2">
        <f>AG13+AK13+AO13+BR13+BS13+BT13</f>
        <v/>
      </c>
      <c r="BV13" s="2">
        <f>K13-AG13</f>
        <v/>
      </c>
      <c r="BW13" s="2">
        <f>M13-AK13</f>
        <v/>
      </c>
      <c r="BX13" s="2">
        <f>O13-AO13</f>
        <v/>
      </c>
      <c r="BY13" s="2">
        <f>C13-AE13</f>
        <v/>
      </c>
      <c r="BZ13" s="8">
        <f>AE13+BU13+BQ13+(BO13-Q13)-Pool!BW13</f>
        <v/>
      </c>
    </row>
    <row r="14">
      <c r="A14" s="7" t="n">
        <v>9</v>
      </c>
      <c r="B14" s="2">
        <f>Inputs!$B$51/12*Pool!BK14</f>
        <v/>
      </c>
      <c r="C14" s="2">
        <f>B14+BY13</f>
        <v/>
      </c>
      <c r="D14" s="2">
        <f>BH13</f>
        <v/>
      </c>
      <c r="E14" s="2">
        <f>BI13</f>
        <v/>
      </c>
      <c r="F14" s="2">
        <f>BJ13</f>
        <v/>
      </c>
      <c r="G14" s="3">
        <f>MAX(0,Pool!B14+Inputs!$B$42)</f>
        <v/>
      </c>
      <c r="H14" s="3">
        <f>MAX(0,Pool!B14+Inputs!$B$43)</f>
        <v/>
      </c>
      <c r="I14" s="3">
        <f>Inputs!$B$44</f>
        <v/>
      </c>
      <c r="J14" s="2">
        <f>D14*G14/12</f>
        <v/>
      </c>
      <c r="K14" s="2">
        <f>J14+BV13</f>
        <v/>
      </c>
      <c r="L14" s="2">
        <f>E14*H14/12</f>
        <v/>
      </c>
      <c r="M14" s="2">
        <f>L14+BW13</f>
        <v/>
      </c>
      <c r="N14" s="2">
        <f>F14*I14/12</f>
        <v/>
      </c>
      <c r="O14" s="2">
        <f>N14+BX13</f>
        <v/>
      </c>
      <c r="P14" s="2">
        <f>Pool!BM14</f>
        <v/>
      </c>
      <c r="Q14" s="2">
        <f>BO13</f>
        <v/>
      </c>
      <c r="R14" s="2">
        <f>MIN(Q14,MAX(0,C14+K14+M14-P14))</f>
        <v/>
      </c>
      <c r="S14" s="2">
        <f>P14+R14</f>
        <v/>
      </c>
      <c r="T14" s="2">
        <f>Pool!BN14+Pool!BO14+Pool!BQ14</f>
        <v/>
      </c>
      <c r="U14" s="7">
        <f>IF(OR(Inputs!$B$53=1,Tests!M13=1),1,0)</f>
        <v/>
      </c>
      <c r="V14" s="2">
        <f>D14+E14+F14</f>
        <v/>
      </c>
      <c r="W14" s="2">
        <f>IF(U14=1,MIN(D14,T14),IF(V14&lt;=0,0,MIN(T14,V14)*D14/V14))</f>
        <v/>
      </c>
      <c r="X14" s="2">
        <f>IF(U14=1,MIN(E14,T14-W14),IF(V14&lt;=0,0,MIN(T14,V14)*E14/V14))</f>
        <v/>
      </c>
      <c r="Y14" s="2">
        <f>IF(U14=1,MIN(F14,T14-W14-X14),IF(V14&lt;=0,0,MIN(T14,V14)*F14/V14))</f>
        <v/>
      </c>
      <c r="Z14" s="2">
        <f>T14-W14-X14-Y14</f>
        <v/>
      </c>
      <c r="AA14" s="2">
        <f>D14-W14</f>
        <v/>
      </c>
      <c r="AB14" s="2">
        <f>E14-X14</f>
        <v/>
      </c>
      <c r="AC14" s="2">
        <f>F14-Y14</f>
        <v/>
      </c>
      <c r="AD14" s="2">
        <f>AA14+AB14+AC14</f>
        <v/>
      </c>
      <c r="AE14" s="2">
        <f>MIN(C14,S14)</f>
        <v/>
      </c>
      <c r="AF14" s="2">
        <f>S14-AE14</f>
        <v/>
      </c>
      <c r="AG14" s="2">
        <f>MIN(K14,AF14)</f>
        <v/>
      </c>
      <c r="AH14" s="2">
        <f>AF14-AG14</f>
        <v/>
      </c>
      <c r="AI14" s="2">
        <f>IF(Tests!F14=1,MIN(AH14,AD14),0)</f>
        <v/>
      </c>
      <c r="AJ14" s="2">
        <f>AH14-AI14</f>
        <v/>
      </c>
      <c r="AK14" s="2">
        <f>MIN(M14,AJ14)</f>
        <v/>
      </c>
      <c r="AL14" s="2">
        <f>AJ14-AK14</f>
        <v/>
      </c>
      <c r="AM14" s="2">
        <f>IF(Tests!I14=1,MIN(AL14,AD14-AI14),0)</f>
        <v/>
      </c>
      <c r="AN14" s="2">
        <f>AL14-AM14</f>
        <v/>
      </c>
      <c r="AO14" s="2">
        <f>MIN(O14,AN14)</f>
        <v/>
      </c>
      <c r="AP14" s="2">
        <f>AN14-AO14</f>
        <v/>
      </c>
      <c r="AQ14" s="2">
        <f>IF(Tests!L14=1,MIN(AP14,AD14-AI14-AM14),0)</f>
        <v/>
      </c>
      <c r="AR14" s="2">
        <f>AP14-AQ14</f>
        <v/>
      </c>
      <c r="AS14" s="2">
        <f>MAX(0,AD14-AI14-AM14-AQ14-Pool!BV14)</f>
        <v/>
      </c>
      <c r="AT14" s="2">
        <f>MIN(AR14,AS14)</f>
        <v/>
      </c>
      <c r="AU14" s="2">
        <f>AR14-AT14</f>
        <v/>
      </c>
      <c r="AV14" s="2">
        <f>AI14+AM14+AQ14+AT14</f>
        <v/>
      </c>
      <c r="AW14" s="2">
        <f>MIN(AA14,AV14)</f>
        <v/>
      </c>
      <c r="AX14" s="2">
        <f>MIN(AB14,AV14-AW14)</f>
        <v/>
      </c>
      <c r="AY14" s="2">
        <f>MIN(AC14,AV14-AW14-AX14)</f>
        <v/>
      </c>
      <c r="AZ14" s="2">
        <f>AA14-AW14</f>
        <v/>
      </c>
      <c r="BA14" s="2">
        <f>AB14-AX14</f>
        <v/>
      </c>
      <c r="BB14" s="2">
        <f>AC14-AY14</f>
        <v/>
      </c>
      <c r="BC14" s="2">
        <f>AZ14+BA14+BB14</f>
        <v/>
      </c>
      <c r="BD14" s="2">
        <f>MAX(0,BC14-Pool!BV14)</f>
        <v/>
      </c>
      <c r="BE14" s="2">
        <f>MIN(BB14,BD14)</f>
        <v/>
      </c>
      <c r="BF14" s="2">
        <f>MIN(BA14,BD14-BE14)</f>
        <v/>
      </c>
      <c r="BG14" s="2">
        <f>MIN(AZ14,BD14-BE14-BF14)</f>
        <v/>
      </c>
      <c r="BH14" s="2">
        <f>AZ14-BG14</f>
        <v/>
      </c>
      <c r="BI14" s="2">
        <f>BA14-BF14</f>
        <v/>
      </c>
      <c r="BJ14" s="2">
        <f>BB14-BE14</f>
        <v/>
      </c>
      <c r="BK14" s="7">
        <f>IF(BH14+BI14+BJ14&lt;0.005,1,0)</f>
        <v/>
      </c>
      <c r="BL14" s="2">
        <f>Q14-R14</f>
        <v/>
      </c>
      <c r="BM14" s="2">
        <f>IF(BK14=1,0,MIN(AU14,MAX(0,Inputs!$B$48-BL14)))</f>
        <v/>
      </c>
      <c r="BN14" s="2">
        <f>IF(BK14=1,BL14,0)</f>
        <v/>
      </c>
      <c r="BO14" s="2">
        <f>BL14+BM14-BN14</f>
        <v/>
      </c>
      <c r="BP14" s="2">
        <f>AU14-BM14</f>
        <v/>
      </c>
      <c r="BQ14" s="2">
        <f>BP14+Z14+BN14</f>
        <v/>
      </c>
      <c r="BR14" s="2">
        <f>W14+AW14</f>
        <v/>
      </c>
      <c r="BS14" s="2">
        <f>X14+AX14</f>
        <v/>
      </c>
      <c r="BT14" s="2">
        <f>Y14+AY14</f>
        <v/>
      </c>
      <c r="BU14" s="2">
        <f>AG14+AK14+AO14+BR14+BS14+BT14</f>
        <v/>
      </c>
      <c r="BV14" s="2">
        <f>K14-AG14</f>
        <v/>
      </c>
      <c r="BW14" s="2">
        <f>M14-AK14</f>
        <v/>
      </c>
      <c r="BX14" s="2">
        <f>O14-AO14</f>
        <v/>
      </c>
      <c r="BY14" s="2">
        <f>C14-AE14</f>
        <v/>
      </c>
      <c r="BZ14" s="8">
        <f>AE14+BU14+BQ14+(BO14-Q14)-Pool!BW14</f>
        <v/>
      </c>
    </row>
    <row r="15">
      <c r="A15" s="7" t="n">
        <v>10</v>
      </c>
      <c r="B15" s="2">
        <f>Inputs!$B$51/12*Pool!BK15</f>
        <v/>
      </c>
      <c r="C15" s="2">
        <f>B15+BY14</f>
        <v/>
      </c>
      <c r="D15" s="2">
        <f>BH14</f>
        <v/>
      </c>
      <c r="E15" s="2">
        <f>BI14</f>
        <v/>
      </c>
      <c r="F15" s="2">
        <f>BJ14</f>
        <v/>
      </c>
      <c r="G15" s="3">
        <f>MAX(0,Pool!B15+Inputs!$B$42)</f>
        <v/>
      </c>
      <c r="H15" s="3">
        <f>MAX(0,Pool!B15+Inputs!$B$43)</f>
        <v/>
      </c>
      <c r="I15" s="3">
        <f>Inputs!$B$44</f>
        <v/>
      </c>
      <c r="J15" s="2">
        <f>D15*G15/12</f>
        <v/>
      </c>
      <c r="K15" s="2">
        <f>J15+BV14</f>
        <v/>
      </c>
      <c r="L15" s="2">
        <f>E15*H15/12</f>
        <v/>
      </c>
      <c r="M15" s="2">
        <f>L15+BW14</f>
        <v/>
      </c>
      <c r="N15" s="2">
        <f>F15*I15/12</f>
        <v/>
      </c>
      <c r="O15" s="2">
        <f>N15+BX14</f>
        <v/>
      </c>
      <c r="P15" s="2">
        <f>Pool!BM15</f>
        <v/>
      </c>
      <c r="Q15" s="2">
        <f>BO14</f>
        <v/>
      </c>
      <c r="R15" s="2">
        <f>MIN(Q15,MAX(0,C15+K15+M15-P15))</f>
        <v/>
      </c>
      <c r="S15" s="2">
        <f>P15+R15</f>
        <v/>
      </c>
      <c r="T15" s="2">
        <f>Pool!BN15+Pool!BO15+Pool!BQ15</f>
        <v/>
      </c>
      <c r="U15" s="7">
        <f>IF(OR(Inputs!$B$53=1,Tests!M14=1),1,0)</f>
        <v/>
      </c>
      <c r="V15" s="2">
        <f>D15+E15+F15</f>
        <v/>
      </c>
      <c r="W15" s="2">
        <f>IF(U15=1,MIN(D15,T15),IF(V15&lt;=0,0,MIN(T15,V15)*D15/V15))</f>
        <v/>
      </c>
      <c r="X15" s="2">
        <f>IF(U15=1,MIN(E15,T15-W15),IF(V15&lt;=0,0,MIN(T15,V15)*E15/V15))</f>
        <v/>
      </c>
      <c r="Y15" s="2">
        <f>IF(U15=1,MIN(F15,T15-W15-X15),IF(V15&lt;=0,0,MIN(T15,V15)*F15/V15))</f>
        <v/>
      </c>
      <c r="Z15" s="2">
        <f>T15-W15-X15-Y15</f>
        <v/>
      </c>
      <c r="AA15" s="2">
        <f>D15-W15</f>
        <v/>
      </c>
      <c r="AB15" s="2">
        <f>E15-X15</f>
        <v/>
      </c>
      <c r="AC15" s="2">
        <f>F15-Y15</f>
        <v/>
      </c>
      <c r="AD15" s="2">
        <f>AA15+AB15+AC15</f>
        <v/>
      </c>
      <c r="AE15" s="2">
        <f>MIN(C15,S15)</f>
        <v/>
      </c>
      <c r="AF15" s="2">
        <f>S15-AE15</f>
        <v/>
      </c>
      <c r="AG15" s="2">
        <f>MIN(K15,AF15)</f>
        <v/>
      </c>
      <c r="AH15" s="2">
        <f>AF15-AG15</f>
        <v/>
      </c>
      <c r="AI15" s="2">
        <f>IF(Tests!F15=1,MIN(AH15,AD15),0)</f>
        <v/>
      </c>
      <c r="AJ15" s="2">
        <f>AH15-AI15</f>
        <v/>
      </c>
      <c r="AK15" s="2">
        <f>MIN(M15,AJ15)</f>
        <v/>
      </c>
      <c r="AL15" s="2">
        <f>AJ15-AK15</f>
        <v/>
      </c>
      <c r="AM15" s="2">
        <f>IF(Tests!I15=1,MIN(AL15,AD15-AI15),0)</f>
        <v/>
      </c>
      <c r="AN15" s="2">
        <f>AL15-AM15</f>
        <v/>
      </c>
      <c r="AO15" s="2">
        <f>MIN(O15,AN15)</f>
        <v/>
      </c>
      <c r="AP15" s="2">
        <f>AN15-AO15</f>
        <v/>
      </c>
      <c r="AQ15" s="2">
        <f>IF(Tests!L15=1,MIN(AP15,AD15-AI15-AM15),0)</f>
        <v/>
      </c>
      <c r="AR15" s="2">
        <f>AP15-AQ15</f>
        <v/>
      </c>
      <c r="AS15" s="2">
        <f>MAX(0,AD15-AI15-AM15-AQ15-Pool!BV15)</f>
        <v/>
      </c>
      <c r="AT15" s="2">
        <f>MIN(AR15,AS15)</f>
        <v/>
      </c>
      <c r="AU15" s="2">
        <f>AR15-AT15</f>
        <v/>
      </c>
      <c r="AV15" s="2">
        <f>AI15+AM15+AQ15+AT15</f>
        <v/>
      </c>
      <c r="AW15" s="2">
        <f>MIN(AA15,AV15)</f>
        <v/>
      </c>
      <c r="AX15" s="2">
        <f>MIN(AB15,AV15-AW15)</f>
        <v/>
      </c>
      <c r="AY15" s="2">
        <f>MIN(AC15,AV15-AW15-AX15)</f>
        <v/>
      </c>
      <c r="AZ15" s="2">
        <f>AA15-AW15</f>
        <v/>
      </c>
      <c r="BA15" s="2">
        <f>AB15-AX15</f>
        <v/>
      </c>
      <c r="BB15" s="2">
        <f>AC15-AY15</f>
        <v/>
      </c>
      <c r="BC15" s="2">
        <f>AZ15+BA15+BB15</f>
        <v/>
      </c>
      <c r="BD15" s="2">
        <f>MAX(0,BC15-Pool!BV15)</f>
        <v/>
      </c>
      <c r="BE15" s="2">
        <f>MIN(BB15,BD15)</f>
        <v/>
      </c>
      <c r="BF15" s="2">
        <f>MIN(BA15,BD15-BE15)</f>
        <v/>
      </c>
      <c r="BG15" s="2">
        <f>MIN(AZ15,BD15-BE15-BF15)</f>
        <v/>
      </c>
      <c r="BH15" s="2">
        <f>AZ15-BG15</f>
        <v/>
      </c>
      <c r="BI15" s="2">
        <f>BA15-BF15</f>
        <v/>
      </c>
      <c r="BJ15" s="2">
        <f>BB15-BE15</f>
        <v/>
      </c>
      <c r="BK15" s="7">
        <f>IF(BH15+BI15+BJ15&lt;0.005,1,0)</f>
        <v/>
      </c>
      <c r="BL15" s="2">
        <f>Q15-R15</f>
        <v/>
      </c>
      <c r="BM15" s="2">
        <f>IF(BK15=1,0,MIN(AU15,MAX(0,Inputs!$B$48-BL15)))</f>
        <v/>
      </c>
      <c r="BN15" s="2">
        <f>IF(BK15=1,BL15,0)</f>
        <v/>
      </c>
      <c r="BO15" s="2">
        <f>BL15+BM15-BN15</f>
        <v/>
      </c>
      <c r="BP15" s="2">
        <f>AU15-BM15</f>
        <v/>
      </c>
      <c r="BQ15" s="2">
        <f>BP15+Z15+BN15</f>
        <v/>
      </c>
      <c r="BR15" s="2">
        <f>W15+AW15</f>
        <v/>
      </c>
      <c r="BS15" s="2">
        <f>X15+AX15</f>
        <v/>
      </c>
      <c r="BT15" s="2">
        <f>Y15+AY15</f>
        <v/>
      </c>
      <c r="BU15" s="2">
        <f>AG15+AK15+AO15+BR15+BS15+BT15</f>
        <v/>
      </c>
      <c r="BV15" s="2">
        <f>K15-AG15</f>
        <v/>
      </c>
      <c r="BW15" s="2">
        <f>M15-AK15</f>
        <v/>
      </c>
      <c r="BX15" s="2">
        <f>O15-AO15</f>
        <v/>
      </c>
      <c r="BY15" s="2">
        <f>C15-AE15</f>
        <v/>
      </c>
      <c r="BZ15" s="8">
        <f>AE15+BU15+BQ15+(BO15-Q15)-Pool!BW15</f>
        <v/>
      </c>
    </row>
    <row r="16">
      <c r="A16" s="7" t="n">
        <v>11</v>
      </c>
      <c r="B16" s="2">
        <f>Inputs!$B$51/12*Pool!BK16</f>
        <v/>
      </c>
      <c r="C16" s="2">
        <f>B16+BY15</f>
        <v/>
      </c>
      <c r="D16" s="2">
        <f>BH15</f>
        <v/>
      </c>
      <c r="E16" s="2">
        <f>BI15</f>
        <v/>
      </c>
      <c r="F16" s="2">
        <f>BJ15</f>
        <v/>
      </c>
      <c r="G16" s="3">
        <f>MAX(0,Pool!B16+Inputs!$B$42)</f>
        <v/>
      </c>
      <c r="H16" s="3">
        <f>MAX(0,Pool!B16+Inputs!$B$43)</f>
        <v/>
      </c>
      <c r="I16" s="3">
        <f>Inputs!$B$44</f>
        <v/>
      </c>
      <c r="J16" s="2">
        <f>D16*G16/12</f>
        <v/>
      </c>
      <c r="K16" s="2">
        <f>J16+BV15</f>
        <v/>
      </c>
      <c r="L16" s="2">
        <f>E16*H16/12</f>
        <v/>
      </c>
      <c r="M16" s="2">
        <f>L16+BW15</f>
        <v/>
      </c>
      <c r="N16" s="2">
        <f>F16*I16/12</f>
        <v/>
      </c>
      <c r="O16" s="2">
        <f>N16+BX15</f>
        <v/>
      </c>
      <c r="P16" s="2">
        <f>Pool!BM16</f>
        <v/>
      </c>
      <c r="Q16" s="2">
        <f>BO15</f>
        <v/>
      </c>
      <c r="R16" s="2">
        <f>MIN(Q16,MAX(0,C16+K16+M16-P16))</f>
        <v/>
      </c>
      <c r="S16" s="2">
        <f>P16+R16</f>
        <v/>
      </c>
      <c r="T16" s="2">
        <f>Pool!BN16+Pool!BO16+Pool!BQ16</f>
        <v/>
      </c>
      <c r="U16" s="7">
        <f>IF(OR(Inputs!$B$53=1,Tests!M15=1),1,0)</f>
        <v/>
      </c>
      <c r="V16" s="2">
        <f>D16+E16+F16</f>
        <v/>
      </c>
      <c r="W16" s="2">
        <f>IF(U16=1,MIN(D16,T16),IF(V16&lt;=0,0,MIN(T16,V16)*D16/V16))</f>
        <v/>
      </c>
      <c r="X16" s="2">
        <f>IF(U16=1,MIN(E16,T16-W16),IF(V16&lt;=0,0,MIN(T16,V16)*E16/V16))</f>
        <v/>
      </c>
      <c r="Y16" s="2">
        <f>IF(U16=1,MIN(F16,T16-W16-X16),IF(V16&lt;=0,0,MIN(T16,V16)*F16/V16))</f>
        <v/>
      </c>
      <c r="Z16" s="2">
        <f>T16-W16-X16-Y16</f>
        <v/>
      </c>
      <c r="AA16" s="2">
        <f>D16-W16</f>
        <v/>
      </c>
      <c r="AB16" s="2">
        <f>E16-X16</f>
        <v/>
      </c>
      <c r="AC16" s="2">
        <f>F16-Y16</f>
        <v/>
      </c>
      <c r="AD16" s="2">
        <f>AA16+AB16+AC16</f>
        <v/>
      </c>
      <c r="AE16" s="2">
        <f>MIN(C16,S16)</f>
        <v/>
      </c>
      <c r="AF16" s="2">
        <f>S16-AE16</f>
        <v/>
      </c>
      <c r="AG16" s="2">
        <f>MIN(K16,AF16)</f>
        <v/>
      </c>
      <c r="AH16" s="2">
        <f>AF16-AG16</f>
        <v/>
      </c>
      <c r="AI16" s="2">
        <f>IF(Tests!F16=1,MIN(AH16,AD16),0)</f>
        <v/>
      </c>
      <c r="AJ16" s="2">
        <f>AH16-AI16</f>
        <v/>
      </c>
      <c r="AK16" s="2">
        <f>MIN(M16,AJ16)</f>
        <v/>
      </c>
      <c r="AL16" s="2">
        <f>AJ16-AK16</f>
        <v/>
      </c>
      <c r="AM16" s="2">
        <f>IF(Tests!I16=1,MIN(AL16,AD16-AI16),0)</f>
        <v/>
      </c>
      <c r="AN16" s="2">
        <f>AL16-AM16</f>
        <v/>
      </c>
      <c r="AO16" s="2">
        <f>MIN(O16,AN16)</f>
        <v/>
      </c>
      <c r="AP16" s="2">
        <f>AN16-AO16</f>
        <v/>
      </c>
      <c r="AQ16" s="2">
        <f>IF(Tests!L16=1,MIN(AP16,AD16-AI16-AM16),0)</f>
        <v/>
      </c>
      <c r="AR16" s="2">
        <f>AP16-AQ16</f>
        <v/>
      </c>
      <c r="AS16" s="2">
        <f>MAX(0,AD16-AI16-AM16-AQ16-Pool!BV16)</f>
        <v/>
      </c>
      <c r="AT16" s="2">
        <f>MIN(AR16,AS16)</f>
        <v/>
      </c>
      <c r="AU16" s="2">
        <f>AR16-AT16</f>
        <v/>
      </c>
      <c r="AV16" s="2">
        <f>AI16+AM16+AQ16+AT16</f>
        <v/>
      </c>
      <c r="AW16" s="2">
        <f>MIN(AA16,AV16)</f>
        <v/>
      </c>
      <c r="AX16" s="2">
        <f>MIN(AB16,AV16-AW16)</f>
        <v/>
      </c>
      <c r="AY16" s="2">
        <f>MIN(AC16,AV16-AW16-AX16)</f>
        <v/>
      </c>
      <c r="AZ16" s="2">
        <f>AA16-AW16</f>
        <v/>
      </c>
      <c r="BA16" s="2">
        <f>AB16-AX16</f>
        <v/>
      </c>
      <c r="BB16" s="2">
        <f>AC16-AY16</f>
        <v/>
      </c>
      <c r="BC16" s="2">
        <f>AZ16+BA16+BB16</f>
        <v/>
      </c>
      <c r="BD16" s="2">
        <f>MAX(0,BC16-Pool!BV16)</f>
        <v/>
      </c>
      <c r="BE16" s="2">
        <f>MIN(BB16,BD16)</f>
        <v/>
      </c>
      <c r="BF16" s="2">
        <f>MIN(BA16,BD16-BE16)</f>
        <v/>
      </c>
      <c r="BG16" s="2">
        <f>MIN(AZ16,BD16-BE16-BF16)</f>
        <v/>
      </c>
      <c r="BH16" s="2">
        <f>AZ16-BG16</f>
        <v/>
      </c>
      <c r="BI16" s="2">
        <f>BA16-BF16</f>
        <v/>
      </c>
      <c r="BJ16" s="2">
        <f>BB16-BE16</f>
        <v/>
      </c>
      <c r="BK16" s="7">
        <f>IF(BH16+BI16+BJ16&lt;0.005,1,0)</f>
        <v/>
      </c>
      <c r="BL16" s="2">
        <f>Q16-R16</f>
        <v/>
      </c>
      <c r="BM16" s="2">
        <f>IF(BK16=1,0,MIN(AU16,MAX(0,Inputs!$B$48-BL16)))</f>
        <v/>
      </c>
      <c r="BN16" s="2">
        <f>IF(BK16=1,BL16,0)</f>
        <v/>
      </c>
      <c r="BO16" s="2">
        <f>BL16+BM16-BN16</f>
        <v/>
      </c>
      <c r="BP16" s="2">
        <f>AU16-BM16</f>
        <v/>
      </c>
      <c r="BQ16" s="2">
        <f>BP16+Z16+BN16</f>
        <v/>
      </c>
      <c r="BR16" s="2">
        <f>W16+AW16</f>
        <v/>
      </c>
      <c r="BS16" s="2">
        <f>X16+AX16</f>
        <v/>
      </c>
      <c r="BT16" s="2">
        <f>Y16+AY16</f>
        <v/>
      </c>
      <c r="BU16" s="2">
        <f>AG16+AK16+AO16+BR16+BS16+BT16</f>
        <v/>
      </c>
      <c r="BV16" s="2">
        <f>K16-AG16</f>
        <v/>
      </c>
      <c r="BW16" s="2">
        <f>M16-AK16</f>
        <v/>
      </c>
      <c r="BX16" s="2">
        <f>O16-AO16</f>
        <v/>
      </c>
      <c r="BY16" s="2">
        <f>C16-AE16</f>
        <v/>
      </c>
      <c r="BZ16" s="8">
        <f>AE16+BU16+BQ16+(BO16-Q16)-Pool!BW16</f>
        <v/>
      </c>
    </row>
    <row r="17">
      <c r="A17" s="7" t="n">
        <v>12</v>
      </c>
      <c r="B17" s="2">
        <f>Inputs!$B$51/12*Pool!BK17</f>
        <v/>
      </c>
      <c r="C17" s="2">
        <f>B17+BY16</f>
        <v/>
      </c>
      <c r="D17" s="2">
        <f>BH16</f>
        <v/>
      </c>
      <c r="E17" s="2">
        <f>BI16</f>
        <v/>
      </c>
      <c r="F17" s="2">
        <f>BJ16</f>
        <v/>
      </c>
      <c r="G17" s="3">
        <f>MAX(0,Pool!B17+Inputs!$B$42)</f>
        <v/>
      </c>
      <c r="H17" s="3">
        <f>MAX(0,Pool!B17+Inputs!$B$43)</f>
        <v/>
      </c>
      <c r="I17" s="3">
        <f>Inputs!$B$44</f>
        <v/>
      </c>
      <c r="J17" s="2">
        <f>D17*G17/12</f>
        <v/>
      </c>
      <c r="K17" s="2">
        <f>J17+BV16</f>
        <v/>
      </c>
      <c r="L17" s="2">
        <f>E17*H17/12</f>
        <v/>
      </c>
      <c r="M17" s="2">
        <f>L17+BW16</f>
        <v/>
      </c>
      <c r="N17" s="2">
        <f>F17*I17/12</f>
        <v/>
      </c>
      <c r="O17" s="2">
        <f>N17+BX16</f>
        <v/>
      </c>
      <c r="P17" s="2">
        <f>Pool!BM17</f>
        <v/>
      </c>
      <c r="Q17" s="2">
        <f>BO16</f>
        <v/>
      </c>
      <c r="R17" s="2">
        <f>MIN(Q17,MAX(0,C17+K17+M17-P17))</f>
        <v/>
      </c>
      <c r="S17" s="2">
        <f>P17+R17</f>
        <v/>
      </c>
      <c r="T17" s="2">
        <f>Pool!BN17+Pool!BO17+Pool!BQ17</f>
        <v/>
      </c>
      <c r="U17" s="7">
        <f>IF(OR(Inputs!$B$53=1,Tests!M16=1),1,0)</f>
        <v/>
      </c>
      <c r="V17" s="2">
        <f>D17+E17+F17</f>
        <v/>
      </c>
      <c r="W17" s="2">
        <f>IF(U17=1,MIN(D17,T17),IF(V17&lt;=0,0,MIN(T17,V17)*D17/V17))</f>
        <v/>
      </c>
      <c r="X17" s="2">
        <f>IF(U17=1,MIN(E17,T17-W17),IF(V17&lt;=0,0,MIN(T17,V17)*E17/V17))</f>
        <v/>
      </c>
      <c r="Y17" s="2">
        <f>IF(U17=1,MIN(F17,T17-W17-X17),IF(V17&lt;=0,0,MIN(T17,V17)*F17/V17))</f>
        <v/>
      </c>
      <c r="Z17" s="2">
        <f>T17-W17-X17-Y17</f>
        <v/>
      </c>
      <c r="AA17" s="2">
        <f>D17-W17</f>
        <v/>
      </c>
      <c r="AB17" s="2">
        <f>E17-X17</f>
        <v/>
      </c>
      <c r="AC17" s="2">
        <f>F17-Y17</f>
        <v/>
      </c>
      <c r="AD17" s="2">
        <f>AA17+AB17+AC17</f>
        <v/>
      </c>
      <c r="AE17" s="2">
        <f>MIN(C17,S17)</f>
        <v/>
      </c>
      <c r="AF17" s="2">
        <f>S17-AE17</f>
        <v/>
      </c>
      <c r="AG17" s="2">
        <f>MIN(K17,AF17)</f>
        <v/>
      </c>
      <c r="AH17" s="2">
        <f>AF17-AG17</f>
        <v/>
      </c>
      <c r="AI17" s="2">
        <f>IF(Tests!F17=1,MIN(AH17,AD17),0)</f>
        <v/>
      </c>
      <c r="AJ17" s="2">
        <f>AH17-AI17</f>
        <v/>
      </c>
      <c r="AK17" s="2">
        <f>MIN(M17,AJ17)</f>
        <v/>
      </c>
      <c r="AL17" s="2">
        <f>AJ17-AK17</f>
        <v/>
      </c>
      <c r="AM17" s="2">
        <f>IF(Tests!I17=1,MIN(AL17,AD17-AI17),0)</f>
        <v/>
      </c>
      <c r="AN17" s="2">
        <f>AL17-AM17</f>
        <v/>
      </c>
      <c r="AO17" s="2">
        <f>MIN(O17,AN17)</f>
        <v/>
      </c>
      <c r="AP17" s="2">
        <f>AN17-AO17</f>
        <v/>
      </c>
      <c r="AQ17" s="2">
        <f>IF(Tests!L17=1,MIN(AP17,AD17-AI17-AM17),0)</f>
        <v/>
      </c>
      <c r="AR17" s="2">
        <f>AP17-AQ17</f>
        <v/>
      </c>
      <c r="AS17" s="2">
        <f>MAX(0,AD17-AI17-AM17-AQ17-Pool!BV17)</f>
        <v/>
      </c>
      <c r="AT17" s="2">
        <f>MIN(AR17,AS17)</f>
        <v/>
      </c>
      <c r="AU17" s="2">
        <f>AR17-AT17</f>
        <v/>
      </c>
      <c r="AV17" s="2">
        <f>AI17+AM17+AQ17+AT17</f>
        <v/>
      </c>
      <c r="AW17" s="2">
        <f>MIN(AA17,AV17)</f>
        <v/>
      </c>
      <c r="AX17" s="2">
        <f>MIN(AB17,AV17-AW17)</f>
        <v/>
      </c>
      <c r="AY17" s="2">
        <f>MIN(AC17,AV17-AW17-AX17)</f>
        <v/>
      </c>
      <c r="AZ17" s="2">
        <f>AA17-AW17</f>
        <v/>
      </c>
      <c r="BA17" s="2">
        <f>AB17-AX17</f>
        <v/>
      </c>
      <c r="BB17" s="2">
        <f>AC17-AY17</f>
        <v/>
      </c>
      <c r="BC17" s="2">
        <f>AZ17+BA17+BB17</f>
        <v/>
      </c>
      <c r="BD17" s="2">
        <f>MAX(0,BC17-Pool!BV17)</f>
        <v/>
      </c>
      <c r="BE17" s="2">
        <f>MIN(BB17,BD17)</f>
        <v/>
      </c>
      <c r="BF17" s="2">
        <f>MIN(BA17,BD17-BE17)</f>
        <v/>
      </c>
      <c r="BG17" s="2">
        <f>MIN(AZ17,BD17-BE17-BF17)</f>
        <v/>
      </c>
      <c r="BH17" s="2">
        <f>AZ17-BG17</f>
        <v/>
      </c>
      <c r="BI17" s="2">
        <f>BA17-BF17</f>
        <v/>
      </c>
      <c r="BJ17" s="2">
        <f>BB17-BE17</f>
        <v/>
      </c>
      <c r="BK17" s="7">
        <f>IF(BH17+BI17+BJ17&lt;0.005,1,0)</f>
        <v/>
      </c>
      <c r="BL17" s="2">
        <f>Q17-R17</f>
        <v/>
      </c>
      <c r="BM17" s="2">
        <f>IF(BK17=1,0,MIN(AU17,MAX(0,Inputs!$B$48-BL17)))</f>
        <v/>
      </c>
      <c r="BN17" s="2">
        <f>IF(BK17=1,BL17,0)</f>
        <v/>
      </c>
      <c r="BO17" s="2">
        <f>BL17+BM17-BN17</f>
        <v/>
      </c>
      <c r="BP17" s="2">
        <f>AU17-BM17</f>
        <v/>
      </c>
      <c r="BQ17" s="2">
        <f>BP17+Z17+BN17</f>
        <v/>
      </c>
      <c r="BR17" s="2">
        <f>W17+AW17</f>
        <v/>
      </c>
      <c r="BS17" s="2">
        <f>X17+AX17</f>
        <v/>
      </c>
      <c r="BT17" s="2">
        <f>Y17+AY17</f>
        <v/>
      </c>
      <c r="BU17" s="2">
        <f>AG17+AK17+AO17+BR17+BS17+BT17</f>
        <v/>
      </c>
      <c r="BV17" s="2">
        <f>K17-AG17</f>
        <v/>
      </c>
      <c r="BW17" s="2">
        <f>M17-AK17</f>
        <v/>
      </c>
      <c r="BX17" s="2">
        <f>O17-AO17</f>
        <v/>
      </c>
      <c r="BY17" s="2">
        <f>C17-AE17</f>
        <v/>
      </c>
      <c r="BZ17" s="8">
        <f>AE17+BU17+BQ17+(BO17-Q17)-Pool!BW17</f>
        <v/>
      </c>
    </row>
    <row r="18">
      <c r="A18" s="7" t="n">
        <v>13</v>
      </c>
      <c r="B18" s="2">
        <f>Inputs!$B$51/12*Pool!BK18</f>
        <v/>
      </c>
      <c r="C18" s="2">
        <f>B18+BY17</f>
        <v/>
      </c>
      <c r="D18" s="2">
        <f>BH17</f>
        <v/>
      </c>
      <c r="E18" s="2">
        <f>BI17</f>
        <v/>
      </c>
      <c r="F18" s="2">
        <f>BJ17</f>
        <v/>
      </c>
      <c r="G18" s="3">
        <f>MAX(0,Pool!B18+Inputs!$B$42)</f>
        <v/>
      </c>
      <c r="H18" s="3">
        <f>MAX(0,Pool!B18+Inputs!$B$43)</f>
        <v/>
      </c>
      <c r="I18" s="3">
        <f>Inputs!$B$44</f>
        <v/>
      </c>
      <c r="J18" s="2">
        <f>D18*G18/12</f>
        <v/>
      </c>
      <c r="K18" s="2">
        <f>J18+BV17</f>
        <v/>
      </c>
      <c r="L18" s="2">
        <f>E18*H18/12</f>
        <v/>
      </c>
      <c r="M18" s="2">
        <f>L18+BW17</f>
        <v/>
      </c>
      <c r="N18" s="2">
        <f>F18*I18/12</f>
        <v/>
      </c>
      <c r="O18" s="2">
        <f>N18+BX17</f>
        <v/>
      </c>
      <c r="P18" s="2">
        <f>Pool!BM18</f>
        <v/>
      </c>
      <c r="Q18" s="2">
        <f>BO17</f>
        <v/>
      </c>
      <c r="R18" s="2">
        <f>MIN(Q18,MAX(0,C18+K18+M18-P18))</f>
        <v/>
      </c>
      <c r="S18" s="2">
        <f>P18+R18</f>
        <v/>
      </c>
      <c r="T18" s="2">
        <f>Pool!BN18+Pool!BO18+Pool!BQ18</f>
        <v/>
      </c>
      <c r="U18" s="7">
        <f>IF(OR(Inputs!$B$53=1,Tests!M17=1),1,0)</f>
        <v/>
      </c>
      <c r="V18" s="2">
        <f>D18+E18+F18</f>
        <v/>
      </c>
      <c r="W18" s="2">
        <f>IF(U18=1,MIN(D18,T18),IF(V18&lt;=0,0,MIN(T18,V18)*D18/V18))</f>
        <v/>
      </c>
      <c r="X18" s="2">
        <f>IF(U18=1,MIN(E18,T18-W18),IF(V18&lt;=0,0,MIN(T18,V18)*E18/V18))</f>
        <v/>
      </c>
      <c r="Y18" s="2">
        <f>IF(U18=1,MIN(F18,T18-W18-X18),IF(V18&lt;=0,0,MIN(T18,V18)*F18/V18))</f>
        <v/>
      </c>
      <c r="Z18" s="2">
        <f>T18-W18-X18-Y18</f>
        <v/>
      </c>
      <c r="AA18" s="2">
        <f>D18-W18</f>
        <v/>
      </c>
      <c r="AB18" s="2">
        <f>E18-X18</f>
        <v/>
      </c>
      <c r="AC18" s="2">
        <f>F18-Y18</f>
        <v/>
      </c>
      <c r="AD18" s="2">
        <f>AA18+AB18+AC18</f>
        <v/>
      </c>
      <c r="AE18" s="2">
        <f>MIN(C18,S18)</f>
        <v/>
      </c>
      <c r="AF18" s="2">
        <f>S18-AE18</f>
        <v/>
      </c>
      <c r="AG18" s="2">
        <f>MIN(K18,AF18)</f>
        <v/>
      </c>
      <c r="AH18" s="2">
        <f>AF18-AG18</f>
        <v/>
      </c>
      <c r="AI18" s="2">
        <f>IF(Tests!F18=1,MIN(AH18,AD18),0)</f>
        <v/>
      </c>
      <c r="AJ18" s="2">
        <f>AH18-AI18</f>
        <v/>
      </c>
      <c r="AK18" s="2">
        <f>MIN(M18,AJ18)</f>
        <v/>
      </c>
      <c r="AL18" s="2">
        <f>AJ18-AK18</f>
        <v/>
      </c>
      <c r="AM18" s="2">
        <f>IF(Tests!I18=1,MIN(AL18,AD18-AI18),0)</f>
        <v/>
      </c>
      <c r="AN18" s="2">
        <f>AL18-AM18</f>
        <v/>
      </c>
      <c r="AO18" s="2">
        <f>MIN(O18,AN18)</f>
        <v/>
      </c>
      <c r="AP18" s="2">
        <f>AN18-AO18</f>
        <v/>
      </c>
      <c r="AQ18" s="2">
        <f>IF(Tests!L18=1,MIN(AP18,AD18-AI18-AM18),0)</f>
        <v/>
      </c>
      <c r="AR18" s="2">
        <f>AP18-AQ18</f>
        <v/>
      </c>
      <c r="AS18" s="2">
        <f>MAX(0,AD18-AI18-AM18-AQ18-Pool!BV18)</f>
        <v/>
      </c>
      <c r="AT18" s="2">
        <f>MIN(AR18,AS18)</f>
        <v/>
      </c>
      <c r="AU18" s="2">
        <f>AR18-AT18</f>
        <v/>
      </c>
      <c r="AV18" s="2">
        <f>AI18+AM18+AQ18+AT18</f>
        <v/>
      </c>
      <c r="AW18" s="2">
        <f>MIN(AA18,AV18)</f>
        <v/>
      </c>
      <c r="AX18" s="2">
        <f>MIN(AB18,AV18-AW18)</f>
        <v/>
      </c>
      <c r="AY18" s="2">
        <f>MIN(AC18,AV18-AW18-AX18)</f>
        <v/>
      </c>
      <c r="AZ18" s="2">
        <f>AA18-AW18</f>
        <v/>
      </c>
      <c r="BA18" s="2">
        <f>AB18-AX18</f>
        <v/>
      </c>
      <c r="BB18" s="2">
        <f>AC18-AY18</f>
        <v/>
      </c>
      <c r="BC18" s="2">
        <f>AZ18+BA18+BB18</f>
        <v/>
      </c>
      <c r="BD18" s="2">
        <f>MAX(0,BC18-Pool!BV18)</f>
        <v/>
      </c>
      <c r="BE18" s="2">
        <f>MIN(BB18,BD18)</f>
        <v/>
      </c>
      <c r="BF18" s="2">
        <f>MIN(BA18,BD18-BE18)</f>
        <v/>
      </c>
      <c r="BG18" s="2">
        <f>MIN(AZ18,BD18-BE18-BF18)</f>
        <v/>
      </c>
      <c r="BH18" s="2">
        <f>AZ18-BG18</f>
        <v/>
      </c>
      <c r="BI18" s="2">
        <f>BA18-BF18</f>
        <v/>
      </c>
      <c r="BJ18" s="2">
        <f>BB18-BE18</f>
        <v/>
      </c>
      <c r="BK18" s="7">
        <f>IF(BH18+BI18+BJ18&lt;0.005,1,0)</f>
        <v/>
      </c>
      <c r="BL18" s="2">
        <f>Q18-R18</f>
        <v/>
      </c>
      <c r="BM18" s="2">
        <f>IF(BK18=1,0,MIN(AU18,MAX(0,Inputs!$B$48-BL18)))</f>
        <v/>
      </c>
      <c r="BN18" s="2">
        <f>IF(BK18=1,BL18,0)</f>
        <v/>
      </c>
      <c r="BO18" s="2">
        <f>BL18+BM18-BN18</f>
        <v/>
      </c>
      <c r="BP18" s="2">
        <f>AU18-BM18</f>
        <v/>
      </c>
      <c r="BQ18" s="2">
        <f>BP18+Z18+BN18</f>
        <v/>
      </c>
      <c r="BR18" s="2">
        <f>W18+AW18</f>
        <v/>
      </c>
      <c r="BS18" s="2">
        <f>X18+AX18</f>
        <v/>
      </c>
      <c r="BT18" s="2">
        <f>Y18+AY18</f>
        <v/>
      </c>
      <c r="BU18" s="2">
        <f>AG18+AK18+AO18+BR18+BS18+BT18</f>
        <v/>
      </c>
      <c r="BV18" s="2">
        <f>K18-AG18</f>
        <v/>
      </c>
      <c r="BW18" s="2">
        <f>M18-AK18</f>
        <v/>
      </c>
      <c r="BX18" s="2">
        <f>O18-AO18</f>
        <v/>
      </c>
      <c r="BY18" s="2">
        <f>C18-AE18</f>
        <v/>
      </c>
      <c r="BZ18" s="8">
        <f>AE18+BU18+BQ18+(BO18-Q18)-Pool!BW18</f>
        <v/>
      </c>
    </row>
    <row r="19">
      <c r="A19" s="7" t="n">
        <v>14</v>
      </c>
      <c r="B19" s="2">
        <f>Inputs!$B$51/12*Pool!BK19</f>
        <v/>
      </c>
      <c r="C19" s="2">
        <f>B19+BY18</f>
        <v/>
      </c>
      <c r="D19" s="2">
        <f>BH18</f>
        <v/>
      </c>
      <c r="E19" s="2">
        <f>BI18</f>
        <v/>
      </c>
      <c r="F19" s="2">
        <f>BJ18</f>
        <v/>
      </c>
      <c r="G19" s="3">
        <f>MAX(0,Pool!B19+Inputs!$B$42)</f>
        <v/>
      </c>
      <c r="H19" s="3">
        <f>MAX(0,Pool!B19+Inputs!$B$43)</f>
        <v/>
      </c>
      <c r="I19" s="3">
        <f>Inputs!$B$44</f>
        <v/>
      </c>
      <c r="J19" s="2">
        <f>D19*G19/12</f>
        <v/>
      </c>
      <c r="K19" s="2">
        <f>J19+BV18</f>
        <v/>
      </c>
      <c r="L19" s="2">
        <f>E19*H19/12</f>
        <v/>
      </c>
      <c r="M19" s="2">
        <f>L19+BW18</f>
        <v/>
      </c>
      <c r="N19" s="2">
        <f>F19*I19/12</f>
        <v/>
      </c>
      <c r="O19" s="2">
        <f>N19+BX18</f>
        <v/>
      </c>
      <c r="P19" s="2">
        <f>Pool!BM19</f>
        <v/>
      </c>
      <c r="Q19" s="2">
        <f>BO18</f>
        <v/>
      </c>
      <c r="R19" s="2">
        <f>MIN(Q19,MAX(0,C19+K19+M19-P19))</f>
        <v/>
      </c>
      <c r="S19" s="2">
        <f>P19+R19</f>
        <v/>
      </c>
      <c r="T19" s="2">
        <f>Pool!BN19+Pool!BO19+Pool!BQ19</f>
        <v/>
      </c>
      <c r="U19" s="7">
        <f>IF(OR(Inputs!$B$53=1,Tests!M18=1),1,0)</f>
        <v/>
      </c>
      <c r="V19" s="2">
        <f>D19+E19+F19</f>
        <v/>
      </c>
      <c r="W19" s="2">
        <f>IF(U19=1,MIN(D19,T19),IF(V19&lt;=0,0,MIN(T19,V19)*D19/V19))</f>
        <v/>
      </c>
      <c r="X19" s="2">
        <f>IF(U19=1,MIN(E19,T19-W19),IF(V19&lt;=0,0,MIN(T19,V19)*E19/V19))</f>
        <v/>
      </c>
      <c r="Y19" s="2">
        <f>IF(U19=1,MIN(F19,T19-W19-X19),IF(V19&lt;=0,0,MIN(T19,V19)*F19/V19))</f>
        <v/>
      </c>
      <c r="Z19" s="2">
        <f>T19-W19-X19-Y19</f>
        <v/>
      </c>
      <c r="AA19" s="2">
        <f>D19-W19</f>
        <v/>
      </c>
      <c r="AB19" s="2">
        <f>E19-X19</f>
        <v/>
      </c>
      <c r="AC19" s="2">
        <f>F19-Y19</f>
        <v/>
      </c>
      <c r="AD19" s="2">
        <f>AA19+AB19+AC19</f>
        <v/>
      </c>
      <c r="AE19" s="2">
        <f>MIN(C19,S19)</f>
        <v/>
      </c>
      <c r="AF19" s="2">
        <f>S19-AE19</f>
        <v/>
      </c>
      <c r="AG19" s="2">
        <f>MIN(K19,AF19)</f>
        <v/>
      </c>
      <c r="AH19" s="2">
        <f>AF19-AG19</f>
        <v/>
      </c>
      <c r="AI19" s="2">
        <f>IF(Tests!F19=1,MIN(AH19,AD19),0)</f>
        <v/>
      </c>
      <c r="AJ19" s="2">
        <f>AH19-AI19</f>
        <v/>
      </c>
      <c r="AK19" s="2">
        <f>MIN(M19,AJ19)</f>
        <v/>
      </c>
      <c r="AL19" s="2">
        <f>AJ19-AK19</f>
        <v/>
      </c>
      <c r="AM19" s="2">
        <f>IF(Tests!I19=1,MIN(AL19,AD19-AI19),0)</f>
        <v/>
      </c>
      <c r="AN19" s="2">
        <f>AL19-AM19</f>
        <v/>
      </c>
      <c r="AO19" s="2">
        <f>MIN(O19,AN19)</f>
        <v/>
      </c>
      <c r="AP19" s="2">
        <f>AN19-AO19</f>
        <v/>
      </c>
      <c r="AQ19" s="2">
        <f>IF(Tests!L19=1,MIN(AP19,AD19-AI19-AM19),0)</f>
        <v/>
      </c>
      <c r="AR19" s="2">
        <f>AP19-AQ19</f>
        <v/>
      </c>
      <c r="AS19" s="2">
        <f>MAX(0,AD19-AI19-AM19-AQ19-Pool!BV19)</f>
        <v/>
      </c>
      <c r="AT19" s="2">
        <f>MIN(AR19,AS19)</f>
        <v/>
      </c>
      <c r="AU19" s="2">
        <f>AR19-AT19</f>
        <v/>
      </c>
      <c r="AV19" s="2">
        <f>AI19+AM19+AQ19+AT19</f>
        <v/>
      </c>
      <c r="AW19" s="2">
        <f>MIN(AA19,AV19)</f>
        <v/>
      </c>
      <c r="AX19" s="2">
        <f>MIN(AB19,AV19-AW19)</f>
        <v/>
      </c>
      <c r="AY19" s="2">
        <f>MIN(AC19,AV19-AW19-AX19)</f>
        <v/>
      </c>
      <c r="AZ19" s="2">
        <f>AA19-AW19</f>
        <v/>
      </c>
      <c r="BA19" s="2">
        <f>AB19-AX19</f>
        <v/>
      </c>
      <c r="BB19" s="2">
        <f>AC19-AY19</f>
        <v/>
      </c>
      <c r="BC19" s="2">
        <f>AZ19+BA19+BB19</f>
        <v/>
      </c>
      <c r="BD19" s="2">
        <f>MAX(0,BC19-Pool!BV19)</f>
        <v/>
      </c>
      <c r="BE19" s="2">
        <f>MIN(BB19,BD19)</f>
        <v/>
      </c>
      <c r="BF19" s="2">
        <f>MIN(BA19,BD19-BE19)</f>
        <v/>
      </c>
      <c r="BG19" s="2">
        <f>MIN(AZ19,BD19-BE19-BF19)</f>
        <v/>
      </c>
      <c r="BH19" s="2">
        <f>AZ19-BG19</f>
        <v/>
      </c>
      <c r="BI19" s="2">
        <f>BA19-BF19</f>
        <v/>
      </c>
      <c r="BJ19" s="2">
        <f>BB19-BE19</f>
        <v/>
      </c>
      <c r="BK19" s="7">
        <f>IF(BH19+BI19+BJ19&lt;0.005,1,0)</f>
        <v/>
      </c>
      <c r="BL19" s="2">
        <f>Q19-R19</f>
        <v/>
      </c>
      <c r="BM19" s="2">
        <f>IF(BK19=1,0,MIN(AU19,MAX(0,Inputs!$B$48-BL19)))</f>
        <v/>
      </c>
      <c r="BN19" s="2">
        <f>IF(BK19=1,BL19,0)</f>
        <v/>
      </c>
      <c r="BO19" s="2">
        <f>BL19+BM19-BN19</f>
        <v/>
      </c>
      <c r="BP19" s="2">
        <f>AU19-BM19</f>
        <v/>
      </c>
      <c r="BQ19" s="2">
        <f>BP19+Z19+BN19</f>
        <v/>
      </c>
      <c r="BR19" s="2">
        <f>W19+AW19</f>
        <v/>
      </c>
      <c r="BS19" s="2">
        <f>X19+AX19</f>
        <v/>
      </c>
      <c r="BT19" s="2">
        <f>Y19+AY19</f>
        <v/>
      </c>
      <c r="BU19" s="2">
        <f>AG19+AK19+AO19+BR19+BS19+BT19</f>
        <v/>
      </c>
      <c r="BV19" s="2">
        <f>K19-AG19</f>
        <v/>
      </c>
      <c r="BW19" s="2">
        <f>M19-AK19</f>
        <v/>
      </c>
      <c r="BX19" s="2">
        <f>O19-AO19</f>
        <v/>
      </c>
      <c r="BY19" s="2">
        <f>C19-AE19</f>
        <v/>
      </c>
      <c r="BZ19" s="8">
        <f>AE19+BU19+BQ19+(BO19-Q19)-Pool!BW19</f>
        <v/>
      </c>
    </row>
    <row r="20">
      <c r="A20" s="7" t="n">
        <v>15</v>
      </c>
      <c r="B20" s="2">
        <f>Inputs!$B$51/12*Pool!BK20</f>
        <v/>
      </c>
      <c r="C20" s="2">
        <f>B20+BY19</f>
        <v/>
      </c>
      <c r="D20" s="2">
        <f>BH19</f>
        <v/>
      </c>
      <c r="E20" s="2">
        <f>BI19</f>
        <v/>
      </c>
      <c r="F20" s="2">
        <f>BJ19</f>
        <v/>
      </c>
      <c r="G20" s="3">
        <f>MAX(0,Pool!B20+Inputs!$B$42)</f>
        <v/>
      </c>
      <c r="H20" s="3">
        <f>MAX(0,Pool!B20+Inputs!$B$43)</f>
        <v/>
      </c>
      <c r="I20" s="3">
        <f>Inputs!$B$44</f>
        <v/>
      </c>
      <c r="J20" s="2">
        <f>D20*G20/12</f>
        <v/>
      </c>
      <c r="K20" s="2">
        <f>J20+BV19</f>
        <v/>
      </c>
      <c r="L20" s="2">
        <f>E20*H20/12</f>
        <v/>
      </c>
      <c r="M20" s="2">
        <f>L20+BW19</f>
        <v/>
      </c>
      <c r="N20" s="2">
        <f>F20*I20/12</f>
        <v/>
      </c>
      <c r="O20" s="2">
        <f>N20+BX19</f>
        <v/>
      </c>
      <c r="P20" s="2">
        <f>Pool!BM20</f>
        <v/>
      </c>
      <c r="Q20" s="2">
        <f>BO19</f>
        <v/>
      </c>
      <c r="R20" s="2">
        <f>MIN(Q20,MAX(0,C20+K20+M20-P20))</f>
        <v/>
      </c>
      <c r="S20" s="2">
        <f>P20+R20</f>
        <v/>
      </c>
      <c r="T20" s="2">
        <f>Pool!BN20+Pool!BO20+Pool!BQ20</f>
        <v/>
      </c>
      <c r="U20" s="7">
        <f>IF(OR(Inputs!$B$53=1,Tests!M19=1),1,0)</f>
        <v/>
      </c>
      <c r="V20" s="2">
        <f>D20+E20+F20</f>
        <v/>
      </c>
      <c r="W20" s="2">
        <f>IF(U20=1,MIN(D20,T20),IF(V20&lt;=0,0,MIN(T20,V20)*D20/V20))</f>
        <v/>
      </c>
      <c r="X20" s="2">
        <f>IF(U20=1,MIN(E20,T20-W20),IF(V20&lt;=0,0,MIN(T20,V20)*E20/V20))</f>
        <v/>
      </c>
      <c r="Y20" s="2">
        <f>IF(U20=1,MIN(F20,T20-W20-X20),IF(V20&lt;=0,0,MIN(T20,V20)*F20/V20))</f>
        <v/>
      </c>
      <c r="Z20" s="2">
        <f>T20-W20-X20-Y20</f>
        <v/>
      </c>
      <c r="AA20" s="2">
        <f>D20-W20</f>
        <v/>
      </c>
      <c r="AB20" s="2">
        <f>E20-X20</f>
        <v/>
      </c>
      <c r="AC20" s="2">
        <f>F20-Y20</f>
        <v/>
      </c>
      <c r="AD20" s="2">
        <f>AA20+AB20+AC20</f>
        <v/>
      </c>
      <c r="AE20" s="2">
        <f>MIN(C20,S20)</f>
        <v/>
      </c>
      <c r="AF20" s="2">
        <f>S20-AE20</f>
        <v/>
      </c>
      <c r="AG20" s="2">
        <f>MIN(K20,AF20)</f>
        <v/>
      </c>
      <c r="AH20" s="2">
        <f>AF20-AG20</f>
        <v/>
      </c>
      <c r="AI20" s="2">
        <f>IF(Tests!F20=1,MIN(AH20,AD20),0)</f>
        <v/>
      </c>
      <c r="AJ20" s="2">
        <f>AH20-AI20</f>
        <v/>
      </c>
      <c r="AK20" s="2">
        <f>MIN(M20,AJ20)</f>
        <v/>
      </c>
      <c r="AL20" s="2">
        <f>AJ20-AK20</f>
        <v/>
      </c>
      <c r="AM20" s="2">
        <f>IF(Tests!I20=1,MIN(AL20,AD20-AI20),0)</f>
        <v/>
      </c>
      <c r="AN20" s="2">
        <f>AL20-AM20</f>
        <v/>
      </c>
      <c r="AO20" s="2">
        <f>MIN(O20,AN20)</f>
        <v/>
      </c>
      <c r="AP20" s="2">
        <f>AN20-AO20</f>
        <v/>
      </c>
      <c r="AQ20" s="2">
        <f>IF(Tests!L20=1,MIN(AP20,AD20-AI20-AM20),0)</f>
        <v/>
      </c>
      <c r="AR20" s="2">
        <f>AP20-AQ20</f>
        <v/>
      </c>
      <c r="AS20" s="2">
        <f>MAX(0,AD20-AI20-AM20-AQ20-Pool!BV20)</f>
        <v/>
      </c>
      <c r="AT20" s="2">
        <f>MIN(AR20,AS20)</f>
        <v/>
      </c>
      <c r="AU20" s="2">
        <f>AR20-AT20</f>
        <v/>
      </c>
      <c r="AV20" s="2">
        <f>AI20+AM20+AQ20+AT20</f>
        <v/>
      </c>
      <c r="AW20" s="2">
        <f>MIN(AA20,AV20)</f>
        <v/>
      </c>
      <c r="AX20" s="2">
        <f>MIN(AB20,AV20-AW20)</f>
        <v/>
      </c>
      <c r="AY20" s="2">
        <f>MIN(AC20,AV20-AW20-AX20)</f>
        <v/>
      </c>
      <c r="AZ20" s="2">
        <f>AA20-AW20</f>
        <v/>
      </c>
      <c r="BA20" s="2">
        <f>AB20-AX20</f>
        <v/>
      </c>
      <c r="BB20" s="2">
        <f>AC20-AY20</f>
        <v/>
      </c>
      <c r="BC20" s="2">
        <f>AZ20+BA20+BB20</f>
        <v/>
      </c>
      <c r="BD20" s="2">
        <f>MAX(0,BC20-Pool!BV20)</f>
        <v/>
      </c>
      <c r="BE20" s="2">
        <f>MIN(BB20,BD20)</f>
        <v/>
      </c>
      <c r="BF20" s="2">
        <f>MIN(BA20,BD20-BE20)</f>
        <v/>
      </c>
      <c r="BG20" s="2">
        <f>MIN(AZ20,BD20-BE20-BF20)</f>
        <v/>
      </c>
      <c r="BH20" s="2">
        <f>AZ20-BG20</f>
        <v/>
      </c>
      <c r="BI20" s="2">
        <f>BA20-BF20</f>
        <v/>
      </c>
      <c r="BJ20" s="2">
        <f>BB20-BE20</f>
        <v/>
      </c>
      <c r="BK20" s="7">
        <f>IF(BH20+BI20+BJ20&lt;0.005,1,0)</f>
        <v/>
      </c>
      <c r="BL20" s="2">
        <f>Q20-R20</f>
        <v/>
      </c>
      <c r="BM20" s="2">
        <f>IF(BK20=1,0,MIN(AU20,MAX(0,Inputs!$B$48-BL20)))</f>
        <v/>
      </c>
      <c r="BN20" s="2">
        <f>IF(BK20=1,BL20,0)</f>
        <v/>
      </c>
      <c r="BO20" s="2">
        <f>BL20+BM20-BN20</f>
        <v/>
      </c>
      <c r="BP20" s="2">
        <f>AU20-BM20</f>
        <v/>
      </c>
      <c r="BQ20" s="2">
        <f>BP20+Z20+BN20</f>
        <v/>
      </c>
      <c r="BR20" s="2">
        <f>W20+AW20</f>
        <v/>
      </c>
      <c r="BS20" s="2">
        <f>X20+AX20</f>
        <v/>
      </c>
      <c r="BT20" s="2">
        <f>Y20+AY20</f>
        <v/>
      </c>
      <c r="BU20" s="2">
        <f>AG20+AK20+AO20+BR20+BS20+BT20</f>
        <v/>
      </c>
      <c r="BV20" s="2">
        <f>K20-AG20</f>
        <v/>
      </c>
      <c r="BW20" s="2">
        <f>M20-AK20</f>
        <v/>
      </c>
      <c r="BX20" s="2">
        <f>O20-AO20</f>
        <v/>
      </c>
      <c r="BY20" s="2">
        <f>C20-AE20</f>
        <v/>
      </c>
      <c r="BZ20" s="8">
        <f>AE20+BU20+BQ20+(BO20-Q20)-Pool!BW20</f>
        <v/>
      </c>
    </row>
    <row r="21">
      <c r="A21" s="7" t="n">
        <v>16</v>
      </c>
      <c r="B21" s="2">
        <f>Inputs!$B$51/12*Pool!BK21</f>
        <v/>
      </c>
      <c r="C21" s="2">
        <f>B21+BY20</f>
        <v/>
      </c>
      <c r="D21" s="2">
        <f>BH20</f>
        <v/>
      </c>
      <c r="E21" s="2">
        <f>BI20</f>
        <v/>
      </c>
      <c r="F21" s="2">
        <f>BJ20</f>
        <v/>
      </c>
      <c r="G21" s="3">
        <f>MAX(0,Pool!B21+Inputs!$B$42)</f>
        <v/>
      </c>
      <c r="H21" s="3">
        <f>MAX(0,Pool!B21+Inputs!$B$43)</f>
        <v/>
      </c>
      <c r="I21" s="3">
        <f>Inputs!$B$44</f>
        <v/>
      </c>
      <c r="J21" s="2">
        <f>D21*G21/12</f>
        <v/>
      </c>
      <c r="K21" s="2">
        <f>J21+BV20</f>
        <v/>
      </c>
      <c r="L21" s="2">
        <f>E21*H21/12</f>
        <v/>
      </c>
      <c r="M21" s="2">
        <f>L21+BW20</f>
        <v/>
      </c>
      <c r="N21" s="2">
        <f>F21*I21/12</f>
        <v/>
      </c>
      <c r="O21" s="2">
        <f>N21+BX20</f>
        <v/>
      </c>
      <c r="P21" s="2">
        <f>Pool!BM21</f>
        <v/>
      </c>
      <c r="Q21" s="2">
        <f>BO20</f>
        <v/>
      </c>
      <c r="R21" s="2">
        <f>MIN(Q21,MAX(0,C21+K21+M21-P21))</f>
        <v/>
      </c>
      <c r="S21" s="2">
        <f>P21+R21</f>
        <v/>
      </c>
      <c r="T21" s="2">
        <f>Pool!BN21+Pool!BO21+Pool!BQ21</f>
        <v/>
      </c>
      <c r="U21" s="7">
        <f>IF(OR(Inputs!$B$53=1,Tests!M20=1),1,0)</f>
        <v/>
      </c>
      <c r="V21" s="2">
        <f>D21+E21+F21</f>
        <v/>
      </c>
      <c r="W21" s="2">
        <f>IF(U21=1,MIN(D21,T21),IF(V21&lt;=0,0,MIN(T21,V21)*D21/V21))</f>
        <v/>
      </c>
      <c r="X21" s="2">
        <f>IF(U21=1,MIN(E21,T21-W21),IF(V21&lt;=0,0,MIN(T21,V21)*E21/V21))</f>
        <v/>
      </c>
      <c r="Y21" s="2">
        <f>IF(U21=1,MIN(F21,T21-W21-X21),IF(V21&lt;=0,0,MIN(T21,V21)*F21/V21))</f>
        <v/>
      </c>
      <c r="Z21" s="2">
        <f>T21-W21-X21-Y21</f>
        <v/>
      </c>
      <c r="AA21" s="2">
        <f>D21-W21</f>
        <v/>
      </c>
      <c r="AB21" s="2">
        <f>E21-X21</f>
        <v/>
      </c>
      <c r="AC21" s="2">
        <f>F21-Y21</f>
        <v/>
      </c>
      <c r="AD21" s="2">
        <f>AA21+AB21+AC21</f>
        <v/>
      </c>
      <c r="AE21" s="2">
        <f>MIN(C21,S21)</f>
        <v/>
      </c>
      <c r="AF21" s="2">
        <f>S21-AE21</f>
        <v/>
      </c>
      <c r="AG21" s="2">
        <f>MIN(K21,AF21)</f>
        <v/>
      </c>
      <c r="AH21" s="2">
        <f>AF21-AG21</f>
        <v/>
      </c>
      <c r="AI21" s="2">
        <f>IF(Tests!F21=1,MIN(AH21,AD21),0)</f>
        <v/>
      </c>
      <c r="AJ21" s="2">
        <f>AH21-AI21</f>
        <v/>
      </c>
      <c r="AK21" s="2">
        <f>MIN(M21,AJ21)</f>
        <v/>
      </c>
      <c r="AL21" s="2">
        <f>AJ21-AK21</f>
        <v/>
      </c>
      <c r="AM21" s="2">
        <f>IF(Tests!I21=1,MIN(AL21,AD21-AI21),0)</f>
        <v/>
      </c>
      <c r="AN21" s="2">
        <f>AL21-AM21</f>
        <v/>
      </c>
      <c r="AO21" s="2">
        <f>MIN(O21,AN21)</f>
        <v/>
      </c>
      <c r="AP21" s="2">
        <f>AN21-AO21</f>
        <v/>
      </c>
      <c r="AQ21" s="2">
        <f>IF(Tests!L21=1,MIN(AP21,AD21-AI21-AM21),0)</f>
        <v/>
      </c>
      <c r="AR21" s="2">
        <f>AP21-AQ21</f>
        <v/>
      </c>
      <c r="AS21" s="2">
        <f>MAX(0,AD21-AI21-AM21-AQ21-Pool!BV21)</f>
        <v/>
      </c>
      <c r="AT21" s="2">
        <f>MIN(AR21,AS21)</f>
        <v/>
      </c>
      <c r="AU21" s="2">
        <f>AR21-AT21</f>
        <v/>
      </c>
      <c r="AV21" s="2">
        <f>AI21+AM21+AQ21+AT21</f>
        <v/>
      </c>
      <c r="AW21" s="2">
        <f>MIN(AA21,AV21)</f>
        <v/>
      </c>
      <c r="AX21" s="2">
        <f>MIN(AB21,AV21-AW21)</f>
        <v/>
      </c>
      <c r="AY21" s="2">
        <f>MIN(AC21,AV21-AW21-AX21)</f>
        <v/>
      </c>
      <c r="AZ21" s="2">
        <f>AA21-AW21</f>
        <v/>
      </c>
      <c r="BA21" s="2">
        <f>AB21-AX21</f>
        <v/>
      </c>
      <c r="BB21" s="2">
        <f>AC21-AY21</f>
        <v/>
      </c>
      <c r="BC21" s="2">
        <f>AZ21+BA21+BB21</f>
        <v/>
      </c>
      <c r="BD21" s="2">
        <f>MAX(0,BC21-Pool!BV21)</f>
        <v/>
      </c>
      <c r="BE21" s="2">
        <f>MIN(BB21,BD21)</f>
        <v/>
      </c>
      <c r="BF21" s="2">
        <f>MIN(BA21,BD21-BE21)</f>
        <v/>
      </c>
      <c r="BG21" s="2">
        <f>MIN(AZ21,BD21-BE21-BF21)</f>
        <v/>
      </c>
      <c r="BH21" s="2">
        <f>AZ21-BG21</f>
        <v/>
      </c>
      <c r="BI21" s="2">
        <f>BA21-BF21</f>
        <v/>
      </c>
      <c r="BJ21" s="2">
        <f>BB21-BE21</f>
        <v/>
      </c>
      <c r="BK21" s="7">
        <f>IF(BH21+BI21+BJ21&lt;0.005,1,0)</f>
        <v/>
      </c>
      <c r="BL21" s="2">
        <f>Q21-R21</f>
        <v/>
      </c>
      <c r="BM21" s="2">
        <f>IF(BK21=1,0,MIN(AU21,MAX(0,Inputs!$B$48-BL21)))</f>
        <v/>
      </c>
      <c r="BN21" s="2">
        <f>IF(BK21=1,BL21,0)</f>
        <v/>
      </c>
      <c r="BO21" s="2">
        <f>BL21+BM21-BN21</f>
        <v/>
      </c>
      <c r="BP21" s="2">
        <f>AU21-BM21</f>
        <v/>
      </c>
      <c r="BQ21" s="2">
        <f>BP21+Z21+BN21</f>
        <v/>
      </c>
      <c r="BR21" s="2">
        <f>W21+AW21</f>
        <v/>
      </c>
      <c r="BS21" s="2">
        <f>X21+AX21</f>
        <v/>
      </c>
      <c r="BT21" s="2">
        <f>Y21+AY21</f>
        <v/>
      </c>
      <c r="BU21" s="2">
        <f>AG21+AK21+AO21+BR21+BS21+BT21</f>
        <v/>
      </c>
      <c r="BV21" s="2">
        <f>K21-AG21</f>
        <v/>
      </c>
      <c r="BW21" s="2">
        <f>M21-AK21</f>
        <v/>
      </c>
      <c r="BX21" s="2">
        <f>O21-AO21</f>
        <v/>
      </c>
      <c r="BY21" s="2">
        <f>C21-AE21</f>
        <v/>
      </c>
      <c r="BZ21" s="8">
        <f>AE21+BU21+BQ21+(BO21-Q21)-Pool!BW21</f>
        <v/>
      </c>
    </row>
    <row r="22">
      <c r="A22" s="7" t="n">
        <v>17</v>
      </c>
      <c r="B22" s="2">
        <f>Inputs!$B$51/12*Pool!BK22</f>
        <v/>
      </c>
      <c r="C22" s="2">
        <f>B22+BY21</f>
        <v/>
      </c>
      <c r="D22" s="2">
        <f>BH21</f>
        <v/>
      </c>
      <c r="E22" s="2">
        <f>BI21</f>
        <v/>
      </c>
      <c r="F22" s="2">
        <f>BJ21</f>
        <v/>
      </c>
      <c r="G22" s="3">
        <f>MAX(0,Pool!B22+Inputs!$B$42)</f>
        <v/>
      </c>
      <c r="H22" s="3">
        <f>MAX(0,Pool!B22+Inputs!$B$43)</f>
        <v/>
      </c>
      <c r="I22" s="3">
        <f>Inputs!$B$44</f>
        <v/>
      </c>
      <c r="J22" s="2">
        <f>D22*G22/12</f>
        <v/>
      </c>
      <c r="K22" s="2">
        <f>J22+BV21</f>
        <v/>
      </c>
      <c r="L22" s="2">
        <f>E22*H22/12</f>
        <v/>
      </c>
      <c r="M22" s="2">
        <f>L22+BW21</f>
        <v/>
      </c>
      <c r="N22" s="2">
        <f>F22*I22/12</f>
        <v/>
      </c>
      <c r="O22" s="2">
        <f>N22+BX21</f>
        <v/>
      </c>
      <c r="P22" s="2">
        <f>Pool!BM22</f>
        <v/>
      </c>
      <c r="Q22" s="2">
        <f>BO21</f>
        <v/>
      </c>
      <c r="R22" s="2">
        <f>MIN(Q22,MAX(0,C22+K22+M22-P22))</f>
        <v/>
      </c>
      <c r="S22" s="2">
        <f>P22+R22</f>
        <v/>
      </c>
      <c r="T22" s="2">
        <f>Pool!BN22+Pool!BO22+Pool!BQ22</f>
        <v/>
      </c>
      <c r="U22" s="7">
        <f>IF(OR(Inputs!$B$53=1,Tests!M21=1),1,0)</f>
        <v/>
      </c>
      <c r="V22" s="2">
        <f>D22+E22+F22</f>
        <v/>
      </c>
      <c r="W22" s="2">
        <f>IF(U22=1,MIN(D22,T22),IF(V22&lt;=0,0,MIN(T22,V22)*D22/V22))</f>
        <v/>
      </c>
      <c r="X22" s="2">
        <f>IF(U22=1,MIN(E22,T22-W22),IF(V22&lt;=0,0,MIN(T22,V22)*E22/V22))</f>
        <v/>
      </c>
      <c r="Y22" s="2">
        <f>IF(U22=1,MIN(F22,T22-W22-X22),IF(V22&lt;=0,0,MIN(T22,V22)*F22/V22))</f>
        <v/>
      </c>
      <c r="Z22" s="2">
        <f>T22-W22-X22-Y22</f>
        <v/>
      </c>
      <c r="AA22" s="2">
        <f>D22-W22</f>
        <v/>
      </c>
      <c r="AB22" s="2">
        <f>E22-X22</f>
        <v/>
      </c>
      <c r="AC22" s="2">
        <f>F22-Y22</f>
        <v/>
      </c>
      <c r="AD22" s="2">
        <f>AA22+AB22+AC22</f>
        <v/>
      </c>
      <c r="AE22" s="2">
        <f>MIN(C22,S22)</f>
        <v/>
      </c>
      <c r="AF22" s="2">
        <f>S22-AE22</f>
        <v/>
      </c>
      <c r="AG22" s="2">
        <f>MIN(K22,AF22)</f>
        <v/>
      </c>
      <c r="AH22" s="2">
        <f>AF22-AG22</f>
        <v/>
      </c>
      <c r="AI22" s="2">
        <f>IF(Tests!F22=1,MIN(AH22,AD22),0)</f>
        <v/>
      </c>
      <c r="AJ22" s="2">
        <f>AH22-AI22</f>
        <v/>
      </c>
      <c r="AK22" s="2">
        <f>MIN(M22,AJ22)</f>
        <v/>
      </c>
      <c r="AL22" s="2">
        <f>AJ22-AK22</f>
        <v/>
      </c>
      <c r="AM22" s="2">
        <f>IF(Tests!I22=1,MIN(AL22,AD22-AI22),0)</f>
        <v/>
      </c>
      <c r="AN22" s="2">
        <f>AL22-AM22</f>
        <v/>
      </c>
      <c r="AO22" s="2">
        <f>MIN(O22,AN22)</f>
        <v/>
      </c>
      <c r="AP22" s="2">
        <f>AN22-AO22</f>
        <v/>
      </c>
      <c r="AQ22" s="2">
        <f>IF(Tests!L22=1,MIN(AP22,AD22-AI22-AM22),0)</f>
        <v/>
      </c>
      <c r="AR22" s="2">
        <f>AP22-AQ22</f>
        <v/>
      </c>
      <c r="AS22" s="2">
        <f>MAX(0,AD22-AI22-AM22-AQ22-Pool!BV22)</f>
        <v/>
      </c>
      <c r="AT22" s="2">
        <f>MIN(AR22,AS22)</f>
        <v/>
      </c>
      <c r="AU22" s="2">
        <f>AR22-AT22</f>
        <v/>
      </c>
      <c r="AV22" s="2">
        <f>AI22+AM22+AQ22+AT22</f>
        <v/>
      </c>
      <c r="AW22" s="2">
        <f>MIN(AA22,AV22)</f>
        <v/>
      </c>
      <c r="AX22" s="2">
        <f>MIN(AB22,AV22-AW22)</f>
        <v/>
      </c>
      <c r="AY22" s="2">
        <f>MIN(AC22,AV22-AW22-AX22)</f>
        <v/>
      </c>
      <c r="AZ22" s="2">
        <f>AA22-AW22</f>
        <v/>
      </c>
      <c r="BA22" s="2">
        <f>AB22-AX22</f>
        <v/>
      </c>
      <c r="BB22" s="2">
        <f>AC22-AY22</f>
        <v/>
      </c>
      <c r="BC22" s="2">
        <f>AZ22+BA22+BB22</f>
        <v/>
      </c>
      <c r="BD22" s="2">
        <f>MAX(0,BC22-Pool!BV22)</f>
        <v/>
      </c>
      <c r="BE22" s="2">
        <f>MIN(BB22,BD22)</f>
        <v/>
      </c>
      <c r="BF22" s="2">
        <f>MIN(BA22,BD22-BE22)</f>
        <v/>
      </c>
      <c r="BG22" s="2">
        <f>MIN(AZ22,BD22-BE22-BF22)</f>
        <v/>
      </c>
      <c r="BH22" s="2">
        <f>AZ22-BG22</f>
        <v/>
      </c>
      <c r="BI22" s="2">
        <f>BA22-BF22</f>
        <v/>
      </c>
      <c r="BJ22" s="2">
        <f>BB22-BE22</f>
        <v/>
      </c>
      <c r="BK22" s="7">
        <f>IF(BH22+BI22+BJ22&lt;0.005,1,0)</f>
        <v/>
      </c>
      <c r="BL22" s="2">
        <f>Q22-R22</f>
        <v/>
      </c>
      <c r="BM22" s="2">
        <f>IF(BK22=1,0,MIN(AU22,MAX(0,Inputs!$B$48-BL22)))</f>
        <v/>
      </c>
      <c r="BN22" s="2">
        <f>IF(BK22=1,BL22,0)</f>
        <v/>
      </c>
      <c r="BO22" s="2">
        <f>BL22+BM22-BN22</f>
        <v/>
      </c>
      <c r="BP22" s="2">
        <f>AU22-BM22</f>
        <v/>
      </c>
      <c r="BQ22" s="2">
        <f>BP22+Z22+BN22</f>
        <v/>
      </c>
      <c r="BR22" s="2">
        <f>W22+AW22</f>
        <v/>
      </c>
      <c r="BS22" s="2">
        <f>X22+AX22</f>
        <v/>
      </c>
      <c r="BT22" s="2">
        <f>Y22+AY22</f>
        <v/>
      </c>
      <c r="BU22" s="2">
        <f>AG22+AK22+AO22+BR22+BS22+BT22</f>
        <v/>
      </c>
      <c r="BV22" s="2">
        <f>K22-AG22</f>
        <v/>
      </c>
      <c r="BW22" s="2">
        <f>M22-AK22</f>
        <v/>
      </c>
      <c r="BX22" s="2">
        <f>O22-AO22</f>
        <v/>
      </c>
      <c r="BY22" s="2">
        <f>C22-AE22</f>
        <v/>
      </c>
      <c r="BZ22" s="8">
        <f>AE22+BU22+BQ22+(BO22-Q22)-Pool!BW22</f>
        <v/>
      </c>
    </row>
    <row r="23">
      <c r="A23" s="7" t="n">
        <v>18</v>
      </c>
      <c r="B23" s="2">
        <f>Inputs!$B$51/12*Pool!BK23</f>
        <v/>
      </c>
      <c r="C23" s="2">
        <f>B23+BY22</f>
        <v/>
      </c>
      <c r="D23" s="2">
        <f>BH22</f>
        <v/>
      </c>
      <c r="E23" s="2">
        <f>BI22</f>
        <v/>
      </c>
      <c r="F23" s="2">
        <f>BJ22</f>
        <v/>
      </c>
      <c r="G23" s="3">
        <f>MAX(0,Pool!B23+Inputs!$B$42)</f>
        <v/>
      </c>
      <c r="H23" s="3">
        <f>MAX(0,Pool!B23+Inputs!$B$43)</f>
        <v/>
      </c>
      <c r="I23" s="3">
        <f>Inputs!$B$44</f>
        <v/>
      </c>
      <c r="J23" s="2">
        <f>D23*G23/12</f>
        <v/>
      </c>
      <c r="K23" s="2">
        <f>J23+BV22</f>
        <v/>
      </c>
      <c r="L23" s="2">
        <f>E23*H23/12</f>
        <v/>
      </c>
      <c r="M23" s="2">
        <f>L23+BW22</f>
        <v/>
      </c>
      <c r="N23" s="2">
        <f>F23*I23/12</f>
        <v/>
      </c>
      <c r="O23" s="2">
        <f>N23+BX22</f>
        <v/>
      </c>
      <c r="P23" s="2">
        <f>Pool!BM23</f>
        <v/>
      </c>
      <c r="Q23" s="2">
        <f>BO22</f>
        <v/>
      </c>
      <c r="R23" s="2">
        <f>MIN(Q23,MAX(0,C23+K23+M23-P23))</f>
        <v/>
      </c>
      <c r="S23" s="2">
        <f>P23+R23</f>
        <v/>
      </c>
      <c r="T23" s="2">
        <f>Pool!BN23+Pool!BO23+Pool!BQ23</f>
        <v/>
      </c>
      <c r="U23" s="7">
        <f>IF(OR(Inputs!$B$53=1,Tests!M22=1),1,0)</f>
        <v/>
      </c>
      <c r="V23" s="2">
        <f>D23+E23+F23</f>
        <v/>
      </c>
      <c r="W23" s="2">
        <f>IF(U23=1,MIN(D23,T23),IF(V23&lt;=0,0,MIN(T23,V23)*D23/V23))</f>
        <v/>
      </c>
      <c r="X23" s="2">
        <f>IF(U23=1,MIN(E23,T23-W23),IF(V23&lt;=0,0,MIN(T23,V23)*E23/V23))</f>
        <v/>
      </c>
      <c r="Y23" s="2">
        <f>IF(U23=1,MIN(F23,T23-W23-X23),IF(V23&lt;=0,0,MIN(T23,V23)*F23/V23))</f>
        <v/>
      </c>
      <c r="Z23" s="2">
        <f>T23-W23-X23-Y23</f>
        <v/>
      </c>
      <c r="AA23" s="2">
        <f>D23-W23</f>
        <v/>
      </c>
      <c r="AB23" s="2">
        <f>E23-X23</f>
        <v/>
      </c>
      <c r="AC23" s="2">
        <f>F23-Y23</f>
        <v/>
      </c>
      <c r="AD23" s="2">
        <f>AA23+AB23+AC23</f>
        <v/>
      </c>
      <c r="AE23" s="2">
        <f>MIN(C23,S23)</f>
        <v/>
      </c>
      <c r="AF23" s="2">
        <f>S23-AE23</f>
        <v/>
      </c>
      <c r="AG23" s="2">
        <f>MIN(K23,AF23)</f>
        <v/>
      </c>
      <c r="AH23" s="2">
        <f>AF23-AG23</f>
        <v/>
      </c>
      <c r="AI23" s="2">
        <f>IF(Tests!F23=1,MIN(AH23,AD23),0)</f>
        <v/>
      </c>
      <c r="AJ23" s="2">
        <f>AH23-AI23</f>
        <v/>
      </c>
      <c r="AK23" s="2">
        <f>MIN(M23,AJ23)</f>
        <v/>
      </c>
      <c r="AL23" s="2">
        <f>AJ23-AK23</f>
        <v/>
      </c>
      <c r="AM23" s="2">
        <f>IF(Tests!I23=1,MIN(AL23,AD23-AI23),0)</f>
        <v/>
      </c>
      <c r="AN23" s="2">
        <f>AL23-AM23</f>
        <v/>
      </c>
      <c r="AO23" s="2">
        <f>MIN(O23,AN23)</f>
        <v/>
      </c>
      <c r="AP23" s="2">
        <f>AN23-AO23</f>
        <v/>
      </c>
      <c r="AQ23" s="2">
        <f>IF(Tests!L23=1,MIN(AP23,AD23-AI23-AM23),0)</f>
        <v/>
      </c>
      <c r="AR23" s="2">
        <f>AP23-AQ23</f>
        <v/>
      </c>
      <c r="AS23" s="2">
        <f>MAX(0,AD23-AI23-AM23-AQ23-Pool!BV23)</f>
        <v/>
      </c>
      <c r="AT23" s="2">
        <f>MIN(AR23,AS23)</f>
        <v/>
      </c>
      <c r="AU23" s="2">
        <f>AR23-AT23</f>
        <v/>
      </c>
      <c r="AV23" s="2">
        <f>AI23+AM23+AQ23+AT23</f>
        <v/>
      </c>
      <c r="AW23" s="2">
        <f>MIN(AA23,AV23)</f>
        <v/>
      </c>
      <c r="AX23" s="2">
        <f>MIN(AB23,AV23-AW23)</f>
        <v/>
      </c>
      <c r="AY23" s="2">
        <f>MIN(AC23,AV23-AW23-AX23)</f>
        <v/>
      </c>
      <c r="AZ23" s="2">
        <f>AA23-AW23</f>
        <v/>
      </c>
      <c r="BA23" s="2">
        <f>AB23-AX23</f>
        <v/>
      </c>
      <c r="BB23" s="2">
        <f>AC23-AY23</f>
        <v/>
      </c>
      <c r="BC23" s="2">
        <f>AZ23+BA23+BB23</f>
        <v/>
      </c>
      <c r="BD23" s="2">
        <f>MAX(0,BC23-Pool!BV23)</f>
        <v/>
      </c>
      <c r="BE23" s="2">
        <f>MIN(BB23,BD23)</f>
        <v/>
      </c>
      <c r="BF23" s="2">
        <f>MIN(BA23,BD23-BE23)</f>
        <v/>
      </c>
      <c r="BG23" s="2">
        <f>MIN(AZ23,BD23-BE23-BF23)</f>
        <v/>
      </c>
      <c r="BH23" s="2">
        <f>AZ23-BG23</f>
        <v/>
      </c>
      <c r="BI23" s="2">
        <f>BA23-BF23</f>
        <v/>
      </c>
      <c r="BJ23" s="2">
        <f>BB23-BE23</f>
        <v/>
      </c>
      <c r="BK23" s="7">
        <f>IF(BH23+BI23+BJ23&lt;0.005,1,0)</f>
        <v/>
      </c>
      <c r="BL23" s="2">
        <f>Q23-R23</f>
        <v/>
      </c>
      <c r="BM23" s="2">
        <f>IF(BK23=1,0,MIN(AU23,MAX(0,Inputs!$B$48-BL23)))</f>
        <v/>
      </c>
      <c r="BN23" s="2">
        <f>IF(BK23=1,BL23,0)</f>
        <v/>
      </c>
      <c r="BO23" s="2">
        <f>BL23+BM23-BN23</f>
        <v/>
      </c>
      <c r="BP23" s="2">
        <f>AU23-BM23</f>
        <v/>
      </c>
      <c r="BQ23" s="2">
        <f>BP23+Z23+BN23</f>
        <v/>
      </c>
      <c r="BR23" s="2">
        <f>W23+AW23</f>
        <v/>
      </c>
      <c r="BS23" s="2">
        <f>X23+AX23</f>
        <v/>
      </c>
      <c r="BT23" s="2">
        <f>Y23+AY23</f>
        <v/>
      </c>
      <c r="BU23" s="2">
        <f>AG23+AK23+AO23+BR23+BS23+BT23</f>
        <v/>
      </c>
      <c r="BV23" s="2">
        <f>K23-AG23</f>
        <v/>
      </c>
      <c r="BW23" s="2">
        <f>M23-AK23</f>
        <v/>
      </c>
      <c r="BX23" s="2">
        <f>O23-AO23</f>
        <v/>
      </c>
      <c r="BY23" s="2">
        <f>C23-AE23</f>
        <v/>
      </c>
      <c r="BZ23" s="8">
        <f>AE23+BU23+BQ23+(BO23-Q23)-Pool!BW23</f>
        <v/>
      </c>
    </row>
    <row r="24">
      <c r="A24" s="7" t="n">
        <v>19</v>
      </c>
      <c r="B24" s="2">
        <f>Inputs!$B$51/12*Pool!BK24</f>
        <v/>
      </c>
      <c r="C24" s="2">
        <f>B24+BY23</f>
        <v/>
      </c>
      <c r="D24" s="2">
        <f>BH23</f>
        <v/>
      </c>
      <c r="E24" s="2">
        <f>BI23</f>
        <v/>
      </c>
      <c r="F24" s="2">
        <f>BJ23</f>
        <v/>
      </c>
      <c r="G24" s="3">
        <f>MAX(0,Pool!B24+Inputs!$B$42)</f>
        <v/>
      </c>
      <c r="H24" s="3">
        <f>MAX(0,Pool!B24+Inputs!$B$43)</f>
        <v/>
      </c>
      <c r="I24" s="3">
        <f>Inputs!$B$44</f>
        <v/>
      </c>
      <c r="J24" s="2">
        <f>D24*G24/12</f>
        <v/>
      </c>
      <c r="K24" s="2">
        <f>J24+BV23</f>
        <v/>
      </c>
      <c r="L24" s="2">
        <f>E24*H24/12</f>
        <v/>
      </c>
      <c r="M24" s="2">
        <f>L24+BW23</f>
        <v/>
      </c>
      <c r="N24" s="2">
        <f>F24*I24/12</f>
        <v/>
      </c>
      <c r="O24" s="2">
        <f>N24+BX23</f>
        <v/>
      </c>
      <c r="P24" s="2">
        <f>Pool!BM24</f>
        <v/>
      </c>
      <c r="Q24" s="2">
        <f>BO23</f>
        <v/>
      </c>
      <c r="R24" s="2">
        <f>MIN(Q24,MAX(0,C24+K24+M24-P24))</f>
        <v/>
      </c>
      <c r="S24" s="2">
        <f>P24+R24</f>
        <v/>
      </c>
      <c r="T24" s="2">
        <f>Pool!BN24+Pool!BO24+Pool!BQ24</f>
        <v/>
      </c>
      <c r="U24" s="7">
        <f>IF(OR(Inputs!$B$53=1,Tests!M23=1),1,0)</f>
        <v/>
      </c>
      <c r="V24" s="2">
        <f>D24+E24+F24</f>
        <v/>
      </c>
      <c r="W24" s="2">
        <f>IF(U24=1,MIN(D24,T24),IF(V24&lt;=0,0,MIN(T24,V24)*D24/V24))</f>
        <v/>
      </c>
      <c r="X24" s="2">
        <f>IF(U24=1,MIN(E24,T24-W24),IF(V24&lt;=0,0,MIN(T24,V24)*E24/V24))</f>
        <v/>
      </c>
      <c r="Y24" s="2">
        <f>IF(U24=1,MIN(F24,T24-W24-X24),IF(V24&lt;=0,0,MIN(T24,V24)*F24/V24))</f>
        <v/>
      </c>
      <c r="Z24" s="2">
        <f>T24-W24-X24-Y24</f>
        <v/>
      </c>
      <c r="AA24" s="2">
        <f>D24-W24</f>
        <v/>
      </c>
      <c r="AB24" s="2">
        <f>E24-X24</f>
        <v/>
      </c>
      <c r="AC24" s="2">
        <f>F24-Y24</f>
        <v/>
      </c>
      <c r="AD24" s="2">
        <f>AA24+AB24+AC24</f>
        <v/>
      </c>
      <c r="AE24" s="2">
        <f>MIN(C24,S24)</f>
        <v/>
      </c>
      <c r="AF24" s="2">
        <f>S24-AE24</f>
        <v/>
      </c>
      <c r="AG24" s="2">
        <f>MIN(K24,AF24)</f>
        <v/>
      </c>
      <c r="AH24" s="2">
        <f>AF24-AG24</f>
        <v/>
      </c>
      <c r="AI24" s="2">
        <f>IF(Tests!F24=1,MIN(AH24,AD24),0)</f>
        <v/>
      </c>
      <c r="AJ24" s="2">
        <f>AH24-AI24</f>
        <v/>
      </c>
      <c r="AK24" s="2">
        <f>MIN(M24,AJ24)</f>
        <v/>
      </c>
      <c r="AL24" s="2">
        <f>AJ24-AK24</f>
        <v/>
      </c>
      <c r="AM24" s="2">
        <f>IF(Tests!I24=1,MIN(AL24,AD24-AI24),0)</f>
        <v/>
      </c>
      <c r="AN24" s="2">
        <f>AL24-AM24</f>
        <v/>
      </c>
      <c r="AO24" s="2">
        <f>MIN(O24,AN24)</f>
        <v/>
      </c>
      <c r="AP24" s="2">
        <f>AN24-AO24</f>
        <v/>
      </c>
      <c r="AQ24" s="2">
        <f>IF(Tests!L24=1,MIN(AP24,AD24-AI24-AM24),0)</f>
        <v/>
      </c>
      <c r="AR24" s="2">
        <f>AP24-AQ24</f>
        <v/>
      </c>
      <c r="AS24" s="2">
        <f>MAX(0,AD24-AI24-AM24-AQ24-Pool!BV24)</f>
        <v/>
      </c>
      <c r="AT24" s="2">
        <f>MIN(AR24,AS24)</f>
        <v/>
      </c>
      <c r="AU24" s="2">
        <f>AR24-AT24</f>
        <v/>
      </c>
      <c r="AV24" s="2">
        <f>AI24+AM24+AQ24+AT24</f>
        <v/>
      </c>
      <c r="AW24" s="2">
        <f>MIN(AA24,AV24)</f>
        <v/>
      </c>
      <c r="AX24" s="2">
        <f>MIN(AB24,AV24-AW24)</f>
        <v/>
      </c>
      <c r="AY24" s="2">
        <f>MIN(AC24,AV24-AW24-AX24)</f>
        <v/>
      </c>
      <c r="AZ24" s="2">
        <f>AA24-AW24</f>
        <v/>
      </c>
      <c r="BA24" s="2">
        <f>AB24-AX24</f>
        <v/>
      </c>
      <c r="BB24" s="2">
        <f>AC24-AY24</f>
        <v/>
      </c>
      <c r="BC24" s="2">
        <f>AZ24+BA24+BB24</f>
        <v/>
      </c>
      <c r="BD24" s="2">
        <f>MAX(0,BC24-Pool!BV24)</f>
        <v/>
      </c>
      <c r="BE24" s="2">
        <f>MIN(BB24,BD24)</f>
        <v/>
      </c>
      <c r="BF24" s="2">
        <f>MIN(BA24,BD24-BE24)</f>
        <v/>
      </c>
      <c r="BG24" s="2">
        <f>MIN(AZ24,BD24-BE24-BF24)</f>
        <v/>
      </c>
      <c r="BH24" s="2">
        <f>AZ24-BG24</f>
        <v/>
      </c>
      <c r="BI24" s="2">
        <f>BA24-BF24</f>
        <v/>
      </c>
      <c r="BJ24" s="2">
        <f>BB24-BE24</f>
        <v/>
      </c>
      <c r="BK24" s="7">
        <f>IF(BH24+BI24+BJ24&lt;0.005,1,0)</f>
        <v/>
      </c>
      <c r="BL24" s="2">
        <f>Q24-R24</f>
        <v/>
      </c>
      <c r="BM24" s="2">
        <f>IF(BK24=1,0,MIN(AU24,MAX(0,Inputs!$B$48-BL24)))</f>
        <v/>
      </c>
      <c r="BN24" s="2">
        <f>IF(BK24=1,BL24,0)</f>
        <v/>
      </c>
      <c r="BO24" s="2">
        <f>BL24+BM24-BN24</f>
        <v/>
      </c>
      <c r="BP24" s="2">
        <f>AU24-BM24</f>
        <v/>
      </c>
      <c r="BQ24" s="2">
        <f>BP24+Z24+BN24</f>
        <v/>
      </c>
      <c r="BR24" s="2">
        <f>W24+AW24</f>
        <v/>
      </c>
      <c r="BS24" s="2">
        <f>X24+AX24</f>
        <v/>
      </c>
      <c r="BT24" s="2">
        <f>Y24+AY24</f>
        <v/>
      </c>
      <c r="BU24" s="2">
        <f>AG24+AK24+AO24+BR24+BS24+BT24</f>
        <v/>
      </c>
      <c r="BV24" s="2">
        <f>K24-AG24</f>
        <v/>
      </c>
      <c r="BW24" s="2">
        <f>M24-AK24</f>
        <v/>
      </c>
      <c r="BX24" s="2">
        <f>O24-AO24</f>
        <v/>
      </c>
      <c r="BY24" s="2">
        <f>C24-AE24</f>
        <v/>
      </c>
      <c r="BZ24" s="8">
        <f>AE24+BU24+BQ24+(BO24-Q24)-Pool!BW24</f>
        <v/>
      </c>
    </row>
    <row r="25">
      <c r="A25" s="7" t="n">
        <v>20</v>
      </c>
      <c r="B25" s="2">
        <f>Inputs!$B$51/12*Pool!BK25</f>
        <v/>
      </c>
      <c r="C25" s="2">
        <f>B25+BY24</f>
        <v/>
      </c>
      <c r="D25" s="2">
        <f>BH24</f>
        <v/>
      </c>
      <c r="E25" s="2">
        <f>BI24</f>
        <v/>
      </c>
      <c r="F25" s="2">
        <f>BJ24</f>
        <v/>
      </c>
      <c r="G25" s="3">
        <f>MAX(0,Pool!B25+Inputs!$B$42)</f>
        <v/>
      </c>
      <c r="H25" s="3">
        <f>MAX(0,Pool!B25+Inputs!$B$43)</f>
        <v/>
      </c>
      <c r="I25" s="3">
        <f>Inputs!$B$44</f>
        <v/>
      </c>
      <c r="J25" s="2">
        <f>D25*G25/12</f>
        <v/>
      </c>
      <c r="K25" s="2">
        <f>J25+BV24</f>
        <v/>
      </c>
      <c r="L25" s="2">
        <f>E25*H25/12</f>
        <v/>
      </c>
      <c r="M25" s="2">
        <f>L25+BW24</f>
        <v/>
      </c>
      <c r="N25" s="2">
        <f>F25*I25/12</f>
        <v/>
      </c>
      <c r="O25" s="2">
        <f>N25+BX24</f>
        <v/>
      </c>
      <c r="P25" s="2">
        <f>Pool!BM25</f>
        <v/>
      </c>
      <c r="Q25" s="2">
        <f>BO24</f>
        <v/>
      </c>
      <c r="R25" s="2">
        <f>MIN(Q25,MAX(0,C25+K25+M25-P25))</f>
        <v/>
      </c>
      <c r="S25" s="2">
        <f>P25+R25</f>
        <v/>
      </c>
      <c r="T25" s="2">
        <f>Pool!BN25+Pool!BO25+Pool!BQ25</f>
        <v/>
      </c>
      <c r="U25" s="7">
        <f>IF(OR(Inputs!$B$53=1,Tests!M24=1),1,0)</f>
        <v/>
      </c>
      <c r="V25" s="2">
        <f>D25+E25+F25</f>
        <v/>
      </c>
      <c r="W25" s="2">
        <f>IF(U25=1,MIN(D25,T25),IF(V25&lt;=0,0,MIN(T25,V25)*D25/V25))</f>
        <v/>
      </c>
      <c r="X25" s="2">
        <f>IF(U25=1,MIN(E25,T25-W25),IF(V25&lt;=0,0,MIN(T25,V25)*E25/V25))</f>
        <v/>
      </c>
      <c r="Y25" s="2">
        <f>IF(U25=1,MIN(F25,T25-W25-X25),IF(V25&lt;=0,0,MIN(T25,V25)*F25/V25))</f>
        <v/>
      </c>
      <c r="Z25" s="2">
        <f>T25-W25-X25-Y25</f>
        <v/>
      </c>
      <c r="AA25" s="2">
        <f>D25-W25</f>
        <v/>
      </c>
      <c r="AB25" s="2">
        <f>E25-X25</f>
        <v/>
      </c>
      <c r="AC25" s="2">
        <f>F25-Y25</f>
        <v/>
      </c>
      <c r="AD25" s="2">
        <f>AA25+AB25+AC25</f>
        <v/>
      </c>
      <c r="AE25" s="2">
        <f>MIN(C25,S25)</f>
        <v/>
      </c>
      <c r="AF25" s="2">
        <f>S25-AE25</f>
        <v/>
      </c>
      <c r="AG25" s="2">
        <f>MIN(K25,AF25)</f>
        <v/>
      </c>
      <c r="AH25" s="2">
        <f>AF25-AG25</f>
        <v/>
      </c>
      <c r="AI25" s="2">
        <f>IF(Tests!F25=1,MIN(AH25,AD25),0)</f>
        <v/>
      </c>
      <c r="AJ25" s="2">
        <f>AH25-AI25</f>
        <v/>
      </c>
      <c r="AK25" s="2">
        <f>MIN(M25,AJ25)</f>
        <v/>
      </c>
      <c r="AL25" s="2">
        <f>AJ25-AK25</f>
        <v/>
      </c>
      <c r="AM25" s="2">
        <f>IF(Tests!I25=1,MIN(AL25,AD25-AI25),0)</f>
        <v/>
      </c>
      <c r="AN25" s="2">
        <f>AL25-AM25</f>
        <v/>
      </c>
      <c r="AO25" s="2">
        <f>MIN(O25,AN25)</f>
        <v/>
      </c>
      <c r="AP25" s="2">
        <f>AN25-AO25</f>
        <v/>
      </c>
      <c r="AQ25" s="2">
        <f>IF(Tests!L25=1,MIN(AP25,AD25-AI25-AM25),0)</f>
        <v/>
      </c>
      <c r="AR25" s="2">
        <f>AP25-AQ25</f>
        <v/>
      </c>
      <c r="AS25" s="2">
        <f>MAX(0,AD25-AI25-AM25-AQ25-Pool!BV25)</f>
        <v/>
      </c>
      <c r="AT25" s="2">
        <f>MIN(AR25,AS25)</f>
        <v/>
      </c>
      <c r="AU25" s="2">
        <f>AR25-AT25</f>
        <v/>
      </c>
      <c r="AV25" s="2">
        <f>AI25+AM25+AQ25+AT25</f>
        <v/>
      </c>
      <c r="AW25" s="2">
        <f>MIN(AA25,AV25)</f>
        <v/>
      </c>
      <c r="AX25" s="2">
        <f>MIN(AB25,AV25-AW25)</f>
        <v/>
      </c>
      <c r="AY25" s="2">
        <f>MIN(AC25,AV25-AW25-AX25)</f>
        <v/>
      </c>
      <c r="AZ25" s="2">
        <f>AA25-AW25</f>
        <v/>
      </c>
      <c r="BA25" s="2">
        <f>AB25-AX25</f>
        <v/>
      </c>
      <c r="BB25" s="2">
        <f>AC25-AY25</f>
        <v/>
      </c>
      <c r="BC25" s="2">
        <f>AZ25+BA25+BB25</f>
        <v/>
      </c>
      <c r="BD25" s="2">
        <f>MAX(0,BC25-Pool!BV25)</f>
        <v/>
      </c>
      <c r="BE25" s="2">
        <f>MIN(BB25,BD25)</f>
        <v/>
      </c>
      <c r="BF25" s="2">
        <f>MIN(BA25,BD25-BE25)</f>
        <v/>
      </c>
      <c r="BG25" s="2">
        <f>MIN(AZ25,BD25-BE25-BF25)</f>
        <v/>
      </c>
      <c r="BH25" s="2">
        <f>AZ25-BG25</f>
        <v/>
      </c>
      <c r="BI25" s="2">
        <f>BA25-BF25</f>
        <v/>
      </c>
      <c r="BJ25" s="2">
        <f>BB25-BE25</f>
        <v/>
      </c>
      <c r="BK25" s="7">
        <f>IF(BH25+BI25+BJ25&lt;0.005,1,0)</f>
        <v/>
      </c>
      <c r="BL25" s="2">
        <f>Q25-R25</f>
        <v/>
      </c>
      <c r="BM25" s="2">
        <f>IF(BK25=1,0,MIN(AU25,MAX(0,Inputs!$B$48-BL25)))</f>
        <v/>
      </c>
      <c r="BN25" s="2">
        <f>IF(BK25=1,BL25,0)</f>
        <v/>
      </c>
      <c r="BO25" s="2">
        <f>BL25+BM25-BN25</f>
        <v/>
      </c>
      <c r="BP25" s="2">
        <f>AU25-BM25</f>
        <v/>
      </c>
      <c r="BQ25" s="2">
        <f>BP25+Z25+BN25</f>
        <v/>
      </c>
      <c r="BR25" s="2">
        <f>W25+AW25</f>
        <v/>
      </c>
      <c r="BS25" s="2">
        <f>X25+AX25</f>
        <v/>
      </c>
      <c r="BT25" s="2">
        <f>Y25+AY25</f>
        <v/>
      </c>
      <c r="BU25" s="2">
        <f>AG25+AK25+AO25+BR25+BS25+BT25</f>
        <v/>
      </c>
      <c r="BV25" s="2">
        <f>K25-AG25</f>
        <v/>
      </c>
      <c r="BW25" s="2">
        <f>M25-AK25</f>
        <v/>
      </c>
      <c r="BX25" s="2">
        <f>O25-AO25</f>
        <v/>
      </c>
      <c r="BY25" s="2">
        <f>C25-AE25</f>
        <v/>
      </c>
      <c r="BZ25" s="8">
        <f>AE25+BU25+BQ25+(BO25-Q25)-Pool!BW25</f>
        <v/>
      </c>
    </row>
    <row r="26">
      <c r="A26" s="7" t="n">
        <v>21</v>
      </c>
      <c r="B26" s="2">
        <f>Inputs!$B$51/12*Pool!BK26</f>
        <v/>
      </c>
      <c r="C26" s="2">
        <f>B26+BY25</f>
        <v/>
      </c>
      <c r="D26" s="2">
        <f>BH25</f>
        <v/>
      </c>
      <c r="E26" s="2">
        <f>BI25</f>
        <v/>
      </c>
      <c r="F26" s="2">
        <f>BJ25</f>
        <v/>
      </c>
      <c r="G26" s="3">
        <f>MAX(0,Pool!B26+Inputs!$B$42)</f>
        <v/>
      </c>
      <c r="H26" s="3">
        <f>MAX(0,Pool!B26+Inputs!$B$43)</f>
        <v/>
      </c>
      <c r="I26" s="3">
        <f>Inputs!$B$44</f>
        <v/>
      </c>
      <c r="J26" s="2">
        <f>D26*G26/12</f>
        <v/>
      </c>
      <c r="K26" s="2">
        <f>J26+BV25</f>
        <v/>
      </c>
      <c r="L26" s="2">
        <f>E26*H26/12</f>
        <v/>
      </c>
      <c r="M26" s="2">
        <f>L26+BW25</f>
        <v/>
      </c>
      <c r="N26" s="2">
        <f>F26*I26/12</f>
        <v/>
      </c>
      <c r="O26" s="2">
        <f>N26+BX25</f>
        <v/>
      </c>
      <c r="P26" s="2">
        <f>Pool!BM26</f>
        <v/>
      </c>
      <c r="Q26" s="2">
        <f>BO25</f>
        <v/>
      </c>
      <c r="R26" s="2">
        <f>MIN(Q26,MAX(0,C26+K26+M26-P26))</f>
        <v/>
      </c>
      <c r="S26" s="2">
        <f>P26+R26</f>
        <v/>
      </c>
      <c r="T26" s="2">
        <f>Pool!BN26+Pool!BO26+Pool!BQ26</f>
        <v/>
      </c>
      <c r="U26" s="7">
        <f>IF(OR(Inputs!$B$53=1,Tests!M25=1),1,0)</f>
        <v/>
      </c>
      <c r="V26" s="2">
        <f>D26+E26+F26</f>
        <v/>
      </c>
      <c r="W26" s="2">
        <f>IF(U26=1,MIN(D26,T26),IF(V26&lt;=0,0,MIN(T26,V26)*D26/V26))</f>
        <v/>
      </c>
      <c r="X26" s="2">
        <f>IF(U26=1,MIN(E26,T26-W26),IF(V26&lt;=0,0,MIN(T26,V26)*E26/V26))</f>
        <v/>
      </c>
      <c r="Y26" s="2">
        <f>IF(U26=1,MIN(F26,T26-W26-X26),IF(V26&lt;=0,0,MIN(T26,V26)*F26/V26))</f>
        <v/>
      </c>
      <c r="Z26" s="2">
        <f>T26-W26-X26-Y26</f>
        <v/>
      </c>
      <c r="AA26" s="2">
        <f>D26-W26</f>
        <v/>
      </c>
      <c r="AB26" s="2">
        <f>E26-X26</f>
        <v/>
      </c>
      <c r="AC26" s="2">
        <f>F26-Y26</f>
        <v/>
      </c>
      <c r="AD26" s="2">
        <f>AA26+AB26+AC26</f>
        <v/>
      </c>
      <c r="AE26" s="2">
        <f>MIN(C26,S26)</f>
        <v/>
      </c>
      <c r="AF26" s="2">
        <f>S26-AE26</f>
        <v/>
      </c>
      <c r="AG26" s="2">
        <f>MIN(K26,AF26)</f>
        <v/>
      </c>
      <c r="AH26" s="2">
        <f>AF26-AG26</f>
        <v/>
      </c>
      <c r="AI26" s="2">
        <f>IF(Tests!F26=1,MIN(AH26,AD26),0)</f>
        <v/>
      </c>
      <c r="AJ26" s="2">
        <f>AH26-AI26</f>
        <v/>
      </c>
      <c r="AK26" s="2">
        <f>MIN(M26,AJ26)</f>
        <v/>
      </c>
      <c r="AL26" s="2">
        <f>AJ26-AK26</f>
        <v/>
      </c>
      <c r="AM26" s="2">
        <f>IF(Tests!I26=1,MIN(AL26,AD26-AI26),0)</f>
        <v/>
      </c>
      <c r="AN26" s="2">
        <f>AL26-AM26</f>
        <v/>
      </c>
      <c r="AO26" s="2">
        <f>MIN(O26,AN26)</f>
        <v/>
      </c>
      <c r="AP26" s="2">
        <f>AN26-AO26</f>
        <v/>
      </c>
      <c r="AQ26" s="2">
        <f>IF(Tests!L26=1,MIN(AP26,AD26-AI26-AM26),0)</f>
        <v/>
      </c>
      <c r="AR26" s="2">
        <f>AP26-AQ26</f>
        <v/>
      </c>
      <c r="AS26" s="2">
        <f>MAX(0,AD26-AI26-AM26-AQ26-Pool!BV26)</f>
        <v/>
      </c>
      <c r="AT26" s="2">
        <f>MIN(AR26,AS26)</f>
        <v/>
      </c>
      <c r="AU26" s="2">
        <f>AR26-AT26</f>
        <v/>
      </c>
      <c r="AV26" s="2">
        <f>AI26+AM26+AQ26+AT26</f>
        <v/>
      </c>
      <c r="AW26" s="2">
        <f>MIN(AA26,AV26)</f>
        <v/>
      </c>
      <c r="AX26" s="2">
        <f>MIN(AB26,AV26-AW26)</f>
        <v/>
      </c>
      <c r="AY26" s="2">
        <f>MIN(AC26,AV26-AW26-AX26)</f>
        <v/>
      </c>
      <c r="AZ26" s="2">
        <f>AA26-AW26</f>
        <v/>
      </c>
      <c r="BA26" s="2">
        <f>AB26-AX26</f>
        <v/>
      </c>
      <c r="BB26" s="2">
        <f>AC26-AY26</f>
        <v/>
      </c>
      <c r="BC26" s="2">
        <f>AZ26+BA26+BB26</f>
        <v/>
      </c>
      <c r="BD26" s="2">
        <f>MAX(0,BC26-Pool!BV26)</f>
        <v/>
      </c>
      <c r="BE26" s="2">
        <f>MIN(BB26,BD26)</f>
        <v/>
      </c>
      <c r="BF26" s="2">
        <f>MIN(BA26,BD26-BE26)</f>
        <v/>
      </c>
      <c r="BG26" s="2">
        <f>MIN(AZ26,BD26-BE26-BF26)</f>
        <v/>
      </c>
      <c r="BH26" s="2">
        <f>AZ26-BG26</f>
        <v/>
      </c>
      <c r="BI26" s="2">
        <f>BA26-BF26</f>
        <v/>
      </c>
      <c r="BJ26" s="2">
        <f>BB26-BE26</f>
        <v/>
      </c>
      <c r="BK26" s="7">
        <f>IF(BH26+BI26+BJ26&lt;0.005,1,0)</f>
        <v/>
      </c>
      <c r="BL26" s="2">
        <f>Q26-R26</f>
        <v/>
      </c>
      <c r="BM26" s="2">
        <f>IF(BK26=1,0,MIN(AU26,MAX(0,Inputs!$B$48-BL26)))</f>
        <v/>
      </c>
      <c r="BN26" s="2">
        <f>IF(BK26=1,BL26,0)</f>
        <v/>
      </c>
      <c r="BO26" s="2">
        <f>BL26+BM26-BN26</f>
        <v/>
      </c>
      <c r="BP26" s="2">
        <f>AU26-BM26</f>
        <v/>
      </c>
      <c r="BQ26" s="2">
        <f>BP26+Z26+BN26</f>
        <v/>
      </c>
      <c r="BR26" s="2">
        <f>W26+AW26</f>
        <v/>
      </c>
      <c r="BS26" s="2">
        <f>X26+AX26</f>
        <v/>
      </c>
      <c r="BT26" s="2">
        <f>Y26+AY26</f>
        <v/>
      </c>
      <c r="BU26" s="2">
        <f>AG26+AK26+AO26+BR26+BS26+BT26</f>
        <v/>
      </c>
      <c r="BV26" s="2">
        <f>K26-AG26</f>
        <v/>
      </c>
      <c r="BW26" s="2">
        <f>M26-AK26</f>
        <v/>
      </c>
      <c r="BX26" s="2">
        <f>O26-AO26</f>
        <v/>
      </c>
      <c r="BY26" s="2">
        <f>C26-AE26</f>
        <v/>
      </c>
      <c r="BZ26" s="8">
        <f>AE26+BU26+BQ26+(BO26-Q26)-Pool!BW26</f>
        <v/>
      </c>
    </row>
    <row r="27">
      <c r="A27" s="7" t="n">
        <v>22</v>
      </c>
      <c r="B27" s="2">
        <f>Inputs!$B$51/12*Pool!BK27</f>
        <v/>
      </c>
      <c r="C27" s="2">
        <f>B27+BY26</f>
        <v/>
      </c>
      <c r="D27" s="2">
        <f>BH26</f>
        <v/>
      </c>
      <c r="E27" s="2">
        <f>BI26</f>
        <v/>
      </c>
      <c r="F27" s="2">
        <f>BJ26</f>
        <v/>
      </c>
      <c r="G27" s="3">
        <f>MAX(0,Pool!B27+Inputs!$B$42)</f>
        <v/>
      </c>
      <c r="H27" s="3">
        <f>MAX(0,Pool!B27+Inputs!$B$43)</f>
        <v/>
      </c>
      <c r="I27" s="3">
        <f>Inputs!$B$44</f>
        <v/>
      </c>
      <c r="J27" s="2">
        <f>D27*G27/12</f>
        <v/>
      </c>
      <c r="K27" s="2">
        <f>J27+BV26</f>
        <v/>
      </c>
      <c r="L27" s="2">
        <f>E27*H27/12</f>
        <v/>
      </c>
      <c r="M27" s="2">
        <f>L27+BW26</f>
        <v/>
      </c>
      <c r="N27" s="2">
        <f>F27*I27/12</f>
        <v/>
      </c>
      <c r="O27" s="2">
        <f>N27+BX26</f>
        <v/>
      </c>
      <c r="P27" s="2">
        <f>Pool!BM27</f>
        <v/>
      </c>
      <c r="Q27" s="2">
        <f>BO26</f>
        <v/>
      </c>
      <c r="R27" s="2">
        <f>MIN(Q27,MAX(0,C27+K27+M27-P27))</f>
        <v/>
      </c>
      <c r="S27" s="2">
        <f>P27+R27</f>
        <v/>
      </c>
      <c r="T27" s="2">
        <f>Pool!BN27+Pool!BO27+Pool!BQ27</f>
        <v/>
      </c>
      <c r="U27" s="7">
        <f>IF(OR(Inputs!$B$53=1,Tests!M26=1),1,0)</f>
        <v/>
      </c>
      <c r="V27" s="2">
        <f>D27+E27+F27</f>
        <v/>
      </c>
      <c r="W27" s="2">
        <f>IF(U27=1,MIN(D27,T27),IF(V27&lt;=0,0,MIN(T27,V27)*D27/V27))</f>
        <v/>
      </c>
      <c r="X27" s="2">
        <f>IF(U27=1,MIN(E27,T27-W27),IF(V27&lt;=0,0,MIN(T27,V27)*E27/V27))</f>
        <v/>
      </c>
      <c r="Y27" s="2">
        <f>IF(U27=1,MIN(F27,T27-W27-X27),IF(V27&lt;=0,0,MIN(T27,V27)*F27/V27))</f>
        <v/>
      </c>
      <c r="Z27" s="2">
        <f>T27-W27-X27-Y27</f>
        <v/>
      </c>
      <c r="AA27" s="2">
        <f>D27-W27</f>
        <v/>
      </c>
      <c r="AB27" s="2">
        <f>E27-X27</f>
        <v/>
      </c>
      <c r="AC27" s="2">
        <f>F27-Y27</f>
        <v/>
      </c>
      <c r="AD27" s="2">
        <f>AA27+AB27+AC27</f>
        <v/>
      </c>
      <c r="AE27" s="2">
        <f>MIN(C27,S27)</f>
        <v/>
      </c>
      <c r="AF27" s="2">
        <f>S27-AE27</f>
        <v/>
      </c>
      <c r="AG27" s="2">
        <f>MIN(K27,AF27)</f>
        <v/>
      </c>
      <c r="AH27" s="2">
        <f>AF27-AG27</f>
        <v/>
      </c>
      <c r="AI27" s="2">
        <f>IF(Tests!F27=1,MIN(AH27,AD27),0)</f>
        <v/>
      </c>
      <c r="AJ27" s="2">
        <f>AH27-AI27</f>
        <v/>
      </c>
      <c r="AK27" s="2">
        <f>MIN(M27,AJ27)</f>
        <v/>
      </c>
      <c r="AL27" s="2">
        <f>AJ27-AK27</f>
        <v/>
      </c>
      <c r="AM27" s="2">
        <f>IF(Tests!I27=1,MIN(AL27,AD27-AI27),0)</f>
        <v/>
      </c>
      <c r="AN27" s="2">
        <f>AL27-AM27</f>
        <v/>
      </c>
      <c r="AO27" s="2">
        <f>MIN(O27,AN27)</f>
        <v/>
      </c>
      <c r="AP27" s="2">
        <f>AN27-AO27</f>
        <v/>
      </c>
      <c r="AQ27" s="2">
        <f>IF(Tests!L27=1,MIN(AP27,AD27-AI27-AM27),0)</f>
        <v/>
      </c>
      <c r="AR27" s="2">
        <f>AP27-AQ27</f>
        <v/>
      </c>
      <c r="AS27" s="2">
        <f>MAX(0,AD27-AI27-AM27-AQ27-Pool!BV27)</f>
        <v/>
      </c>
      <c r="AT27" s="2">
        <f>MIN(AR27,AS27)</f>
        <v/>
      </c>
      <c r="AU27" s="2">
        <f>AR27-AT27</f>
        <v/>
      </c>
      <c r="AV27" s="2">
        <f>AI27+AM27+AQ27+AT27</f>
        <v/>
      </c>
      <c r="AW27" s="2">
        <f>MIN(AA27,AV27)</f>
        <v/>
      </c>
      <c r="AX27" s="2">
        <f>MIN(AB27,AV27-AW27)</f>
        <v/>
      </c>
      <c r="AY27" s="2">
        <f>MIN(AC27,AV27-AW27-AX27)</f>
        <v/>
      </c>
      <c r="AZ27" s="2">
        <f>AA27-AW27</f>
        <v/>
      </c>
      <c r="BA27" s="2">
        <f>AB27-AX27</f>
        <v/>
      </c>
      <c r="BB27" s="2">
        <f>AC27-AY27</f>
        <v/>
      </c>
      <c r="BC27" s="2">
        <f>AZ27+BA27+BB27</f>
        <v/>
      </c>
      <c r="BD27" s="2">
        <f>MAX(0,BC27-Pool!BV27)</f>
        <v/>
      </c>
      <c r="BE27" s="2">
        <f>MIN(BB27,BD27)</f>
        <v/>
      </c>
      <c r="BF27" s="2">
        <f>MIN(BA27,BD27-BE27)</f>
        <v/>
      </c>
      <c r="BG27" s="2">
        <f>MIN(AZ27,BD27-BE27-BF27)</f>
        <v/>
      </c>
      <c r="BH27" s="2">
        <f>AZ27-BG27</f>
        <v/>
      </c>
      <c r="BI27" s="2">
        <f>BA27-BF27</f>
        <v/>
      </c>
      <c r="BJ27" s="2">
        <f>BB27-BE27</f>
        <v/>
      </c>
      <c r="BK27" s="7">
        <f>IF(BH27+BI27+BJ27&lt;0.005,1,0)</f>
        <v/>
      </c>
      <c r="BL27" s="2">
        <f>Q27-R27</f>
        <v/>
      </c>
      <c r="BM27" s="2">
        <f>IF(BK27=1,0,MIN(AU27,MAX(0,Inputs!$B$48-BL27)))</f>
        <v/>
      </c>
      <c r="BN27" s="2">
        <f>IF(BK27=1,BL27,0)</f>
        <v/>
      </c>
      <c r="BO27" s="2">
        <f>BL27+BM27-BN27</f>
        <v/>
      </c>
      <c r="BP27" s="2">
        <f>AU27-BM27</f>
        <v/>
      </c>
      <c r="BQ27" s="2">
        <f>BP27+Z27+BN27</f>
        <v/>
      </c>
      <c r="BR27" s="2">
        <f>W27+AW27</f>
        <v/>
      </c>
      <c r="BS27" s="2">
        <f>X27+AX27</f>
        <v/>
      </c>
      <c r="BT27" s="2">
        <f>Y27+AY27</f>
        <v/>
      </c>
      <c r="BU27" s="2">
        <f>AG27+AK27+AO27+BR27+BS27+BT27</f>
        <v/>
      </c>
      <c r="BV27" s="2">
        <f>K27-AG27</f>
        <v/>
      </c>
      <c r="BW27" s="2">
        <f>M27-AK27</f>
        <v/>
      </c>
      <c r="BX27" s="2">
        <f>O27-AO27</f>
        <v/>
      </c>
      <c r="BY27" s="2">
        <f>C27-AE27</f>
        <v/>
      </c>
      <c r="BZ27" s="8">
        <f>AE27+BU27+BQ27+(BO27-Q27)-Pool!BW27</f>
        <v/>
      </c>
    </row>
    <row r="28">
      <c r="A28" s="7" t="n">
        <v>23</v>
      </c>
      <c r="B28" s="2">
        <f>Inputs!$B$51/12*Pool!BK28</f>
        <v/>
      </c>
      <c r="C28" s="2">
        <f>B28+BY27</f>
        <v/>
      </c>
      <c r="D28" s="2">
        <f>BH27</f>
        <v/>
      </c>
      <c r="E28" s="2">
        <f>BI27</f>
        <v/>
      </c>
      <c r="F28" s="2">
        <f>BJ27</f>
        <v/>
      </c>
      <c r="G28" s="3">
        <f>MAX(0,Pool!B28+Inputs!$B$42)</f>
        <v/>
      </c>
      <c r="H28" s="3">
        <f>MAX(0,Pool!B28+Inputs!$B$43)</f>
        <v/>
      </c>
      <c r="I28" s="3">
        <f>Inputs!$B$44</f>
        <v/>
      </c>
      <c r="J28" s="2">
        <f>D28*G28/12</f>
        <v/>
      </c>
      <c r="K28" s="2">
        <f>J28+BV27</f>
        <v/>
      </c>
      <c r="L28" s="2">
        <f>E28*H28/12</f>
        <v/>
      </c>
      <c r="M28" s="2">
        <f>L28+BW27</f>
        <v/>
      </c>
      <c r="N28" s="2">
        <f>F28*I28/12</f>
        <v/>
      </c>
      <c r="O28" s="2">
        <f>N28+BX27</f>
        <v/>
      </c>
      <c r="P28" s="2">
        <f>Pool!BM28</f>
        <v/>
      </c>
      <c r="Q28" s="2">
        <f>BO27</f>
        <v/>
      </c>
      <c r="R28" s="2">
        <f>MIN(Q28,MAX(0,C28+K28+M28-P28))</f>
        <v/>
      </c>
      <c r="S28" s="2">
        <f>P28+R28</f>
        <v/>
      </c>
      <c r="T28" s="2">
        <f>Pool!BN28+Pool!BO28+Pool!BQ28</f>
        <v/>
      </c>
      <c r="U28" s="7">
        <f>IF(OR(Inputs!$B$53=1,Tests!M27=1),1,0)</f>
        <v/>
      </c>
      <c r="V28" s="2">
        <f>D28+E28+F28</f>
        <v/>
      </c>
      <c r="W28" s="2">
        <f>IF(U28=1,MIN(D28,T28),IF(V28&lt;=0,0,MIN(T28,V28)*D28/V28))</f>
        <v/>
      </c>
      <c r="X28" s="2">
        <f>IF(U28=1,MIN(E28,T28-W28),IF(V28&lt;=0,0,MIN(T28,V28)*E28/V28))</f>
        <v/>
      </c>
      <c r="Y28" s="2">
        <f>IF(U28=1,MIN(F28,T28-W28-X28),IF(V28&lt;=0,0,MIN(T28,V28)*F28/V28))</f>
        <v/>
      </c>
      <c r="Z28" s="2">
        <f>T28-W28-X28-Y28</f>
        <v/>
      </c>
      <c r="AA28" s="2">
        <f>D28-W28</f>
        <v/>
      </c>
      <c r="AB28" s="2">
        <f>E28-X28</f>
        <v/>
      </c>
      <c r="AC28" s="2">
        <f>F28-Y28</f>
        <v/>
      </c>
      <c r="AD28" s="2">
        <f>AA28+AB28+AC28</f>
        <v/>
      </c>
      <c r="AE28" s="2">
        <f>MIN(C28,S28)</f>
        <v/>
      </c>
      <c r="AF28" s="2">
        <f>S28-AE28</f>
        <v/>
      </c>
      <c r="AG28" s="2">
        <f>MIN(K28,AF28)</f>
        <v/>
      </c>
      <c r="AH28" s="2">
        <f>AF28-AG28</f>
        <v/>
      </c>
      <c r="AI28" s="2">
        <f>IF(Tests!F28=1,MIN(AH28,AD28),0)</f>
        <v/>
      </c>
      <c r="AJ28" s="2">
        <f>AH28-AI28</f>
        <v/>
      </c>
      <c r="AK28" s="2">
        <f>MIN(M28,AJ28)</f>
        <v/>
      </c>
      <c r="AL28" s="2">
        <f>AJ28-AK28</f>
        <v/>
      </c>
      <c r="AM28" s="2">
        <f>IF(Tests!I28=1,MIN(AL28,AD28-AI28),0)</f>
        <v/>
      </c>
      <c r="AN28" s="2">
        <f>AL28-AM28</f>
        <v/>
      </c>
      <c r="AO28" s="2">
        <f>MIN(O28,AN28)</f>
        <v/>
      </c>
      <c r="AP28" s="2">
        <f>AN28-AO28</f>
        <v/>
      </c>
      <c r="AQ28" s="2">
        <f>IF(Tests!L28=1,MIN(AP28,AD28-AI28-AM28),0)</f>
        <v/>
      </c>
      <c r="AR28" s="2">
        <f>AP28-AQ28</f>
        <v/>
      </c>
      <c r="AS28" s="2">
        <f>MAX(0,AD28-AI28-AM28-AQ28-Pool!BV28)</f>
        <v/>
      </c>
      <c r="AT28" s="2">
        <f>MIN(AR28,AS28)</f>
        <v/>
      </c>
      <c r="AU28" s="2">
        <f>AR28-AT28</f>
        <v/>
      </c>
      <c r="AV28" s="2">
        <f>AI28+AM28+AQ28+AT28</f>
        <v/>
      </c>
      <c r="AW28" s="2">
        <f>MIN(AA28,AV28)</f>
        <v/>
      </c>
      <c r="AX28" s="2">
        <f>MIN(AB28,AV28-AW28)</f>
        <v/>
      </c>
      <c r="AY28" s="2">
        <f>MIN(AC28,AV28-AW28-AX28)</f>
        <v/>
      </c>
      <c r="AZ28" s="2">
        <f>AA28-AW28</f>
        <v/>
      </c>
      <c r="BA28" s="2">
        <f>AB28-AX28</f>
        <v/>
      </c>
      <c r="BB28" s="2">
        <f>AC28-AY28</f>
        <v/>
      </c>
      <c r="BC28" s="2">
        <f>AZ28+BA28+BB28</f>
        <v/>
      </c>
      <c r="BD28" s="2">
        <f>MAX(0,BC28-Pool!BV28)</f>
        <v/>
      </c>
      <c r="BE28" s="2">
        <f>MIN(BB28,BD28)</f>
        <v/>
      </c>
      <c r="BF28" s="2">
        <f>MIN(BA28,BD28-BE28)</f>
        <v/>
      </c>
      <c r="BG28" s="2">
        <f>MIN(AZ28,BD28-BE28-BF28)</f>
        <v/>
      </c>
      <c r="BH28" s="2">
        <f>AZ28-BG28</f>
        <v/>
      </c>
      <c r="BI28" s="2">
        <f>BA28-BF28</f>
        <v/>
      </c>
      <c r="BJ28" s="2">
        <f>BB28-BE28</f>
        <v/>
      </c>
      <c r="BK28" s="7">
        <f>IF(BH28+BI28+BJ28&lt;0.005,1,0)</f>
        <v/>
      </c>
      <c r="BL28" s="2">
        <f>Q28-R28</f>
        <v/>
      </c>
      <c r="BM28" s="2">
        <f>IF(BK28=1,0,MIN(AU28,MAX(0,Inputs!$B$48-BL28)))</f>
        <v/>
      </c>
      <c r="BN28" s="2">
        <f>IF(BK28=1,BL28,0)</f>
        <v/>
      </c>
      <c r="BO28" s="2">
        <f>BL28+BM28-BN28</f>
        <v/>
      </c>
      <c r="BP28" s="2">
        <f>AU28-BM28</f>
        <v/>
      </c>
      <c r="BQ28" s="2">
        <f>BP28+Z28+BN28</f>
        <v/>
      </c>
      <c r="BR28" s="2">
        <f>W28+AW28</f>
        <v/>
      </c>
      <c r="BS28" s="2">
        <f>X28+AX28</f>
        <v/>
      </c>
      <c r="BT28" s="2">
        <f>Y28+AY28</f>
        <v/>
      </c>
      <c r="BU28" s="2">
        <f>AG28+AK28+AO28+BR28+BS28+BT28</f>
        <v/>
      </c>
      <c r="BV28" s="2">
        <f>K28-AG28</f>
        <v/>
      </c>
      <c r="BW28" s="2">
        <f>M28-AK28</f>
        <v/>
      </c>
      <c r="BX28" s="2">
        <f>O28-AO28</f>
        <v/>
      </c>
      <c r="BY28" s="2">
        <f>C28-AE28</f>
        <v/>
      </c>
      <c r="BZ28" s="8">
        <f>AE28+BU28+BQ28+(BO28-Q28)-Pool!BW28</f>
        <v/>
      </c>
    </row>
    <row r="29">
      <c r="A29" s="7" t="n">
        <v>24</v>
      </c>
      <c r="B29" s="2">
        <f>Inputs!$B$51/12*Pool!BK29</f>
        <v/>
      </c>
      <c r="C29" s="2">
        <f>B29+BY28</f>
        <v/>
      </c>
      <c r="D29" s="2">
        <f>BH28</f>
        <v/>
      </c>
      <c r="E29" s="2">
        <f>BI28</f>
        <v/>
      </c>
      <c r="F29" s="2">
        <f>BJ28</f>
        <v/>
      </c>
      <c r="G29" s="3">
        <f>MAX(0,Pool!B29+Inputs!$B$42)</f>
        <v/>
      </c>
      <c r="H29" s="3">
        <f>MAX(0,Pool!B29+Inputs!$B$43)</f>
        <v/>
      </c>
      <c r="I29" s="3">
        <f>Inputs!$B$44</f>
        <v/>
      </c>
      <c r="J29" s="2">
        <f>D29*G29/12</f>
        <v/>
      </c>
      <c r="K29" s="2">
        <f>J29+BV28</f>
        <v/>
      </c>
      <c r="L29" s="2">
        <f>E29*H29/12</f>
        <v/>
      </c>
      <c r="M29" s="2">
        <f>L29+BW28</f>
        <v/>
      </c>
      <c r="N29" s="2">
        <f>F29*I29/12</f>
        <v/>
      </c>
      <c r="O29" s="2">
        <f>N29+BX28</f>
        <v/>
      </c>
      <c r="P29" s="2">
        <f>Pool!BM29</f>
        <v/>
      </c>
      <c r="Q29" s="2">
        <f>BO28</f>
        <v/>
      </c>
      <c r="R29" s="2">
        <f>MIN(Q29,MAX(0,C29+K29+M29-P29))</f>
        <v/>
      </c>
      <c r="S29" s="2">
        <f>P29+R29</f>
        <v/>
      </c>
      <c r="T29" s="2">
        <f>Pool!BN29+Pool!BO29+Pool!BQ29</f>
        <v/>
      </c>
      <c r="U29" s="7">
        <f>IF(OR(Inputs!$B$53=1,Tests!M28=1),1,0)</f>
        <v/>
      </c>
      <c r="V29" s="2">
        <f>D29+E29+F29</f>
        <v/>
      </c>
      <c r="W29" s="2">
        <f>IF(U29=1,MIN(D29,T29),IF(V29&lt;=0,0,MIN(T29,V29)*D29/V29))</f>
        <v/>
      </c>
      <c r="X29" s="2">
        <f>IF(U29=1,MIN(E29,T29-W29),IF(V29&lt;=0,0,MIN(T29,V29)*E29/V29))</f>
        <v/>
      </c>
      <c r="Y29" s="2">
        <f>IF(U29=1,MIN(F29,T29-W29-X29),IF(V29&lt;=0,0,MIN(T29,V29)*F29/V29))</f>
        <v/>
      </c>
      <c r="Z29" s="2">
        <f>T29-W29-X29-Y29</f>
        <v/>
      </c>
      <c r="AA29" s="2">
        <f>D29-W29</f>
        <v/>
      </c>
      <c r="AB29" s="2">
        <f>E29-X29</f>
        <v/>
      </c>
      <c r="AC29" s="2">
        <f>F29-Y29</f>
        <v/>
      </c>
      <c r="AD29" s="2">
        <f>AA29+AB29+AC29</f>
        <v/>
      </c>
      <c r="AE29" s="2">
        <f>MIN(C29,S29)</f>
        <v/>
      </c>
      <c r="AF29" s="2">
        <f>S29-AE29</f>
        <v/>
      </c>
      <c r="AG29" s="2">
        <f>MIN(K29,AF29)</f>
        <v/>
      </c>
      <c r="AH29" s="2">
        <f>AF29-AG29</f>
        <v/>
      </c>
      <c r="AI29" s="2">
        <f>IF(Tests!F29=1,MIN(AH29,AD29),0)</f>
        <v/>
      </c>
      <c r="AJ29" s="2">
        <f>AH29-AI29</f>
        <v/>
      </c>
      <c r="AK29" s="2">
        <f>MIN(M29,AJ29)</f>
        <v/>
      </c>
      <c r="AL29" s="2">
        <f>AJ29-AK29</f>
        <v/>
      </c>
      <c r="AM29" s="2">
        <f>IF(Tests!I29=1,MIN(AL29,AD29-AI29),0)</f>
        <v/>
      </c>
      <c r="AN29" s="2">
        <f>AL29-AM29</f>
        <v/>
      </c>
      <c r="AO29" s="2">
        <f>MIN(O29,AN29)</f>
        <v/>
      </c>
      <c r="AP29" s="2">
        <f>AN29-AO29</f>
        <v/>
      </c>
      <c r="AQ29" s="2">
        <f>IF(Tests!L29=1,MIN(AP29,AD29-AI29-AM29),0)</f>
        <v/>
      </c>
      <c r="AR29" s="2">
        <f>AP29-AQ29</f>
        <v/>
      </c>
      <c r="AS29" s="2">
        <f>MAX(0,AD29-AI29-AM29-AQ29-Pool!BV29)</f>
        <v/>
      </c>
      <c r="AT29" s="2">
        <f>MIN(AR29,AS29)</f>
        <v/>
      </c>
      <c r="AU29" s="2">
        <f>AR29-AT29</f>
        <v/>
      </c>
      <c r="AV29" s="2">
        <f>AI29+AM29+AQ29+AT29</f>
        <v/>
      </c>
      <c r="AW29" s="2">
        <f>MIN(AA29,AV29)</f>
        <v/>
      </c>
      <c r="AX29" s="2">
        <f>MIN(AB29,AV29-AW29)</f>
        <v/>
      </c>
      <c r="AY29" s="2">
        <f>MIN(AC29,AV29-AW29-AX29)</f>
        <v/>
      </c>
      <c r="AZ29" s="2">
        <f>AA29-AW29</f>
        <v/>
      </c>
      <c r="BA29" s="2">
        <f>AB29-AX29</f>
        <v/>
      </c>
      <c r="BB29" s="2">
        <f>AC29-AY29</f>
        <v/>
      </c>
      <c r="BC29" s="2">
        <f>AZ29+BA29+BB29</f>
        <v/>
      </c>
      <c r="BD29" s="2">
        <f>MAX(0,BC29-Pool!BV29)</f>
        <v/>
      </c>
      <c r="BE29" s="2">
        <f>MIN(BB29,BD29)</f>
        <v/>
      </c>
      <c r="BF29" s="2">
        <f>MIN(BA29,BD29-BE29)</f>
        <v/>
      </c>
      <c r="BG29" s="2">
        <f>MIN(AZ29,BD29-BE29-BF29)</f>
        <v/>
      </c>
      <c r="BH29" s="2">
        <f>AZ29-BG29</f>
        <v/>
      </c>
      <c r="BI29" s="2">
        <f>BA29-BF29</f>
        <v/>
      </c>
      <c r="BJ29" s="2">
        <f>BB29-BE29</f>
        <v/>
      </c>
      <c r="BK29" s="7">
        <f>IF(BH29+BI29+BJ29&lt;0.005,1,0)</f>
        <v/>
      </c>
      <c r="BL29" s="2">
        <f>Q29-R29</f>
        <v/>
      </c>
      <c r="BM29" s="2">
        <f>IF(BK29=1,0,MIN(AU29,MAX(0,Inputs!$B$48-BL29)))</f>
        <v/>
      </c>
      <c r="BN29" s="2">
        <f>IF(BK29=1,BL29,0)</f>
        <v/>
      </c>
      <c r="BO29" s="2">
        <f>BL29+BM29-BN29</f>
        <v/>
      </c>
      <c r="BP29" s="2">
        <f>AU29-BM29</f>
        <v/>
      </c>
      <c r="BQ29" s="2">
        <f>BP29+Z29+BN29</f>
        <v/>
      </c>
      <c r="BR29" s="2">
        <f>W29+AW29</f>
        <v/>
      </c>
      <c r="BS29" s="2">
        <f>X29+AX29</f>
        <v/>
      </c>
      <c r="BT29" s="2">
        <f>Y29+AY29</f>
        <v/>
      </c>
      <c r="BU29" s="2">
        <f>AG29+AK29+AO29+BR29+BS29+BT29</f>
        <v/>
      </c>
      <c r="BV29" s="2">
        <f>K29-AG29</f>
        <v/>
      </c>
      <c r="BW29" s="2">
        <f>M29-AK29</f>
        <v/>
      </c>
      <c r="BX29" s="2">
        <f>O29-AO29</f>
        <v/>
      </c>
      <c r="BY29" s="2">
        <f>C29-AE29</f>
        <v/>
      </c>
      <c r="BZ29" s="8">
        <f>AE29+BU29+BQ29+(BO29-Q29)-Pool!BW29</f>
        <v/>
      </c>
    </row>
    <row r="30">
      <c r="A30" s="7" t="n">
        <v>25</v>
      </c>
      <c r="B30" s="2">
        <f>Inputs!$B$51/12*Pool!BK30</f>
        <v/>
      </c>
      <c r="C30" s="2">
        <f>B30+BY29</f>
        <v/>
      </c>
      <c r="D30" s="2">
        <f>BH29</f>
        <v/>
      </c>
      <c r="E30" s="2">
        <f>BI29</f>
        <v/>
      </c>
      <c r="F30" s="2">
        <f>BJ29</f>
        <v/>
      </c>
      <c r="G30" s="3">
        <f>MAX(0,Pool!B30+Inputs!$B$42)</f>
        <v/>
      </c>
      <c r="H30" s="3">
        <f>MAX(0,Pool!B30+Inputs!$B$43)</f>
        <v/>
      </c>
      <c r="I30" s="3">
        <f>Inputs!$B$44</f>
        <v/>
      </c>
      <c r="J30" s="2">
        <f>D30*G30/12</f>
        <v/>
      </c>
      <c r="K30" s="2">
        <f>J30+BV29</f>
        <v/>
      </c>
      <c r="L30" s="2">
        <f>E30*H30/12</f>
        <v/>
      </c>
      <c r="M30" s="2">
        <f>L30+BW29</f>
        <v/>
      </c>
      <c r="N30" s="2">
        <f>F30*I30/12</f>
        <v/>
      </c>
      <c r="O30" s="2">
        <f>N30+BX29</f>
        <v/>
      </c>
      <c r="P30" s="2">
        <f>Pool!BM30</f>
        <v/>
      </c>
      <c r="Q30" s="2">
        <f>BO29</f>
        <v/>
      </c>
      <c r="R30" s="2">
        <f>MIN(Q30,MAX(0,C30+K30+M30-P30))</f>
        <v/>
      </c>
      <c r="S30" s="2">
        <f>P30+R30</f>
        <v/>
      </c>
      <c r="T30" s="2">
        <f>Pool!BN30+Pool!BO30+Pool!BQ30</f>
        <v/>
      </c>
      <c r="U30" s="7">
        <f>IF(OR(Inputs!$B$53=1,Tests!M29=1),1,0)</f>
        <v/>
      </c>
      <c r="V30" s="2">
        <f>D30+E30+F30</f>
        <v/>
      </c>
      <c r="W30" s="2">
        <f>IF(U30=1,MIN(D30,T30),IF(V30&lt;=0,0,MIN(T30,V30)*D30/V30))</f>
        <v/>
      </c>
      <c r="X30" s="2">
        <f>IF(U30=1,MIN(E30,T30-W30),IF(V30&lt;=0,0,MIN(T30,V30)*E30/V30))</f>
        <v/>
      </c>
      <c r="Y30" s="2">
        <f>IF(U30=1,MIN(F30,T30-W30-X30),IF(V30&lt;=0,0,MIN(T30,V30)*F30/V30))</f>
        <v/>
      </c>
      <c r="Z30" s="2">
        <f>T30-W30-X30-Y30</f>
        <v/>
      </c>
      <c r="AA30" s="2">
        <f>D30-W30</f>
        <v/>
      </c>
      <c r="AB30" s="2">
        <f>E30-X30</f>
        <v/>
      </c>
      <c r="AC30" s="2">
        <f>F30-Y30</f>
        <v/>
      </c>
      <c r="AD30" s="2">
        <f>AA30+AB30+AC30</f>
        <v/>
      </c>
      <c r="AE30" s="2">
        <f>MIN(C30,S30)</f>
        <v/>
      </c>
      <c r="AF30" s="2">
        <f>S30-AE30</f>
        <v/>
      </c>
      <c r="AG30" s="2">
        <f>MIN(K30,AF30)</f>
        <v/>
      </c>
      <c r="AH30" s="2">
        <f>AF30-AG30</f>
        <v/>
      </c>
      <c r="AI30" s="2">
        <f>IF(Tests!F30=1,MIN(AH30,AD30),0)</f>
        <v/>
      </c>
      <c r="AJ30" s="2">
        <f>AH30-AI30</f>
        <v/>
      </c>
      <c r="AK30" s="2">
        <f>MIN(M30,AJ30)</f>
        <v/>
      </c>
      <c r="AL30" s="2">
        <f>AJ30-AK30</f>
        <v/>
      </c>
      <c r="AM30" s="2">
        <f>IF(Tests!I30=1,MIN(AL30,AD30-AI30),0)</f>
        <v/>
      </c>
      <c r="AN30" s="2">
        <f>AL30-AM30</f>
        <v/>
      </c>
      <c r="AO30" s="2">
        <f>MIN(O30,AN30)</f>
        <v/>
      </c>
      <c r="AP30" s="2">
        <f>AN30-AO30</f>
        <v/>
      </c>
      <c r="AQ30" s="2">
        <f>IF(Tests!L30=1,MIN(AP30,AD30-AI30-AM30),0)</f>
        <v/>
      </c>
      <c r="AR30" s="2">
        <f>AP30-AQ30</f>
        <v/>
      </c>
      <c r="AS30" s="2">
        <f>MAX(0,AD30-AI30-AM30-AQ30-Pool!BV30)</f>
        <v/>
      </c>
      <c r="AT30" s="2">
        <f>MIN(AR30,AS30)</f>
        <v/>
      </c>
      <c r="AU30" s="2">
        <f>AR30-AT30</f>
        <v/>
      </c>
      <c r="AV30" s="2">
        <f>AI30+AM30+AQ30+AT30</f>
        <v/>
      </c>
      <c r="AW30" s="2">
        <f>MIN(AA30,AV30)</f>
        <v/>
      </c>
      <c r="AX30" s="2">
        <f>MIN(AB30,AV30-AW30)</f>
        <v/>
      </c>
      <c r="AY30" s="2">
        <f>MIN(AC30,AV30-AW30-AX30)</f>
        <v/>
      </c>
      <c r="AZ30" s="2">
        <f>AA30-AW30</f>
        <v/>
      </c>
      <c r="BA30" s="2">
        <f>AB30-AX30</f>
        <v/>
      </c>
      <c r="BB30" s="2">
        <f>AC30-AY30</f>
        <v/>
      </c>
      <c r="BC30" s="2">
        <f>AZ30+BA30+BB30</f>
        <v/>
      </c>
      <c r="BD30" s="2">
        <f>MAX(0,BC30-Pool!BV30)</f>
        <v/>
      </c>
      <c r="BE30" s="2">
        <f>MIN(BB30,BD30)</f>
        <v/>
      </c>
      <c r="BF30" s="2">
        <f>MIN(BA30,BD30-BE30)</f>
        <v/>
      </c>
      <c r="BG30" s="2">
        <f>MIN(AZ30,BD30-BE30-BF30)</f>
        <v/>
      </c>
      <c r="BH30" s="2">
        <f>AZ30-BG30</f>
        <v/>
      </c>
      <c r="BI30" s="2">
        <f>BA30-BF30</f>
        <v/>
      </c>
      <c r="BJ30" s="2">
        <f>BB30-BE30</f>
        <v/>
      </c>
      <c r="BK30" s="7">
        <f>IF(BH30+BI30+BJ30&lt;0.005,1,0)</f>
        <v/>
      </c>
      <c r="BL30" s="2">
        <f>Q30-R30</f>
        <v/>
      </c>
      <c r="BM30" s="2">
        <f>IF(BK30=1,0,MIN(AU30,MAX(0,Inputs!$B$48-BL30)))</f>
        <v/>
      </c>
      <c r="BN30" s="2">
        <f>IF(BK30=1,BL30,0)</f>
        <v/>
      </c>
      <c r="BO30" s="2">
        <f>BL30+BM30-BN30</f>
        <v/>
      </c>
      <c r="BP30" s="2">
        <f>AU30-BM30</f>
        <v/>
      </c>
      <c r="BQ30" s="2">
        <f>BP30+Z30+BN30</f>
        <v/>
      </c>
      <c r="BR30" s="2">
        <f>W30+AW30</f>
        <v/>
      </c>
      <c r="BS30" s="2">
        <f>X30+AX30</f>
        <v/>
      </c>
      <c r="BT30" s="2">
        <f>Y30+AY30</f>
        <v/>
      </c>
      <c r="BU30" s="2">
        <f>AG30+AK30+AO30+BR30+BS30+BT30</f>
        <v/>
      </c>
      <c r="BV30" s="2">
        <f>K30-AG30</f>
        <v/>
      </c>
      <c r="BW30" s="2">
        <f>M30-AK30</f>
        <v/>
      </c>
      <c r="BX30" s="2">
        <f>O30-AO30</f>
        <v/>
      </c>
      <c r="BY30" s="2">
        <f>C30-AE30</f>
        <v/>
      </c>
      <c r="BZ30" s="8">
        <f>AE30+BU30+BQ30+(BO30-Q30)-Pool!BW30</f>
        <v/>
      </c>
    </row>
    <row r="31">
      <c r="A31" s="7" t="n">
        <v>26</v>
      </c>
      <c r="B31" s="2">
        <f>Inputs!$B$51/12*Pool!BK31</f>
        <v/>
      </c>
      <c r="C31" s="2">
        <f>B31+BY30</f>
        <v/>
      </c>
      <c r="D31" s="2">
        <f>BH30</f>
        <v/>
      </c>
      <c r="E31" s="2">
        <f>BI30</f>
        <v/>
      </c>
      <c r="F31" s="2">
        <f>BJ30</f>
        <v/>
      </c>
      <c r="G31" s="3">
        <f>MAX(0,Pool!B31+Inputs!$B$42)</f>
        <v/>
      </c>
      <c r="H31" s="3">
        <f>MAX(0,Pool!B31+Inputs!$B$43)</f>
        <v/>
      </c>
      <c r="I31" s="3">
        <f>Inputs!$B$44</f>
        <v/>
      </c>
      <c r="J31" s="2">
        <f>D31*G31/12</f>
        <v/>
      </c>
      <c r="K31" s="2">
        <f>J31+BV30</f>
        <v/>
      </c>
      <c r="L31" s="2">
        <f>E31*H31/12</f>
        <v/>
      </c>
      <c r="M31" s="2">
        <f>L31+BW30</f>
        <v/>
      </c>
      <c r="N31" s="2">
        <f>F31*I31/12</f>
        <v/>
      </c>
      <c r="O31" s="2">
        <f>N31+BX30</f>
        <v/>
      </c>
      <c r="P31" s="2">
        <f>Pool!BM31</f>
        <v/>
      </c>
      <c r="Q31" s="2">
        <f>BO30</f>
        <v/>
      </c>
      <c r="R31" s="2">
        <f>MIN(Q31,MAX(0,C31+K31+M31-P31))</f>
        <v/>
      </c>
      <c r="S31" s="2">
        <f>P31+R31</f>
        <v/>
      </c>
      <c r="T31" s="2">
        <f>Pool!BN31+Pool!BO31+Pool!BQ31</f>
        <v/>
      </c>
      <c r="U31" s="7">
        <f>IF(OR(Inputs!$B$53=1,Tests!M30=1),1,0)</f>
        <v/>
      </c>
      <c r="V31" s="2">
        <f>D31+E31+F31</f>
        <v/>
      </c>
      <c r="W31" s="2">
        <f>IF(U31=1,MIN(D31,T31),IF(V31&lt;=0,0,MIN(T31,V31)*D31/V31))</f>
        <v/>
      </c>
      <c r="X31" s="2">
        <f>IF(U31=1,MIN(E31,T31-W31),IF(V31&lt;=0,0,MIN(T31,V31)*E31/V31))</f>
        <v/>
      </c>
      <c r="Y31" s="2">
        <f>IF(U31=1,MIN(F31,T31-W31-X31),IF(V31&lt;=0,0,MIN(T31,V31)*F31/V31))</f>
        <v/>
      </c>
      <c r="Z31" s="2">
        <f>T31-W31-X31-Y31</f>
        <v/>
      </c>
      <c r="AA31" s="2">
        <f>D31-W31</f>
        <v/>
      </c>
      <c r="AB31" s="2">
        <f>E31-X31</f>
        <v/>
      </c>
      <c r="AC31" s="2">
        <f>F31-Y31</f>
        <v/>
      </c>
      <c r="AD31" s="2">
        <f>AA31+AB31+AC31</f>
        <v/>
      </c>
      <c r="AE31" s="2">
        <f>MIN(C31,S31)</f>
        <v/>
      </c>
      <c r="AF31" s="2">
        <f>S31-AE31</f>
        <v/>
      </c>
      <c r="AG31" s="2">
        <f>MIN(K31,AF31)</f>
        <v/>
      </c>
      <c r="AH31" s="2">
        <f>AF31-AG31</f>
        <v/>
      </c>
      <c r="AI31" s="2">
        <f>IF(Tests!F31=1,MIN(AH31,AD31),0)</f>
        <v/>
      </c>
      <c r="AJ31" s="2">
        <f>AH31-AI31</f>
        <v/>
      </c>
      <c r="AK31" s="2">
        <f>MIN(M31,AJ31)</f>
        <v/>
      </c>
      <c r="AL31" s="2">
        <f>AJ31-AK31</f>
        <v/>
      </c>
      <c r="AM31" s="2">
        <f>IF(Tests!I31=1,MIN(AL31,AD31-AI31),0)</f>
        <v/>
      </c>
      <c r="AN31" s="2">
        <f>AL31-AM31</f>
        <v/>
      </c>
      <c r="AO31" s="2">
        <f>MIN(O31,AN31)</f>
        <v/>
      </c>
      <c r="AP31" s="2">
        <f>AN31-AO31</f>
        <v/>
      </c>
      <c r="AQ31" s="2">
        <f>IF(Tests!L31=1,MIN(AP31,AD31-AI31-AM31),0)</f>
        <v/>
      </c>
      <c r="AR31" s="2">
        <f>AP31-AQ31</f>
        <v/>
      </c>
      <c r="AS31" s="2">
        <f>MAX(0,AD31-AI31-AM31-AQ31-Pool!BV31)</f>
        <v/>
      </c>
      <c r="AT31" s="2">
        <f>MIN(AR31,AS31)</f>
        <v/>
      </c>
      <c r="AU31" s="2">
        <f>AR31-AT31</f>
        <v/>
      </c>
      <c r="AV31" s="2">
        <f>AI31+AM31+AQ31+AT31</f>
        <v/>
      </c>
      <c r="AW31" s="2">
        <f>MIN(AA31,AV31)</f>
        <v/>
      </c>
      <c r="AX31" s="2">
        <f>MIN(AB31,AV31-AW31)</f>
        <v/>
      </c>
      <c r="AY31" s="2">
        <f>MIN(AC31,AV31-AW31-AX31)</f>
        <v/>
      </c>
      <c r="AZ31" s="2">
        <f>AA31-AW31</f>
        <v/>
      </c>
      <c r="BA31" s="2">
        <f>AB31-AX31</f>
        <v/>
      </c>
      <c r="BB31" s="2">
        <f>AC31-AY31</f>
        <v/>
      </c>
      <c r="BC31" s="2">
        <f>AZ31+BA31+BB31</f>
        <v/>
      </c>
      <c r="BD31" s="2">
        <f>MAX(0,BC31-Pool!BV31)</f>
        <v/>
      </c>
      <c r="BE31" s="2">
        <f>MIN(BB31,BD31)</f>
        <v/>
      </c>
      <c r="BF31" s="2">
        <f>MIN(BA31,BD31-BE31)</f>
        <v/>
      </c>
      <c r="BG31" s="2">
        <f>MIN(AZ31,BD31-BE31-BF31)</f>
        <v/>
      </c>
      <c r="BH31" s="2">
        <f>AZ31-BG31</f>
        <v/>
      </c>
      <c r="BI31" s="2">
        <f>BA31-BF31</f>
        <v/>
      </c>
      <c r="BJ31" s="2">
        <f>BB31-BE31</f>
        <v/>
      </c>
      <c r="BK31" s="7">
        <f>IF(BH31+BI31+BJ31&lt;0.005,1,0)</f>
        <v/>
      </c>
      <c r="BL31" s="2">
        <f>Q31-R31</f>
        <v/>
      </c>
      <c r="BM31" s="2">
        <f>IF(BK31=1,0,MIN(AU31,MAX(0,Inputs!$B$48-BL31)))</f>
        <v/>
      </c>
      <c r="BN31" s="2">
        <f>IF(BK31=1,BL31,0)</f>
        <v/>
      </c>
      <c r="BO31" s="2">
        <f>BL31+BM31-BN31</f>
        <v/>
      </c>
      <c r="BP31" s="2">
        <f>AU31-BM31</f>
        <v/>
      </c>
      <c r="BQ31" s="2">
        <f>BP31+Z31+BN31</f>
        <v/>
      </c>
      <c r="BR31" s="2">
        <f>W31+AW31</f>
        <v/>
      </c>
      <c r="BS31" s="2">
        <f>X31+AX31</f>
        <v/>
      </c>
      <c r="BT31" s="2">
        <f>Y31+AY31</f>
        <v/>
      </c>
      <c r="BU31" s="2">
        <f>AG31+AK31+AO31+BR31+BS31+BT31</f>
        <v/>
      </c>
      <c r="BV31" s="2">
        <f>K31-AG31</f>
        <v/>
      </c>
      <c r="BW31" s="2">
        <f>M31-AK31</f>
        <v/>
      </c>
      <c r="BX31" s="2">
        <f>O31-AO31</f>
        <v/>
      </c>
      <c r="BY31" s="2">
        <f>C31-AE31</f>
        <v/>
      </c>
      <c r="BZ31" s="8">
        <f>AE31+BU31+BQ31+(BO31-Q31)-Pool!BW31</f>
        <v/>
      </c>
    </row>
    <row r="32">
      <c r="A32" s="7" t="n">
        <v>27</v>
      </c>
      <c r="B32" s="2">
        <f>Inputs!$B$51/12*Pool!BK32</f>
        <v/>
      </c>
      <c r="C32" s="2">
        <f>B32+BY31</f>
        <v/>
      </c>
      <c r="D32" s="2">
        <f>BH31</f>
        <v/>
      </c>
      <c r="E32" s="2">
        <f>BI31</f>
        <v/>
      </c>
      <c r="F32" s="2">
        <f>BJ31</f>
        <v/>
      </c>
      <c r="G32" s="3">
        <f>MAX(0,Pool!B32+Inputs!$B$42)</f>
        <v/>
      </c>
      <c r="H32" s="3">
        <f>MAX(0,Pool!B32+Inputs!$B$43)</f>
        <v/>
      </c>
      <c r="I32" s="3">
        <f>Inputs!$B$44</f>
        <v/>
      </c>
      <c r="J32" s="2">
        <f>D32*G32/12</f>
        <v/>
      </c>
      <c r="K32" s="2">
        <f>J32+BV31</f>
        <v/>
      </c>
      <c r="L32" s="2">
        <f>E32*H32/12</f>
        <v/>
      </c>
      <c r="M32" s="2">
        <f>L32+BW31</f>
        <v/>
      </c>
      <c r="N32" s="2">
        <f>F32*I32/12</f>
        <v/>
      </c>
      <c r="O32" s="2">
        <f>N32+BX31</f>
        <v/>
      </c>
      <c r="P32" s="2">
        <f>Pool!BM32</f>
        <v/>
      </c>
      <c r="Q32" s="2">
        <f>BO31</f>
        <v/>
      </c>
      <c r="R32" s="2">
        <f>MIN(Q32,MAX(0,C32+K32+M32-P32))</f>
        <v/>
      </c>
      <c r="S32" s="2">
        <f>P32+R32</f>
        <v/>
      </c>
      <c r="T32" s="2">
        <f>Pool!BN32+Pool!BO32+Pool!BQ32</f>
        <v/>
      </c>
      <c r="U32" s="7">
        <f>IF(OR(Inputs!$B$53=1,Tests!M31=1),1,0)</f>
        <v/>
      </c>
      <c r="V32" s="2">
        <f>D32+E32+F32</f>
        <v/>
      </c>
      <c r="W32" s="2">
        <f>IF(U32=1,MIN(D32,T32),IF(V32&lt;=0,0,MIN(T32,V32)*D32/V32))</f>
        <v/>
      </c>
      <c r="X32" s="2">
        <f>IF(U32=1,MIN(E32,T32-W32),IF(V32&lt;=0,0,MIN(T32,V32)*E32/V32))</f>
        <v/>
      </c>
      <c r="Y32" s="2">
        <f>IF(U32=1,MIN(F32,T32-W32-X32),IF(V32&lt;=0,0,MIN(T32,V32)*F32/V32))</f>
        <v/>
      </c>
      <c r="Z32" s="2">
        <f>T32-W32-X32-Y32</f>
        <v/>
      </c>
      <c r="AA32" s="2">
        <f>D32-W32</f>
        <v/>
      </c>
      <c r="AB32" s="2">
        <f>E32-X32</f>
        <v/>
      </c>
      <c r="AC32" s="2">
        <f>F32-Y32</f>
        <v/>
      </c>
      <c r="AD32" s="2">
        <f>AA32+AB32+AC32</f>
        <v/>
      </c>
      <c r="AE32" s="2">
        <f>MIN(C32,S32)</f>
        <v/>
      </c>
      <c r="AF32" s="2">
        <f>S32-AE32</f>
        <v/>
      </c>
      <c r="AG32" s="2">
        <f>MIN(K32,AF32)</f>
        <v/>
      </c>
      <c r="AH32" s="2">
        <f>AF32-AG32</f>
        <v/>
      </c>
      <c r="AI32" s="2">
        <f>IF(Tests!F32=1,MIN(AH32,AD32),0)</f>
        <v/>
      </c>
      <c r="AJ32" s="2">
        <f>AH32-AI32</f>
        <v/>
      </c>
      <c r="AK32" s="2">
        <f>MIN(M32,AJ32)</f>
        <v/>
      </c>
      <c r="AL32" s="2">
        <f>AJ32-AK32</f>
        <v/>
      </c>
      <c r="AM32" s="2">
        <f>IF(Tests!I32=1,MIN(AL32,AD32-AI32),0)</f>
        <v/>
      </c>
      <c r="AN32" s="2">
        <f>AL32-AM32</f>
        <v/>
      </c>
      <c r="AO32" s="2">
        <f>MIN(O32,AN32)</f>
        <v/>
      </c>
      <c r="AP32" s="2">
        <f>AN32-AO32</f>
        <v/>
      </c>
      <c r="AQ32" s="2">
        <f>IF(Tests!L32=1,MIN(AP32,AD32-AI32-AM32),0)</f>
        <v/>
      </c>
      <c r="AR32" s="2">
        <f>AP32-AQ32</f>
        <v/>
      </c>
      <c r="AS32" s="2">
        <f>MAX(0,AD32-AI32-AM32-AQ32-Pool!BV32)</f>
        <v/>
      </c>
      <c r="AT32" s="2">
        <f>MIN(AR32,AS32)</f>
        <v/>
      </c>
      <c r="AU32" s="2">
        <f>AR32-AT32</f>
        <v/>
      </c>
      <c r="AV32" s="2">
        <f>AI32+AM32+AQ32+AT32</f>
        <v/>
      </c>
      <c r="AW32" s="2">
        <f>MIN(AA32,AV32)</f>
        <v/>
      </c>
      <c r="AX32" s="2">
        <f>MIN(AB32,AV32-AW32)</f>
        <v/>
      </c>
      <c r="AY32" s="2">
        <f>MIN(AC32,AV32-AW32-AX32)</f>
        <v/>
      </c>
      <c r="AZ32" s="2">
        <f>AA32-AW32</f>
        <v/>
      </c>
      <c r="BA32" s="2">
        <f>AB32-AX32</f>
        <v/>
      </c>
      <c r="BB32" s="2">
        <f>AC32-AY32</f>
        <v/>
      </c>
      <c r="BC32" s="2">
        <f>AZ32+BA32+BB32</f>
        <v/>
      </c>
      <c r="BD32" s="2">
        <f>MAX(0,BC32-Pool!BV32)</f>
        <v/>
      </c>
      <c r="BE32" s="2">
        <f>MIN(BB32,BD32)</f>
        <v/>
      </c>
      <c r="BF32" s="2">
        <f>MIN(BA32,BD32-BE32)</f>
        <v/>
      </c>
      <c r="BG32" s="2">
        <f>MIN(AZ32,BD32-BE32-BF32)</f>
        <v/>
      </c>
      <c r="BH32" s="2">
        <f>AZ32-BG32</f>
        <v/>
      </c>
      <c r="BI32" s="2">
        <f>BA32-BF32</f>
        <v/>
      </c>
      <c r="BJ32" s="2">
        <f>BB32-BE32</f>
        <v/>
      </c>
      <c r="BK32" s="7">
        <f>IF(BH32+BI32+BJ32&lt;0.005,1,0)</f>
        <v/>
      </c>
      <c r="BL32" s="2">
        <f>Q32-R32</f>
        <v/>
      </c>
      <c r="BM32" s="2">
        <f>IF(BK32=1,0,MIN(AU32,MAX(0,Inputs!$B$48-BL32)))</f>
        <v/>
      </c>
      <c r="BN32" s="2">
        <f>IF(BK32=1,BL32,0)</f>
        <v/>
      </c>
      <c r="BO32" s="2">
        <f>BL32+BM32-BN32</f>
        <v/>
      </c>
      <c r="BP32" s="2">
        <f>AU32-BM32</f>
        <v/>
      </c>
      <c r="BQ32" s="2">
        <f>BP32+Z32+BN32</f>
        <v/>
      </c>
      <c r="BR32" s="2">
        <f>W32+AW32</f>
        <v/>
      </c>
      <c r="BS32" s="2">
        <f>X32+AX32</f>
        <v/>
      </c>
      <c r="BT32" s="2">
        <f>Y32+AY32</f>
        <v/>
      </c>
      <c r="BU32" s="2">
        <f>AG32+AK32+AO32+BR32+BS32+BT32</f>
        <v/>
      </c>
      <c r="BV32" s="2">
        <f>K32-AG32</f>
        <v/>
      </c>
      <c r="BW32" s="2">
        <f>M32-AK32</f>
        <v/>
      </c>
      <c r="BX32" s="2">
        <f>O32-AO32</f>
        <v/>
      </c>
      <c r="BY32" s="2">
        <f>C32-AE32</f>
        <v/>
      </c>
      <c r="BZ32" s="8">
        <f>AE32+BU32+BQ32+(BO32-Q32)-Pool!BW32</f>
        <v/>
      </c>
    </row>
    <row r="33">
      <c r="A33" s="7" t="n">
        <v>28</v>
      </c>
      <c r="B33" s="2">
        <f>Inputs!$B$51/12*Pool!BK33</f>
        <v/>
      </c>
      <c r="C33" s="2">
        <f>B33+BY32</f>
        <v/>
      </c>
      <c r="D33" s="2">
        <f>BH32</f>
        <v/>
      </c>
      <c r="E33" s="2">
        <f>BI32</f>
        <v/>
      </c>
      <c r="F33" s="2">
        <f>BJ32</f>
        <v/>
      </c>
      <c r="G33" s="3">
        <f>MAX(0,Pool!B33+Inputs!$B$42)</f>
        <v/>
      </c>
      <c r="H33" s="3">
        <f>MAX(0,Pool!B33+Inputs!$B$43)</f>
        <v/>
      </c>
      <c r="I33" s="3">
        <f>Inputs!$B$44</f>
        <v/>
      </c>
      <c r="J33" s="2">
        <f>D33*G33/12</f>
        <v/>
      </c>
      <c r="K33" s="2">
        <f>J33+BV32</f>
        <v/>
      </c>
      <c r="L33" s="2">
        <f>E33*H33/12</f>
        <v/>
      </c>
      <c r="M33" s="2">
        <f>L33+BW32</f>
        <v/>
      </c>
      <c r="N33" s="2">
        <f>F33*I33/12</f>
        <v/>
      </c>
      <c r="O33" s="2">
        <f>N33+BX32</f>
        <v/>
      </c>
      <c r="P33" s="2">
        <f>Pool!BM33</f>
        <v/>
      </c>
      <c r="Q33" s="2">
        <f>BO32</f>
        <v/>
      </c>
      <c r="R33" s="2">
        <f>MIN(Q33,MAX(0,C33+K33+M33-P33))</f>
        <v/>
      </c>
      <c r="S33" s="2">
        <f>P33+R33</f>
        <v/>
      </c>
      <c r="T33" s="2">
        <f>Pool!BN33+Pool!BO33+Pool!BQ33</f>
        <v/>
      </c>
      <c r="U33" s="7">
        <f>IF(OR(Inputs!$B$53=1,Tests!M32=1),1,0)</f>
        <v/>
      </c>
      <c r="V33" s="2">
        <f>D33+E33+F33</f>
        <v/>
      </c>
      <c r="W33" s="2">
        <f>IF(U33=1,MIN(D33,T33),IF(V33&lt;=0,0,MIN(T33,V33)*D33/V33))</f>
        <v/>
      </c>
      <c r="X33" s="2">
        <f>IF(U33=1,MIN(E33,T33-W33),IF(V33&lt;=0,0,MIN(T33,V33)*E33/V33))</f>
        <v/>
      </c>
      <c r="Y33" s="2">
        <f>IF(U33=1,MIN(F33,T33-W33-X33),IF(V33&lt;=0,0,MIN(T33,V33)*F33/V33))</f>
        <v/>
      </c>
      <c r="Z33" s="2">
        <f>T33-W33-X33-Y33</f>
        <v/>
      </c>
      <c r="AA33" s="2">
        <f>D33-W33</f>
        <v/>
      </c>
      <c r="AB33" s="2">
        <f>E33-X33</f>
        <v/>
      </c>
      <c r="AC33" s="2">
        <f>F33-Y33</f>
        <v/>
      </c>
      <c r="AD33" s="2">
        <f>AA33+AB33+AC33</f>
        <v/>
      </c>
      <c r="AE33" s="2">
        <f>MIN(C33,S33)</f>
        <v/>
      </c>
      <c r="AF33" s="2">
        <f>S33-AE33</f>
        <v/>
      </c>
      <c r="AG33" s="2">
        <f>MIN(K33,AF33)</f>
        <v/>
      </c>
      <c r="AH33" s="2">
        <f>AF33-AG33</f>
        <v/>
      </c>
      <c r="AI33" s="2">
        <f>IF(Tests!F33=1,MIN(AH33,AD33),0)</f>
        <v/>
      </c>
      <c r="AJ33" s="2">
        <f>AH33-AI33</f>
        <v/>
      </c>
      <c r="AK33" s="2">
        <f>MIN(M33,AJ33)</f>
        <v/>
      </c>
      <c r="AL33" s="2">
        <f>AJ33-AK33</f>
        <v/>
      </c>
      <c r="AM33" s="2">
        <f>IF(Tests!I33=1,MIN(AL33,AD33-AI33),0)</f>
        <v/>
      </c>
      <c r="AN33" s="2">
        <f>AL33-AM33</f>
        <v/>
      </c>
      <c r="AO33" s="2">
        <f>MIN(O33,AN33)</f>
        <v/>
      </c>
      <c r="AP33" s="2">
        <f>AN33-AO33</f>
        <v/>
      </c>
      <c r="AQ33" s="2">
        <f>IF(Tests!L33=1,MIN(AP33,AD33-AI33-AM33),0)</f>
        <v/>
      </c>
      <c r="AR33" s="2">
        <f>AP33-AQ33</f>
        <v/>
      </c>
      <c r="AS33" s="2">
        <f>MAX(0,AD33-AI33-AM33-AQ33-Pool!BV33)</f>
        <v/>
      </c>
      <c r="AT33" s="2">
        <f>MIN(AR33,AS33)</f>
        <v/>
      </c>
      <c r="AU33" s="2">
        <f>AR33-AT33</f>
        <v/>
      </c>
      <c r="AV33" s="2">
        <f>AI33+AM33+AQ33+AT33</f>
        <v/>
      </c>
      <c r="AW33" s="2">
        <f>MIN(AA33,AV33)</f>
        <v/>
      </c>
      <c r="AX33" s="2">
        <f>MIN(AB33,AV33-AW33)</f>
        <v/>
      </c>
      <c r="AY33" s="2">
        <f>MIN(AC33,AV33-AW33-AX33)</f>
        <v/>
      </c>
      <c r="AZ33" s="2">
        <f>AA33-AW33</f>
        <v/>
      </c>
      <c r="BA33" s="2">
        <f>AB33-AX33</f>
        <v/>
      </c>
      <c r="BB33" s="2">
        <f>AC33-AY33</f>
        <v/>
      </c>
      <c r="BC33" s="2">
        <f>AZ33+BA33+BB33</f>
        <v/>
      </c>
      <c r="BD33" s="2">
        <f>MAX(0,BC33-Pool!BV33)</f>
        <v/>
      </c>
      <c r="BE33" s="2">
        <f>MIN(BB33,BD33)</f>
        <v/>
      </c>
      <c r="BF33" s="2">
        <f>MIN(BA33,BD33-BE33)</f>
        <v/>
      </c>
      <c r="BG33" s="2">
        <f>MIN(AZ33,BD33-BE33-BF33)</f>
        <v/>
      </c>
      <c r="BH33" s="2">
        <f>AZ33-BG33</f>
        <v/>
      </c>
      <c r="BI33" s="2">
        <f>BA33-BF33</f>
        <v/>
      </c>
      <c r="BJ33" s="2">
        <f>BB33-BE33</f>
        <v/>
      </c>
      <c r="BK33" s="7">
        <f>IF(BH33+BI33+BJ33&lt;0.005,1,0)</f>
        <v/>
      </c>
      <c r="BL33" s="2">
        <f>Q33-R33</f>
        <v/>
      </c>
      <c r="BM33" s="2">
        <f>IF(BK33=1,0,MIN(AU33,MAX(0,Inputs!$B$48-BL33)))</f>
        <v/>
      </c>
      <c r="BN33" s="2">
        <f>IF(BK33=1,BL33,0)</f>
        <v/>
      </c>
      <c r="BO33" s="2">
        <f>BL33+BM33-BN33</f>
        <v/>
      </c>
      <c r="BP33" s="2">
        <f>AU33-BM33</f>
        <v/>
      </c>
      <c r="BQ33" s="2">
        <f>BP33+Z33+BN33</f>
        <v/>
      </c>
      <c r="BR33" s="2">
        <f>W33+AW33</f>
        <v/>
      </c>
      <c r="BS33" s="2">
        <f>X33+AX33</f>
        <v/>
      </c>
      <c r="BT33" s="2">
        <f>Y33+AY33</f>
        <v/>
      </c>
      <c r="BU33" s="2">
        <f>AG33+AK33+AO33+BR33+BS33+BT33</f>
        <v/>
      </c>
      <c r="BV33" s="2">
        <f>K33-AG33</f>
        <v/>
      </c>
      <c r="BW33" s="2">
        <f>M33-AK33</f>
        <v/>
      </c>
      <c r="BX33" s="2">
        <f>O33-AO33</f>
        <v/>
      </c>
      <c r="BY33" s="2">
        <f>C33-AE33</f>
        <v/>
      </c>
      <c r="BZ33" s="8">
        <f>AE33+BU33+BQ33+(BO33-Q33)-Pool!BW33</f>
        <v/>
      </c>
    </row>
    <row r="34">
      <c r="A34" s="7" t="n">
        <v>29</v>
      </c>
      <c r="B34" s="2">
        <f>Inputs!$B$51/12*Pool!BK34</f>
        <v/>
      </c>
      <c r="C34" s="2">
        <f>B34+BY33</f>
        <v/>
      </c>
      <c r="D34" s="2">
        <f>BH33</f>
        <v/>
      </c>
      <c r="E34" s="2">
        <f>BI33</f>
        <v/>
      </c>
      <c r="F34" s="2">
        <f>BJ33</f>
        <v/>
      </c>
      <c r="G34" s="3">
        <f>MAX(0,Pool!B34+Inputs!$B$42)</f>
        <v/>
      </c>
      <c r="H34" s="3">
        <f>MAX(0,Pool!B34+Inputs!$B$43)</f>
        <v/>
      </c>
      <c r="I34" s="3">
        <f>Inputs!$B$44</f>
        <v/>
      </c>
      <c r="J34" s="2">
        <f>D34*G34/12</f>
        <v/>
      </c>
      <c r="K34" s="2">
        <f>J34+BV33</f>
        <v/>
      </c>
      <c r="L34" s="2">
        <f>E34*H34/12</f>
        <v/>
      </c>
      <c r="M34" s="2">
        <f>L34+BW33</f>
        <v/>
      </c>
      <c r="N34" s="2">
        <f>F34*I34/12</f>
        <v/>
      </c>
      <c r="O34" s="2">
        <f>N34+BX33</f>
        <v/>
      </c>
      <c r="P34" s="2">
        <f>Pool!BM34</f>
        <v/>
      </c>
      <c r="Q34" s="2">
        <f>BO33</f>
        <v/>
      </c>
      <c r="R34" s="2">
        <f>MIN(Q34,MAX(0,C34+K34+M34-P34))</f>
        <v/>
      </c>
      <c r="S34" s="2">
        <f>P34+R34</f>
        <v/>
      </c>
      <c r="T34" s="2">
        <f>Pool!BN34+Pool!BO34+Pool!BQ34</f>
        <v/>
      </c>
      <c r="U34" s="7">
        <f>IF(OR(Inputs!$B$53=1,Tests!M33=1),1,0)</f>
        <v/>
      </c>
      <c r="V34" s="2">
        <f>D34+E34+F34</f>
        <v/>
      </c>
      <c r="W34" s="2">
        <f>IF(U34=1,MIN(D34,T34),IF(V34&lt;=0,0,MIN(T34,V34)*D34/V34))</f>
        <v/>
      </c>
      <c r="X34" s="2">
        <f>IF(U34=1,MIN(E34,T34-W34),IF(V34&lt;=0,0,MIN(T34,V34)*E34/V34))</f>
        <v/>
      </c>
      <c r="Y34" s="2">
        <f>IF(U34=1,MIN(F34,T34-W34-X34),IF(V34&lt;=0,0,MIN(T34,V34)*F34/V34))</f>
        <v/>
      </c>
      <c r="Z34" s="2">
        <f>T34-W34-X34-Y34</f>
        <v/>
      </c>
      <c r="AA34" s="2">
        <f>D34-W34</f>
        <v/>
      </c>
      <c r="AB34" s="2">
        <f>E34-X34</f>
        <v/>
      </c>
      <c r="AC34" s="2">
        <f>F34-Y34</f>
        <v/>
      </c>
      <c r="AD34" s="2">
        <f>AA34+AB34+AC34</f>
        <v/>
      </c>
      <c r="AE34" s="2">
        <f>MIN(C34,S34)</f>
        <v/>
      </c>
      <c r="AF34" s="2">
        <f>S34-AE34</f>
        <v/>
      </c>
      <c r="AG34" s="2">
        <f>MIN(K34,AF34)</f>
        <v/>
      </c>
      <c r="AH34" s="2">
        <f>AF34-AG34</f>
        <v/>
      </c>
      <c r="AI34" s="2">
        <f>IF(Tests!F34=1,MIN(AH34,AD34),0)</f>
        <v/>
      </c>
      <c r="AJ34" s="2">
        <f>AH34-AI34</f>
        <v/>
      </c>
      <c r="AK34" s="2">
        <f>MIN(M34,AJ34)</f>
        <v/>
      </c>
      <c r="AL34" s="2">
        <f>AJ34-AK34</f>
        <v/>
      </c>
      <c r="AM34" s="2">
        <f>IF(Tests!I34=1,MIN(AL34,AD34-AI34),0)</f>
        <v/>
      </c>
      <c r="AN34" s="2">
        <f>AL34-AM34</f>
        <v/>
      </c>
      <c r="AO34" s="2">
        <f>MIN(O34,AN34)</f>
        <v/>
      </c>
      <c r="AP34" s="2">
        <f>AN34-AO34</f>
        <v/>
      </c>
      <c r="AQ34" s="2">
        <f>IF(Tests!L34=1,MIN(AP34,AD34-AI34-AM34),0)</f>
        <v/>
      </c>
      <c r="AR34" s="2">
        <f>AP34-AQ34</f>
        <v/>
      </c>
      <c r="AS34" s="2">
        <f>MAX(0,AD34-AI34-AM34-AQ34-Pool!BV34)</f>
        <v/>
      </c>
      <c r="AT34" s="2">
        <f>MIN(AR34,AS34)</f>
        <v/>
      </c>
      <c r="AU34" s="2">
        <f>AR34-AT34</f>
        <v/>
      </c>
      <c r="AV34" s="2">
        <f>AI34+AM34+AQ34+AT34</f>
        <v/>
      </c>
      <c r="AW34" s="2">
        <f>MIN(AA34,AV34)</f>
        <v/>
      </c>
      <c r="AX34" s="2">
        <f>MIN(AB34,AV34-AW34)</f>
        <v/>
      </c>
      <c r="AY34" s="2">
        <f>MIN(AC34,AV34-AW34-AX34)</f>
        <v/>
      </c>
      <c r="AZ34" s="2">
        <f>AA34-AW34</f>
        <v/>
      </c>
      <c r="BA34" s="2">
        <f>AB34-AX34</f>
        <v/>
      </c>
      <c r="BB34" s="2">
        <f>AC34-AY34</f>
        <v/>
      </c>
      <c r="BC34" s="2">
        <f>AZ34+BA34+BB34</f>
        <v/>
      </c>
      <c r="BD34" s="2">
        <f>MAX(0,BC34-Pool!BV34)</f>
        <v/>
      </c>
      <c r="BE34" s="2">
        <f>MIN(BB34,BD34)</f>
        <v/>
      </c>
      <c r="BF34" s="2">
        <f>MIN(BA34,BD34-BE34)</f>
        <v/>
      </c>
      <c r="BG34" s="2">
        <f>MIN(AZ34,BD34-BE34-BF34)</f>
        <v/>
      </c>
      <c r="BH34" s="2">
        <f>AZ34-BG34</f>
        <v/>
      </c>
      <c r="BI34" s="2">
        <f>BA34-BF34</f>
        <v/>
      </c>
      <c r="BJ34" s="2">
        <f>BB34-BE34</f>
        <v/>
      </c>
      <c r="BK34" s="7">
        <f>IF(BH34+BI34+BJ34&lt;0.005,1,0)</f>
        <v/>
      </c>
      <c r="BL34" s="2">
        <f>Q34-R34</f>
        <v/>
      </c>
      <c r="BM34" s="2">
        <f>IF(BK34=1,0,MIN(AU34,MAX(0,Inputs!$B$48-BL34)))</f>
        <v/>
      </c>
      <c r="BN34" s="2">
        <f>IF(BK34=1,BL34,0)</f>
        <v/>
      </c>
      <c r="BO34" s="2">
        <f>BL34+BM34-BN34</f>
        <v/>
      </c>
      <c r="BP34" s="2">
        <f>AU34-BM34</f>
        <v/>
      </c>
      <c r="BQ34" s="2">
        <f>BP34+Z34+BN34</f>
        <v/>
      </c>
      <c r="BR34" s="2">
        <f>W34+AW34</f>
        <v/>
      </c>
      <c r="BS34" s="2">
        <f>X34+AX34</f>
        <v/>
      </c>
      <c r="BT34" s="2">
        <f>Y34+AY34</f>
        <v/>
      </c>
      <c r="BU34" s="2">
        <f>AG34+AK34+AO34+BR34+BS34+BT34</f>
        <v/>
      </c>
      <c r="BV34" s="2">
        <f>K34-AG34</f>
        <v/>
      </c>
      <c r="BW34" s="2">
        <f>M34-AK34</f>
        <v/>
      </c>
      <c r="BX34" s="2">
        <f>O34-AO34</f>
        <v/>
      </c>
      <c r="BY34" s="2">
        <f>C34-AE34</f>
        <v/>
      </c>
      <c r="BZ34" s="8">
        <f>AE34+BU34+BQ34+(BO34-Q34)-Pool!BW34</f>
        <v/>
      </c>
    </row>
    <row r="35">
      <c r="A35" s="7" t="n">
        <v>30</v>
      </c>
      <c r="B35" s="2">
        <f>Inputs!$B$51/12*Pool!BK35</f>
        <v/>
      </c>
      <c r="C35" s="2">
        <f>B35+BY34</f>
        <v/>
      </c>
      <c r="D35" s="2">
        <f>BH34</f>
        <v/>
      </c>
      <c r="E35" s="2">
        <f>BI34</f>
        <v/>
      </c>
      <c r="F35" s="2">
        <f>BJ34</f>
        <v/>
      </c>
      <c r="G35" s="3">
        <f>MAX(0,Pool!B35+Inputs!$B$42)</f>
        <v/>
      </c>
      <c r="H35" s="3">
        <f>MAX(0,Pool!B35+Inputs!$B$43)</f>
        <v/>
      </c>
      <c r="I35" s="3">
        <f>Inputs!$B$44</f>
        <v/>
      </c>
      <c r="J35" s="2">
        <f>D35*G35/12</f>
        <v/>
      </c>
      <c r="K35" s="2">
        <f>J35+BV34</f>
        <v/>
      </c>
      <c r="L35" s="2">
        <f>E35*H35/12</f>
        <v/>
      </c>
      <c r="M35" s="2">
        <f>L35+BW34</f>
        <v/>
      </c>
      <c r="N35" s="2">
        <f>F35*I35/12</f>
        <v/>
      </c>
      <c r="O35" s="2">
        <f>N35+BX34</f>
        <v/>
      </c>
      <c r="P35" s="2">
        <f>Pool!BM35</f>
        <v/>
      </c>
      <c r="Q35" s="2">
        <f>BO34</f>
        <v/>
      </c>
      <c r="R35" s="2">
        <f>MIN(Q35,MAX(0,C35+K35+M35-P35))</f>
        <v/>
      </c>
      <c r="S35" s="2">
        <f>P35+R35</f>
        <v/>
      </c>
      <c r="T35" s="2">
        <f>Pool!BN35+Pool!BO35+Pool!BQ35</f>
        <v/>
      </c>
      <c r="U35" s="7">
        <f>IF(OR(Inputs!$B$53=1,Tests!M34=1),1,0)</f>
        <v/>
      </c>
      <c r="V35" s="2">
        <f>D35+E35+F35</f>
        <v/>
      </c>
      <c r="W35" s="2">
        <f>IF(U35=1,MIN(D35,T35),IF(V35&lt;=0,0,MIN(T35,V35)*D35/V35))</f>
        <v/>
      </c>
      <c r="X35" s="2">
        <f>IF(U35=1,MIN(E35,T35-W35),IF(V35&lt;=0,0,MIN(T35,V35)*E35/V35))</f>
        <v/>
      </c>
      <c r="Y35" s="2">
        <f>IF(U35=1,MIN(F35,T35-W35-X35),IF(V35&lt;=0,0,MIN(T35,V35)*F35/V35))</f>
        <v/>
      </c>
      <c r="Z35" s="2">
        <f>T35-W35-X35-Y35</f>
        <v/>
      </c>
      <c r="AA35" s="2">
        <f>D35-W35</f>
        <v/>
      </c>
      <c r="AB35" s="2">
        <f>E35-X35</f>
        <v/>
      </c>
      <c r="AC35" s="2">
        <f>F35-Y35</f>
        <v/>
      </c>
      <c r="AD35" s="2">
        <f>AA35+AB35+AC35</f>
        <v/>
      </c>
      <c r="AE35" s="2">
        <f>MIN(C35,S35)</f>
        <v/>
      </c>
      <c r="AF35" s="2">
        <f>S35-AE35</f>
        <v/>
      </c>
      <c r="AG35" s="2">
        <f>MIN(K35,AF35)</f>
        <v/>
      </c>
      <c r="AH35" s="2">
        <f>AF35-AG35</f>
        <v/>
      </c>
      <c r="AI35" s="2">
        <f>IF(Tests!F35=1,MIN(AH35,AD35),0)</f>
        <v/>
      </c>
      <c r="AJ35" s="2">
        <f>AH35-AI35</f>
        <v/>
      </c>
      <c r="AK35" s="2">
        <f>MIN(M35,AJ35)</f>
        <v/>
      </c>
      <c r="AL35" s="2">
        <f>AJ35-AK35</f>
        <v/>
      </c>
      <c r="AM35" s="2">
        <f>IF(Tests!I35=1,MIN(AL35,AD35-AI35),0)</f>
        <v/>
      </c>
      <c r="AN35" s="2">
        <f>AL35-AM35</f>
        <v/>
      </c>
      <c r="AO35" s="2">
        <f>MIN(O35,AN35)</f>
        <v/>
      </c>
      <c r="AP35" s="2">
        <f>AN35-AO35</f>
        <v/>
      </c>
      <c r="AQ35" s="2">
        <f>IF(Tests!L35=1,MIN(AP35,AD35-AI35-AM35),0)</f>
        <v/>
      </c>
      <c r="AR35" s="2">
        <f>AP35-AQ35</f>
        <v/>
      </c>
      <c r="AS35" s="2">
        <f>MAX(0,AD35-AI35-AM35-AQ35-Pool!BV35)</f>
        <v/>
      </c>
      <c r="AT35" s="2">
        <f>MIN(AR35,AS35)</f>
        <v/>
      </c>
      <c r="AU35" s="2">
        <f>AR35-AT35</f>
        <v/>
      </c>
      <c r="AV35" s="2">
        <f>AI35+AM35+AQ35+AT35</f>
        <v/>
      </c>
      <c r="AW35" s="2">
        <f>MIN(AA35,AV35)</f>
        <v/>
      </c>
      <c r="AX35" s="2">
        <f>MIN(AB35,AV35-AW35)</f>
        <v/>
      </c>
      <c r="AY35" s="2">
        <f>MIN(AC35,AV35-AW35-AX35)</f>
        <v/>
      </c>
      <c r="AZ35" s="2">
        <f>AA35-AW35</f>
        <v/>
      </c>
      <c r="BA35" s="2">
        <f>AB35-AX35</f>
        <v/>
      </c>
      <c r="BB35" s="2">
        <f>AC35-AY35</f>
        <v/>
      </c>
      <c r="BC35" s="2">
        <f>AZ35+BA35+BB35</f>
        <v/>
      </c>
      <c r="BD35" s="2">
        <f>MAX(0,BC35-Pool!BV35)</f>
        <v/>
      </c>
      <c r="BE35" s="2">
        <f>MIN(BB35,BD35)</f>
        <v/>
      </c>
      <c r="BF35" s="2">
        <f>MIN(BA35,BD35-BE35)</f>
        <v/>
      </c>
      <c r="BG35" s="2">
        <f>MIN(AZ35,BD35-BE35-BF35)</f>
        <v/>
      </c>
      <c r="BH35" s="2">
        <f>AZ35-BG35</f>
        <v/>
      </c>
      <c r="BI35" s="2">
        <f>BA35-BF35</f>
        <v/>
      </c>
      <c r="BJ35" s="2">
        <f>BB35-BE35</f>
        <v/>
      </c>
      <c r="BK35" s="7">
        <f>IF(BH35+BI35+BJ35&lt;0.005,1,0)</f>
        <v/>
      </c>
      <c r="BL35" s="2">
        <f>Q35-R35</f>
        <v/>
      </c>
      <c r="BM35" s="2">
        <f>IF(BK35=1,0,MIN(AU35,MAX(0,Inputs!$B$48-BL35)))</f>
        <v/>
      </c>
      <c r="BN35" s="2">
        <f>IF(BK35=1,BL35,0)</f>
        <v/>
      </c>
      <c r="BO35" s="2">
        <f>BL35+BM35-BN35</f>
        <v/>
      </c>
      <c r="BP35" s="2">
        <f>AU35-BM35</f>
        <v/>
      </c>
      <c r="BQ35" s="2">
        <f>BP35+Z35+BN35</f>
        <v/>
      </c>
      <c r="BR35" s="2">
        <f>W35+AW35</f>
        <v/>
      </c>
      <c r="BS35" s="2">
        <f>X35+AX35</f>
        <v/>
      </c>
      <c r="BT35" s="2">
        <f>Y35+AY35</f>
        <v/>
      </c>
      <c r="BU35" s="2">
        <f>AG35+AK35+AO35+BR35+BS35+BT35</f>
        <v/>
      </c>
      <c r="BV35" s="2">
        <f>K35-AG35</f>
        <v/>
      </c>
      <c r="BW35" s="2">
        <f>M35-AK35</f>
        <v/>
      </c>
      <c r="BX35" s="2">
        <f>O35-AO35</f>
        <v/>
      </c>
      <c r="BY35" s="2">
        <f>C35-AE35</f>
        <v/>
      </c>
      <c r="BZ35" s="8">
        <f>AE35+BU35+BQ35+(BO35-Q35)-Pool!BW35</f>
        <v/>
      </c>
    </row>
    <row r="36">
      <c r="A36" s="7" t="n">
        <v>31</v>
      </c>
      <c r="B36" s="2">
        <f>Inputs!$B$51/12*Pool!BK36</f>
        <v/>
      </c>
      <c r="C36" s="2">
        <f>B36+BY35</f>
        <v/>
      </c>
      <c r="D36" s="2">
        <f>BH35</f>
        <v/>
      </c>
      <c r="E36" s="2">
        <f>BI35</f>
        <v/>
      </c>
      <c r="F36" s="2">
        <f>BJ35</f>
        <v/>
      </c>
      <c r="G36" s="3">
        <f>MAX(0,Pool!B36+Inputs!$B$42)</f>
        <v/>
      </c>
      <c r="H36" s="3">
        <f>MAX(0,Pool!B36+Inputs!$B$43)</f>
        <v/>
      </c>
      <c r="I36" s="3">
        <f>Inputs!$B$44</f>
        <v/>
      </c>
      <c r="J36" s="2">
        <f>D36*G36/12</f>
        <v/>
      </c>
      <c r="K36" s="2">
        <f>J36+BV35</f>
        <v/>
      </c>
      <c r="L36" s="2">
        <f>E36*H36/12</f>
        <v/>
      </c>
      <c r="M36" s="2">
        <f>L36+BW35</f>
        <v/>
      </c>
      <c r="N36" s="2">
        <f>F36*I36/12</f>
        <v/>
      </c>
      <c r="O36" s="2">
        <f>N36+BX35</f>
        <v/>
      </c>
      <c r="P36" s="2">
        <f>Pool!BM36</f>
        <v/>
      </c>
      <c r="Q36" s="2">
        <f>BO35</f>
        <v/>
      </c>
      <c r="R36" s="2">
        <f>MIN(Q36,MAX(0,C36+K36+M36-P36))</f>
        <v/>
      </c>
      <c r="S36" s="2">
        <f>P36+R36</f>
        <v/>
      </c>
      <c r="T36" s="2">
        <f>Pool!BN36+Pool!BO36+Pool!BQ36</f>
        <v/>
      </c>
      <c r="U36" s="7">
        <f>IF(OR(Inputs!$B$53=1,Tests!M35=1),1,0)</f>
        <v/>
      </c>
      <c r="V36" s="2">
        <f>D36+E36+F36</f>
        <v/>
      </c>
      <c r="W36" s="2">
        <f>IF(U36=1,MIN(D36,T36),IF(V36&lt;=0,0,MIN(T36,V36)*D36/V36))</f>
        <v/>
      </c>
      <c r="X36" s="2">
        <f>IF(U36=1,MIN(E36,T36-W36),IF(V36&lt;=0,0,MIN(T36,V36)*E36/V36))</f>
        <v/>
      </c>
      <c r="Y36" s="2">
        <f>IF(U36=1,MIN(F36,T36-W36-X36),IF(V36&lt;=0,0,MIN(T36,V36)*F36/V36))</f>
        <v/>
      </c>
      <c r="Z36" s="2">
        <f>T36-W36-X36-Y36</f>
        <v/>
      </c>
      <c r="AA36" s="2">
        <f>D36-W36</f>
        <v/>
      </c>
      <c r="AB36" s="2">
        <f>E36-X36</f>
        <v/>
      </c>
      <c r="AC36" s="2">
        <f>F36-Y36</f>
        <v/>
      </c>
      <c r="AD36" s="2">
        <f>AA36+AB36+AC36</f>
        <v/>
      </c>
      <c r="AE36" s="2">
        <f>MIN(C36,S36)</f>
        <v/>
      </c>
      <c r="AF36" s="2">
        <f>S36-AE36</f>
        <v/>
      </c>
      <c r="AG36" s="2">
        <f>MIN(K36,AF36)</f>
        <v/>
      </c>
      <c r="AH36" s="2">
        <f>AF36-AG36</f>
        <v/>
      </c>
      <c r="AI36" s="2">
        <f>IF(Tests!F36=1,MIN(AH36,AD36),0)</f>
        <v/>
      </c>
      <c r="AJ36" s="2">
        <f>AH36-AI36</f>
        <v/>
      </c>
      <c r="AK36" s="2">
        <f>MIN(M36,AJ36)</f>
        <v/>
      </c>
      <c r="AL36" s="2">
        <f>AJ36-AK36</f>
        <v/>
      </c>
      <c r="AM36" s="2">
        <f>IF(Tests!I36=1,MIN(AL36,AD36-AI36),0)</f>
        <v/>
      </c>
      <c r="AN36" s="2">
        <f>AL36-AM36</f>
        <v/>
      </c>
      <c r="AO36" s="2">
        <f>MIN(O36,AN36)</f>
        <v/>
      </c>
      <c r="AP36" s="2">
        <f>AN36-AO36</f>
        <v/>
      </c>
      <c r="AQ36" s="2">
        <f>IF(Tests!L36=1,MIN(AP36,AD36-AI36-AM36),0)</f>
        <v/>
      </c>
      <c r="AR36" s="2">
        <f>AP36-AQ36</f>
        <v/>
      </c>
      <c r="AS36" s="2">
        <f>MAX(0,AD36-AI36-AM36-AQ36-Pool!BV36)</f>
        <v/>
      </c>
      <c r="AT36" s="2">
        <f>MIN(AR36,AS36)</f>
        <v/>
      </c>
      <c r="AU36" s="2">
        <f>AR36-AT36</f>
        <v/>
      </c>
      <c r="AV36" s="2">
        <f>AI36+AM36+AQ36+AT36</f>
        <v/>
      </c>
      <c r="AW36" s="2">
        <f>MIN(AA36,AV36)</f>
        <v/>
      </c>
      <c r="AX36" s="2">
        <f>MIN(AB36,AV36-AW36)</f>
        <v/>
      </c>
      <c r="AY36" s="2">
        <f>MIN(AC36,AV36-AW36-AX36)</f>
        <v/>
      </c>
      <c r="AZ36" s="2">
        <f>AA36-AW36</f>
        <v/>
      </c>
      <c r="BA36" s="2">
        <f>AB36-AX36</f>
        <v/>
      </c>
      <c r="BB36" s="2">
        <f>AC36-AY36</f>
        <v/>
      </c>
      <c r="BC36" s="2">
        <f>AZ36+BA36+BB36</f>
        <v/>
      </c>
      <c r="BD36" s="2">
        <f>MAX(0,BC36-Pool!BV36)</f>
        <v/>
      </c>
      <c r="BE36" s="2">
        <f>MIN(BB36,BD36)</f>
        <v/>
      </c>
      <c r="BF36" s="2">
        <f>MIN(BA36,BD36-BE36)</f>
        <v/>
      </c>
      <c r="BG36" s="2">
        <f>MIN(AZ36,BD36-BE36-BF36)</f>
        <v/>
      </c>
      <c r="BH36" s="2">
        <f>AZ36-BG36</f>
        <v/>
      </c>
      <c r="BI36" s="2">
        <f>BA36-BF36</f>
        <v/>
      </c>
      <c r="BJ36" s="2">
        <f>BB36-BE36</f>
        <v/>
      </c>
      <c r="BK36" s="7">
        <f>IF(BH36+BI36+BJ36&lt;0.005,1,0)</f>
        <v/>
      </c>
      <c r="BL36" s="2">
        <f>Q36-R36</f>
        <v/>
      </c>
      <c r="BM36" s="2">
        <f>IF(BK36=1,0,MIN(AU36,MAX(0,Inputs!$B$48-BL36)))</f>
        <v/>
      </c>
      <c r="BN36" s="2">
        <f>IF(BK36=1,BL36,0)</f>
        <v/>
      </c>
      <c r="BO36" s="2">
        <f>BL36+BM36-BN36</f>
        <v/>
      </c>
      <c r="BP36" s="2">
        <f>AU36-BM36</f>
        <v/>
      </c>
      <c r="BQ36" s="2">
        <f>BP36+Z36+BN36</f>
        <v/>
      </c>
      <c r="BR36" s="2">
        <f>W36+AW36</f>
        <v/>
      </c>
      <c r="BS36" s="2">
        <f>X36+AX36</f>
        <v/>
      </c>
      <c r="BT36" s="2">
        <f>Y36+AY36</f>
        <v/>
      </c>
      <c r="BU36" s="2">
        <f>AG36+AK36+AO36+BR36+BS36+BT36</f>
        <v/>
      </c>
      <c r="BV36" s="2">
        <f>K36-AG36</f>
        <v/>
      </c>
      <c r="BW36" s="2">
        <f>M36-AK36</f>
        <v/>
      </c>
      <c r="BX36" s="2">
        <f>O36-AO36</f>
        <v/>
      </c>
      <c r="BY36" s="2">
        <f>C36-AE36</f>
        <v/>
      </c>
      <c r="BZ36" s="8">
        <f>AE36+BU36+BQ36+(BO36-Q36)-Pool!BW36</f>
        <v/>
      </c>
    </row>
    <row r="37">
      <c r="A37" s="7" t="n">
        <v>32</v>
      </c>
      <c r="B37" s="2">
        <f>Inputs!$B$51/12*Pool!BK37</f>
        <v/>
      </c>
      <c r="C37" s="2">
        <f>B37+BY36</f>
        <v/>
      </c>
      <c r="D37" s="2">
        <f>BH36</f>
        <v/>
      </c>
      <c r="E37" s="2">
        <f>BI36</f>
        <v/>
      </c>
      <c r="F37" s="2">
        <f>BJ36</f>
        <v/>
      </c>
      <c r="G37" s="3">
        <f>MAX(0,Pool!B37+Inputs!$B$42)</f>
        <v/>
      </c>
      <c r="H37" s="3">
        <f>MAX(0,Pool!B37+Inputs!$B$43)</f>
        <v/>
      </c>
      <c r="I37" s="3">
        <f>Inputs!$B$44</f>
        <v/>
      </c>
      <c r="J37" s="2">
        <f>D37*G37/12</f>
        <v/>
      </c>
      <c r="K37" s="2">
        <f>J37+BV36</f>
        <v/>
      </c>
      <c r="L37" s="2">
        <f>E37*H37/12</f>
        <v/>
      </c>
      <c r="M37" s="2">
        <f>L37+BW36</f>
        <v/>
      </c>
      <c r="N37" s="2">
        <f>F37*I37/12</f>
        <v/>
      </c>
      <c r="O37" s="2">
        <f>N37+BX36</f>
        <v/>
      </c>
      <c r="P37" s="2">
        <f>Pool!BM37</f>
        <v/>
      </c>
      <c r="Q37" s="2">
        <f>BO36</f>
        <v/>
      </c>
      <c r="R37" s="2">
        <f>MIN(Q37,MAX(0,C37+K37+M37-P37))</f>
        <v/>
      </c>
      <c r="S37" s="2">
        <f>P37+R37</f>
        <v/>
      </c>
      <c r="T37" s="2">
        <f>Pool!BN37+Pool!BO37+Pool!BQ37</f>
        <v/>
      </c>
      <c r="U37" s="7">
        <f>IF(OR(Inputs!$B$53=1,Tests!M36=1),1,0)</f>
        <v/>
      </c>
      <c r="V37" s="2">
        <f>D37+E37+F37</f>
        <v/>
      </c>
      <c r="W37" s="2">
        <f>IF(U37=1,MIN(D37,T37),IF(V37&lt;=0,0,MIN(T37,V37)*D37/V37))</f>
        <v/>
      </c>
      <c r="X37" s="2">
        <f>IF(U37=1,MIN(E37,T37-W37),IF(V37&lt;=0,0,MIN(T37,V37)*E37/V37))</f>
        <v/>
      </c>
      <c r="Y37" s="2">
        <f>IF(U37=1,MIN(F37,T37-W37-X37),IF(V37&lt;=0,0,MIN(T37,V37)*F37/V37))</f>
        <v/>
      </c>
      <c r="Z37" s="2">
        <f>T37-W37-X37-Y37</f>
        <v/>
      </c>
      <c r="AA37" s="2">
        <f>D37-W37</f>
        <v/>
      </c>
      <c r="AB37" s="2">
        <f>E37-X37</f>
        <v/>
      </c>
      <c r="AC37" s="2">
        <f>F37-Y37</f>
        <v/>
      </c>
      <c r="AD37" s="2">
        <f>AA37+AB37+AC37</f>
        <v/>
      </c>
      <c r="AE37" s="2">
        <f>MIN(C37,S37)</f>
        <v/>
      </c>
      <c r="AF37" s="2">
        <f>S37-AE37</f>
        <v/>
      </c>
      <c r="AG37" s="2">
        <f>MIN(K37,AF37)</f>
        <v/>
      </c>
      <c r="AH37" s="2">
        <f>AF37-AG37</f>
        <v/>
      </c>
      <c r="AI37" s="2">
        <f>IF(Tests!F37=1,MIN(AH37,AD37),0)</f>
        <v/>
      </c>
      <c r="AJ37" s="2">
        <f>AH37-AI37</f>
        <v/>
      </c>
      <c r="AK37" s="2">
        <f>MIN(M37,AJ37)</f>
        <v/>
      </c>
      <c r="AL37" s="2">
        <f>AJ37-AK37</f>
        <v/>
      </c>
      <c r="AM37" s="2">
        <f>IF(Tests!I37=1,MIN(AL37,AD37-AI37),0)</f>
        <v/>
      </c>
      <c r="AN37" s="2">
        <f>AL37-AM37</f>
        <v/>
      </c>
      <c r="AO37" s="2">
        <f>MIN(O37,AN37)</f>
        <v/>
      </c>
      <c r="AP37" s="2">
        <f>AN37-AO37</f>
        <v/>
      </c>
      <c r="AQ37" s="2">
        <f>IF(Tests!L37=1,MIN(AP37,AD37-AI37-AM37),0)</f>
        <v/>
      </c>
      <c r="AR37" s="2">
        <f>AP37-AQ37</f>
        <v/>
      </c>
      <c r="AS37" s="2">
        <f>MAX(0,AD37-AI37-AM37-AQ37-Pool!BV37)</f>
        <v/>
      </c>
      <c r="AT37" s="2">
        <f>MIN(AR37,AS37)</f>
        <v/>
      </c>
      <c r="AU37" s="2">
        <f>AR37-AT37</f>
        <v/>
      </c>
      <c r="AV37" s="2">
        <f>AI37+AM37+AQ37+AT37</f>
        <v/>
      </c>
      <c r="AW37" s="2">
        <f>MIN(AA37,AV37)</f>
        <v/>
      </c>
      <c r="AX37" s="2">
        <f>MIN(AB37,AV37-AW37)</f>
        <v/>
      </c>
      <c r="AY37" s="2">
        <f>MIN(AC37,AV37-AW37-AX37)</f>
        <v/>
      </c>
      <c r="AZ37" s="2">
        <f>AA37-AW37</f>
        <v/>
      </c>
      <c r="BA37" s="2">
        <f>AB37-AX37</f>
        <v/>
      </c>
      <c r="BB37" s="2">
        <f>AC37-AY37</f>
        <v/>
      </c>
      <c r="BC37" s="2">
        <f>AZ37+BA37+BB37</f>
        <v/>
      </c>
      <c r="BD37" s="2">
        <f>MAX(0,BC37-Pool!BV37)</f>
        <v/>
      </c>
      <c r="BE37" s="2">
        <f>MIN(BB37,BD37)</f>
        <v/>
      </c>
      <c r="BF37" s="2">
        <f>MIN(BA37,BD37-BE37)</f>
        <v/>
      </c>
      <c r="BG37" s="2">
        <f>MIN(AZ37,BD37-BE37-BF37)</f>
        <v/>
      </c>
      <c r="BH37" s="2">
        <f>AZ37-BG37</f>
        <v/>
      </c>
      <c r="BI37" s="2">
        <f>BA37-BF37</f>
        <v/>
      </c>
      <c r="BJ37" s="2">
        <f>BB37-BE37</f>
        <v/>
      </c>
      <c r="BK37" s="7">
        <f>IF(BH37+BI37+BJ37&lt;0.005,1,0)</f>
        <v/>
      </c>
      <c r="BL37" s="2">
        <f>Q37-R37</f>
        <v/>
      </c>
      <c r="BM37" s="2">
        <f>IF(BK37=1,0,MIN(AU37,MAX(0,Inputs!$B$48-BL37)))</f>
        <v/>
      </c>
      <c r="BN37" s="2">
        <f>IF(BK37=1,BL37,0)</f>
        <v/>
      </c>
      <c r="BO37" s="2">
        <f>BL37+BM37-BN37</f>
        <v/>
      </c>
      <c r="BP37" s="2">
        <f>AU37-BM37</f>
        <v/>
      </c>
      <c r="BQ37" s="2">
        <f>BP37+Z37+BN37</f>
        <v/>
      </c>
      <c r="BR37" s="2">
        <f>W37+AW37</f>
        <v/>
      </c>
      <c r="BS37" s="2">
        <f>X37+AX37</f>
        <v/>
      </c>
      <c r="BT37" s="2">
        <f>Y37+AY37</f>
        <v/>
      </c>
      <c r="BU37" s="2">
        <f>AG37+AK37+AO37+BR37+BS37+BT37</f>
        <v/>
      </c>
      <c r="BV37" s="2">
        <f>K37-AG37</f>
        <v/>
      </c>
      <c r="BW37" s="2">
        <f>M37-AK37</f>
        <v/>
      </c>
      <c r="BX37" s="2">
        <f>O37-AO37</f>
        <v/>
      </c>
      <c r="BY37" s="2">
        <f>C37-AE37</f>
        <v/>
      </c>
      <c r="BZ37" s="8">
        <f>AE37+BU37+BQ37+(BO37-Q37)-Pool!BW37</f>
        <v/>
      </c>
    </row>
    <row r="38">
      <c r="A38" s="7" t="n">
        <v>33</v>
      </c>
      <c r="B38" s="2">
        <f>Inputs!$B$51/12*Pool!BK38</f>
        <v/>
      </c>
      <c r="C38" s="2">
        <f>B38+BY37</f>
        <v/>
      </c>
      <c r="D38" s="2">
        <f>BH37</f>
        <v/>
      </c>
      <c r="E38" s="2">
        <f>BI37</f>
        <v/>
      </c>
      <c r="F38" s="2">
        <f>BJ37</f>
        <v/>
      </c>
      <c r="G38" s="3">
        <f>MAX(0,Pool!B38+Inputs!$B$42)</f>
        <v/>
      </c>
      <c r="H38" s="3">
        <f>MAX(0,Pool!B38+Inputs!$B$43)</f>
        <v/>
      </c>
      <c r="I38" s="3">
        <f>Inputs!$B$44</f>
        <v/>
      </c>
      <c r="J38" s="2">
        <f>D38*G38/12</f>
        <v/>
      </c>
      <c r="K38" s="2">
        <f>J38+BV37</f>
        <v/>
      </c>
      <c r="L38" s="2">
        <f>E38*H38/12</f>
        <v/>
      </c>
      <c r="M38" s="2">
        <f>L38+BW37</f>
        <v/>
      </c>
      <c r="N38" s="2">
        <f>F38*I38/12</f>
        <v/>
      </c>
      <c r="O38" s="2">
        <f>N38+BX37</f>
        <v/>
      </c>
      <c r="P38" s="2">
        <f>Pool!BM38</f>
        <v/>
      </c>
      <c r="Q38" s="2">
        <f>BO37</f>
        <v/>
      </c>
      <c r="R38" s="2">
        <f>MIN(Q38,MAX(0,C38+K38+M38-P38))</f>
        <v/>
      </c>
      <c r="S38" s="2">
        <f>P38+R38</f>
        <v/>
      </c>
      <c r="T38" s="2">
        <f>Pool!BN38+Pool!BO38+Pool!BQ38</f>
        <v/>
      </c>
      <c r="U38" s="7">
        <f>IF(OR(Inputs!$B$53=1,Tests!M37=1),1,0)</f>
        <v/>
      </c>
      <c r="V38" s="2">
        <f>D38+E38+F38</f>
        <v/>
      </c>
      <c r="W38" s="2">
        <f>IF(U38=1,MIN(D38,T38),IF(V38&lt;=0,0,MIN(T38,V38)*D38/V38))</f>
        <v/>
      </c>
      <c r="X38" s="2">
        <f>IF(U38=1,MIN(E38,T38-W38),IF(V38&lt;=0,0,MIN(T38,V38)*E38/V38))</f>
        <v/>
      </c>
      <c r="Y38" s="2">
        <f>IF(U38=1,MIN(F38,T38-W38-X38),IF(V38&lt;=0,0,MIN(T38,V38)*F38/V38))</f>
        <v/>
      </c>
      <c r="Z38" s="2">
        <f>T38-W38-X38-Y38</f>
        <v/>
      </c>
      <c r="AA38" s="2">
        <f>D38-W38</f>
        <v/>
      </c>
      <c r="AB38" s="2">
        <f>E38-X38</f>
        <v/>
      </c>
      <c r="AC38" s="2">
        <f>F38-Y38</f>
        <v/>
      </c>
      <c r="AD38" s="2">
        <f>AA38+AB38+AC38</f>
        <v/>
      </c>
      <c r="AE38" s="2">
        <f>MIN(C38,S38)</f>
        <v/>
      </c>
      <c r="AF38" s="2">
        <f>S38-AE38</f>
        <v/>
      </c>
      <c r="AG38" s="2">
        <f>MIN(K38,AF38)</f>
        <v/>
      </c>
      <c r="AH38" s="2">
        <f>AF38-AG38</f>
        <v/>
      </c>
      <c r="AI38" s="2">
        <f>IF(Tests!F38=1,MIN(AH38,AD38),0)</f>
        <v/>
      </c>
      <c r="AJ38" s="2">
        <f>AH38-AI38</f>
        <v/>
      </c>
      <c r="AK38" s="2">
        <f>MIN(M38,AJ38)</f>
        <v/>
      </c>
      <c r="AL38" s="2">
        <f>AJ38-AK38</f>
        <v/>
      </c>
      <c r="AM38" s="2">
        <f>IF(Tests!I38=1,MIN(AL38,AD38-AI38),0)</f>
        <v/>
      </c>
      <c r="AN38" s="2">
        <f>AL38-AM38</f>
        <v/>
      </c>
      <c r="AO38" s="2">
        <f>MIN(O38,AN38)</f>
        <v/>
      </c>
      <c r="AP38" s="2">
        <f>AN38-AO38</f>
        <v/>
      </c>
      <c r="AQ38" s="2">
        <f>IF(Tests!L38=1,MIN(AP38,AD38-AI38-AM38),0)</f>
        <v/>
      </c>
      <c r="AR38" s="2">
        <f>AP38-AQ38</f>
        <v/>
      </c>
      <c r="AS38" s="2">
        <f>MAX(0,AD38-AI38-AM38-AQ38-Pool!BV38)</f>
        <v/>
      </c>
      <c r="AT38" s="2">
        <f>MIN(AR38,AS38)</f>
        <v/>
      </c>
      <c r="AU38" s="2">
        <f>AR38-AT38</f>
        <v/>
      </c>
      <c r="AV38" s="2">
        <f>AI38+AM38+AQ38+AT38</f>
        <v/>
      </c>
      <c r="AW38" s="2">
        <f>MIN(AA38,AV38)</f>
        <v/>
      </c>
      <c r="AX38" s="2">
        <f>MIN(AB38,AV38-AW38)</f>
        <v/>
      </c>
      <c r="AY38" s="2">
        <f>MIN(AC38,AV38-AW38-AX38)</f>
        <v/>
      </c>
      <c r="AZ38" s="2">
        <f>AA38-AW38</f>
        <v/>
      </c>
      <c r="BA38" s="2">
        <f>AB38-AX38</f>
        <v/>
      </c>
      <c r="BB38" s="2">
        <f>AC38-AY38</f>
        <v/>
      </c>
      <c r="BC38" s="2">
        <f>AZ38+BA38+BB38</f>
        <v/>
      </c>
      <c r="BD38" s="2">
        <f>MAX(0,BC38-Pool!BV38)</f>
        <v/>
      </c>
      <c r="BE38" s="2">
        <f>MIN(BB38,BD38)</f>
        <v/>
      </c>
      <c r="BF38" s="2">
        <f>MIN(BA38,BD38-BE38)</f>
        <v/>
      </c>
      <c r="BG38" s="2">
        <f>MIN(AZ38,BD38-BE38-BF38)</f>
        <v/>
      </c>
      <c r="BH38" s="2">
        <f>AZ38-BG38</f>
        <v/>
      </c>
      <c r="BI38" s="2">
        <f>BA38-BF38</f>
        <v/>
      </c>
      <c r="BJ38" s="2">
        <f>BB38-BE38</f>
        <v/>
      </c>
      <c r="BK38" s="7">
        <f>IF(BH38+BI38+BJ38&lt;0.005,1,0)</f>
        <v/>
      </c>
      <c r="BL38" s="2">
        <f>Q38-R38</f>
        <v/>
      </c>
      <c r="BM38" s="2">
        <f>IF(BK38=1,0,MIN(AU38,MAX(0,Inputs!$B$48-BL38)))</f>
        <v/>
      </c>
      <c r="BN38" s="2">
        <f>IF(BK38=1,BL38,0)</f>
        <v/>
      </c>
      <c r="BO38" s="2">
        <f>BL38+BM38-BN38</f>
        <v/>
      </c>
      <c r="BP38" s="2">
        <f>AU38-BM38</f>
        <v/>
      </c>
      <c r="BQ38" s="2">
        <f>BP38+Z38+BN38</f>
        <v/>
      </c>
      <c r="BR38" s="2">
        <f>W38+AW38</f>
        <v/>
      </c>
      <c r="BS38" s="2">
        <f>X38+AX38</f>
        <v/>
      </c>
      <c r="BT38" s="2">
        <f>Y38+AY38</f>
        <v/>
      </c>
      <c r="BU38" s="2">
        <f>AG38+AK38+AO38+BR38+BS38+BT38</f>
        <v/>
      </c>
      <c r="BV38" s="2">
        <f>K38-AG38</f>
        <v/>
      </c>
      <c r="BW38" s="2">
        <f>M38-AK38</f>
        <v/>
      </c>
      <c r="BX38" s="2">
        <f>O38-AO38</f>
        <v/>
      </c>
      <c r="BY38" s="2">
        <f>C38-AE38</f>
        <v/>
      </c>
      <c r="BZ38" s="8">
        <f>AE38+BU38+BQ38+(BO38-Q38)-Pool!BW38</f>
        <v/>
      </c>
    </row>
    <row r="39">
      <c r="A39" s="7" t="n">
        <v>34</v>
      </c>
      <c r="B39" s="2">
        <f>Inputs!$B$51/12*Pool!BK39</f>
        <v/>
      </c>
      <c r="C39" s="2">
        <f>B39+BY38</f>
        <v/>
      </c>
      <c r="D39" s="2">
        <f>BH38</f>
        <v/>
      </c>
      <c r="E39" s="2">
        <f>BI38</f>
        <v/>
      </c>
      <c r="F39" s="2">
        <f>BJ38</f>
        <v/>
      </c>
      <c r="G39" s="3">
        <f>MAX(0,Pool!B39+Inputs!$B$42)</f>
        <v/>
      </c>
      <c r="H39" s="3">
        <f>MAX(0,Pool!B39+Inputs!$B$43)</f>
        <v/>
      </c>
      <c r="I39" s="3">
        <f>Inputs!$B$44</f>
        <v/>
      </c>
      <c r="J39" s="2">
        <f>D39*G39/12</f>
        <v/>
      </c>
      <c r="K39" s="2">
        <f>J39+BV38</f>
        <v/>
      </c>
      <c r="L39" s="2">
        <f>E39*H39/12</f>
        <v/>
      </c>
      <c r="M39" s="2">
        <f>L39+BW38</f>
        <v/>
      </c>
      <c r="N39" s="2">
        <f>F39*I39/12</f>
        <v/>
      </c>
      <c r="O39" s="2">
        <f>N39+BX38</f>
        <v/>
      </c>
      <c r="P39" s="2">
        <f>Pool!BM39</f>
        <v/>
      </c>
      <c r="Q39" s="2">
        <f>BO38</f>
        <v/>
      </c>
      <c r="R39" s="2">
        <f>MIN(Q39,MAX(0,C39+K39+M39-P39))</f>
        <v/>
      </c>
      <c r="S39" s="2">
        <f>P39+R39</f>
        <v/>
      </c>
      <c r="T39" s="2">
        <f>Pool!BN39+Pool!BO39+Pool!BQ39</f>
        <v/>
      </c>
      <c r="U39" s="7">
        <f>IF(OR(Inputs!$B$53=1,Tests!M38=1),1,0)</f>
        <v/>
      </c>
      <c r="V39" s="2">
        <f>D39+E39+F39</f>
        <v/>
      </c>
      <c r="W39" s="2">
        <f>IF(U39=1,MIN(D39,T39),IF(V39&lt;=0,0,MIN(T39,V39)*D39/V39))</f>
        <v/>
      </c>
      <c r="X39" s="2">
        <f>IF(U39=1,MIN(E39,T39-W39),IF(V39&lt;=0,0,MIN(T39,V39)*E39/V39))</f>
        <v/>
      </c>
      <c r="Y39" s="2">
        <f>IF(U39=1,MIN(F39,T39-W39-X39),IF(V39&lt;=0,0,MIN(T39,V39)*F39/V39))</f>
        <v/>
      </c>
      <c r="Z39" s="2">
        <f>T39-W39-X39-Y39</f>
        <v/>
      </c>
      <c r="AA39" s="2">
        <f>D39-W39</f>
        <v/>
      </c>
      <c r="AB39" s="2">
        <f>E39-X39</f>
        <v/>
      </c>
      <c r="AC39" s="2">
        <f>F39-Y39</f>
        <v/>
      </c>
      <c r="AD39" s="2">
        <f>AA39+AB39+AC39</f>
        <v/>
      </c>
      <c r="AE39" s="2">
        <f>MIN(C39,S39)</f>
        <v/>
      </c>
      <c r="AF39" s="2">
        <f>S39-AE39</f>
        <v/>
      </c>
      <c r="AG39" s="2">
        <f>MIN(K39,AF39)</f>
        <v/>
      </c>
      <c r="AH39" s="2">
        <f>AF39-AG39</f>
        <v/>
      </c>
      <c r="AI39" s="2">
        <f>IF(Tests!F39=1,MIN(AH39,AD39),0)</f>
        <v/>
      </c>
      <c r="AJ39" s="2">
        <f>AH39-AI39</f>
        <v/>
      </c>
      <c r="AK39" s="2">
        <f>MIN(M39,AJ39)</f>
        <v/>
      </c>
      <c r="AL39" s="2">
        <f>AJ39-AK39</f>
        <v/>
      </c>
      <c r="AM39" s="2">
        <f>IF(Tests!I39=1,MIN(AL39,AD39-AI39),0)</f>
        <v/>
      </c>
      <c r="AN39" s="2">
        <f>AL39-AM39</f>
        <v/>
      </c>
      <c r="AO39" s="2">
        <f>MIN(O39,AN39)</f>
        <v/>
      </c>
      <c r="AP39" s="2">
        <f>AN39-AO39</f>
        <v/>
      </c>
      <c r="AQ39" s="2">
        <f>IF(Tests!L39=1,MIN(AP39,AD39-AI39-AM39),0)</f>
        <v/>
      </c>
      <c r="AR39" s="2">
        <f>AP39-AQ39</f>
        <v/>
      </c>
      <c r="AS39" s="2">
        <f>MAX(0,AD39-AI39-AM39-AQ39-Pool!BV39)</f>
        <v/>
      </c>
      <c r="AT39" s="2">
        <f>MIN(AR39,AS39)</f>
        <v/>
      </c>
      <c r="AU39" s="2">
        <f>AR39-AT39</f>
        <v/>
      </c>
      <c r="AV39" s="2">
        <f>AI39+AM39+AQ39+AT39</f>
        <v/>
      </c>
      <c r="AW39" s="2">
        <f>MIN(AA39,AV39)</f>
        <v/>
      </c>
      <c r="AX39" s="2">
        <f>MIN(AB39,AV39-AW39)</f>
        <v/>
      </c>
      <c r="AY39" s="2">
        <f>MIN(AC39,AV39-AW39-AX39)</f>
        <v/>
      </c>
      <c r="AZ39" s="2">
        <f>AA39-AW39</f>
        <v/>
      </c>
      <c r="BA39" s="2">
        <f>AB39-AX39</f>
        <v/>
      </c>
      <c r="BB39" s="2">
        <f>AC39-AY39</f>
        <v/>
      </c>
      <c r="BC39" s="2">
        <f>AZ39+BA39+BB39</f>
        <v/>
      </c>
      <c r="BD39" s="2">
        <f>MAX(0,BC39-Pool!BV39)</f>
        <v/>
      </c>
      <c r="BE39" s="2">
        <f>MIN(BB39,BD39)</f>
        <v/>
      </c>
      <c r="BF39" s="2">
        <f>MIN(BA39,BD39-BE39)</f>
        <v/>
      </c>
      <c r="BG39" s="2">
        <f>MIN(AZ39,BD39-BE39-BF39)</f>
        <v/>
      </c>
      <c r="BH39" s="2">
        <f>AZ39-BG39</f>
        <v/>
      </c>
      <c r="BI39" s="2">
        <f>BA39-BF39</f>
        <v/>
      </c>
      <c r="BJ39" s="2">
        <f>BB39-BE39</f>
        <v/>
      </c>
      <c r="BK39" s="7">
        <f>IF(BH39+BI39+BJ39&lt;0.005,1,0)</f>
        <v/>
      </c>
      <c r="BL39" s="2">
        <f>Q39-R39</f>
        <v/>
      </c>
      <c r="BM39" s="2">
        <f>IF(BK39=1,0,MIN(AU39,MAX(0,Inputs!$B$48-BL39)))</f>
        <v/>
      </c>
      <c r="BN39" s="2">
        <f>IF(BK39=1,BL39,0)</f>
        <v/>
      </c>
      <c r="BO39" s="2">
        <f>BL39+BM39-BN39</f>
        <v/>
      </c>
      <c r="BP39" s="2">
        <f>AU39-BM39</f>
        <v/>
      </c>
      <c r="BQ39" s="2">
        <f>BP39+Z39+BN39</f>
        <v/>
      </c>
      <c r="BR39" s="2">
        <f>W39+AW39</f>
        <v/>
      </c>
      <c r="BS39" s="2">
        <f>X39+AX39</f>
        <v/>
      </c>
      <c r="BT39" s="2">
        <f>Y39+AY39</f>
        <v/>
      </c>
      <c r="BU39" s="2">
        <f>AG39+AK39+AO39+BR39+BS39+BT39</f>
        <v/>
      </c>
      <c r="BV39" s="2">
        <f>K39-AG39</f>
        <v/>
      </c>
      <c r="BW39" s="2">
        <f>M39-AK39</f>
        <v/>
      </c>
      <c r="BX39" s="2">
        <f>O39-AO39</f>
        <v/>
      </c>
      <c r="BY39" s="2">
        <f>C39-AE39</f>
        <v/>
      </c>
      <c r="BZ39" s="8">
        <f>AE39+BU39+BQ39+(BO39-Q39)-Pool!BW39</f>
        <v/>
      </c>
    </row>
    <row r="40">
      <c r="A40" s="7" t="n">
        <v>35</v>
      </c>
      <c r="B40" s="2">
        <f>Inputs!$B$51/12*Pool!BK40</f>
        <v/>
      </c>
      <c r="C40" s="2">
        <f>B40+BY39</f>
        <v/>
      </c>
      <c r="D40" s="2">
        <f>BH39</f>
        <v/>
      </c>
      <c r="E40" s="2">
        <f>BI39</f>
        <v/>
      </c>
      <c r="F40" s="2">
        <f>BJ39</f>
        <v/>
      </c>
      <c r="G40" s="3">
        <f>MAX(0,Pool!B40+Inputs!$B$42)</f>
        <v/>
      </c>
      <c r="H40" s="3">
        <f>MAX(0,Pool!B40+Inputs!$B$43)</f>
        <v/>
      </c>
      <c r="I40" s="3">
        <f>Inputs!$B$44</f>
        <v/>
      </c>
      <c r="J40" s="2">
        <f>D40*G40/12</f>
        <v/>
      </c>
      <c r="K40" s="2">
        <f>J40+BV39</f>
        <v/>
      </c>
      <c r="L40" s="2">
        <f>E40*H40/12</f>
        <v/>
      </c>
      <c r="M40" s="2">
        <f>L40+BW39</f>
        <v/>
      </c>
      <c r="N40" s="2">
        <f>F40*I40/12</f>
        <v/>
      </c>
      <c r="O40" s="2">
        <f>N40+BX39</f>
        <v/>
      </c>
      <c r="P40" s="2">
        <f>Pool!BM40</f>
        <v/>
      </c>
      <c r="Q40" s="2">
        <f>BO39</f>
        <v/>
      </c>
      <c r="R40" s="2">
        <f>MIN(Q40,MAX(0,C40+K40+M40-P40))</f>
        <v/>
      </c>
      <c r="S40" s="2">
        <f>P40+R40</f>
        <v/>
      </c>
      <c r="T40" s="2">
        <f>Pool!BN40+Pool!BO40+Pool!BQ40</f>
        <v/>
      </c>
      <c r="U40" s="7">
        <f>IF(OR(Inputs!$B$53=1,Tests!M39=1),1,0)</f>
        <v/>
      </c>
      <c r="V40" s="2">
        <f>D40+E40+F40</f>
        <v/>
      </c>
      <c r="W40" s="2">
        <f>IF(U40=1,MIN(D40,T40),IF(V40&lt;=0,0,MIN(T40,V40)*D40/V40))</f>
        <v/>
      </c>
      <c r="X40" s="2">
        <f>IF(U40=1,MIN(E40,T40-W40),IF(V40&lt;=0,0,MIN(T40,V40)*E40/V40))</f>
        <v/>
      </c>
      <c r="Y40" s="2">
        <f>IF(U40=1,MIN(F40,T40-W40-X40),IF(V40&lt;=0,0,MIN(T40,V40)*F40/V40))</f>
        <v/>
      </c>
      <c r="Z40" s="2">
        <f>T40-W40-X40-Y40</f>
        <v/>
      </c>
      <c r="AA40" s="2">
        <f>D40-W40</f>
        <v/>
      </c>
      <c r="AB40" s="2">
        <f>E40-X40</f>
        <v/>
      </c>
      <c r="AC40" s="2">
        <f>F40-Y40</f>
        <v/>
      </c>
      <c r="AD40" s="2">
        <f>AA40+AB40+AC40</f>
        <v/>
      </c>
      <c r="AE40" s="2">
        <f>MIN(C40,S40)</f>
        <v/>
      </c>
      <c r="AF40" s="2">
        <f>S40-AE40</f>
        <v/>
      </c>
      <c r="AG40" s="2">
        <f>MIN(K40,AF40)</f>
        <v/>
      </c>
      <c r="AH40" s="2">
        <f>AF40-AG40</f>
        <v/>
      </c>
      <c r="AI40" s="2">
        <f>IF(Tests!F40=1,MIN(AH40,AD40),0)</f>
        <v/>
      </c>
      <c r="AJ40" s="2">
        <f>AH40-AI40</f>
        <v/>
      </c>
      <c r="AK40" s="2">
        <f>MIN(M40,AJ40)</f>
        <v/>
      </c>
      <c r="AL40" s="2">
        <f>AJ40-AK40</f>
        <v/>
      </c>
      <c r="AM40" s="2">
        <f>IF(Tests!I40=1,MIN(AL40,AD40-AI40),0)</f>
        <v/>
      </c>
      <c r="AN40" s="2">
        <f>AL40-AM40</f>
        <v/>
      </c>
      <c r="AO40" s="2">
        <f>MIN(O40,AN40)</f>
        <v/>
      </c>
      <c r="AP40" s="2">
        <f>AN40-AO40</f>
        <v/>
      </c>
      <c r="AQ40" s="2">
        <f>IF(Tests!L40=1,MIN(AP40,AD40-AI40-AM40),0)</f>
        <v/>
      </c>
      <c r="AR40" s="2">
        <f>AP40-AQ40</f>
        <v/>
      </c>
      <c r="AS40" s="2">
        <f>MAX(0,AD40-AI40-AM40-AQ40-Pool!BV40)</f>
        <v/>
      </c>
      <c r="AT40" s="2">
        <f>MIN(AR40,AS40)</f>
        <v/>
      </c>
      <c r="AU40" s="2">
        <f>AR40-AT40</f>
        <v/>
      </c>
      <c r="AV40" s="2">
        <f>AI40+AM40+AQ40+AT40</f>
        <v/>
      </c>
      <c r="AW40" s="2">
        <f>MIN(AA40,AV40)</f>
        <v/>
      </c>
      <c r="AX40" s="2">
        <f>MIN(AB40,AV40-AW40)</f>
        <v/>
      </c>
      <c r="AY40" s="2">
        <f>MIN(AC40,AV40-AW40-AX40)</f>
        <v/>
      </c>
      <c r="AZ40" s="2">
        <f>AA40-AW40</f>
        <v/>
      </c>
      <c r="BA40" s="2">
        <f>AB40-AX40</f>
        <v/>
      </c>
      <c r="BB40" s="2">
        <f>AC40-AY40</f>
        <v/>
      </c>
      <c r="BC40" s="2">
        <f>AZ40+BA40+BB40</f>
        <v/>
      </c>
      <c r="BD40" s="2">
        <f>MAX(0,BC40-Pool!BV40)</f>
        <v/>
      </c>
      <c r="BE40" s="2">
        <f>MIN(BB40,BD40)</f>
        <v/>
      </c>
      <c r="BF40" s="2">
        <f>MIN(BA40,BD40-BE40)</f>
        <v/>
      </c>
      <c r="BG40" s="2">
        <f>MIN(AZ40,BD40-BE40-BF40)</f>
        <v/>
      </c>
      <c r="BH40" s="2">
        <f>AZ40-BG40</f>
        <v/>
      </c>
      <c r="BI40" s="2">
        <f>BA40-BF40</f>
        <v/>
      </c>
      <c r="BJ40" s="2">
        <f>BB40-BE40</f>
        <v/>
      </c>
      <c r="BK40" s="7">
        <f>IF(BH40+BI40+BJ40&lt;0.005,1,0)</f>
        <v/>
      </c>
      <c r="BL40" s="2">
        <f>Q40-R40</f>
        <v/>
      </c>
      <c r="BM40" s="2">
        <f>IF(BK40=1,0,MIN(AU40,MAX(0,Inputs!$B$48-BL40)))</f>
        <v/>
      </c>
      <c r="BN40" s="2">
        <f>IF(BK40=1,BL40,0)</f>
        <v/>
      </c>
      <c r="BO40" s="2">
        <f>BL40+BM40-BN40</f>
        <v/>
      </c>
      <c r="BP40" s="2">
        <f>AU40-BM40</f>
        <v/>
      </c>
      <c r="BQ40" s="2">
        <f>BP40+Z40+BN40</f>
        <v/>
      </c>
      <c r="BR40" s="2">
        <f>W40+AW40</f>
        <v/>
      </c>
      <c r="BS40" s="2">
        <f>X40+AX40</f>
        <v/>
      </c>
      <c r="BT40" s="2">
        <f>Y40+AY40</f>
        <v/>
      </c>
      <c r="BU40" s="2">
        <f>AG40+AK40+AO40+BR40+BS40+BT40</f>
        <v/>
      </c>
      <c r="BV40" s="2">
        <f>K40-AG40</f>
        <v/>
      </c>
      <c r="BW40" s="2">
        <f>M40-AK40</f>
        <v/>
      </c>
      <c r="BX40" s="2">
        <f>O40-AO40</f>
        <v/>
      </c>
      <c r="BY40" s="2">
        <f>C40-AE40</f>
        <v/>
      </c>
      <c r="BZ40" s="8">
        <f>AE40+BU40+BQ40+(BO40-Q40)-Pool!BW40</f>
        <v/>
      </c>
    </row>
    <row r="41">
      <c r="A41" s="7" t="n">
        <v>36</v>
      </c>
      <c r="B41" s="2">
        <f>Inputs!$B$51/12*Pool!BK41</f>
        <v/>
      </c>
      <c r="C41" s="2">
        <f>B41+BY40</f>
        <v/>
      </c>
      <c r="D41" s="2">
        <f>BH40</f>
        <v/>
      </c>
      <c r="E41" s="2">
        <f>BI40</f>
        <v/>
      </c>
      <c r="F41" s="2">
        <f>BJ40</f>
        <v/>
      </c>
      <c r="G41" s="3">
        <f>MAX(0,Pool!B41+Inputs!$B$42)</f>
        <v/>
      </c>
      <c r="H41" s="3">
        <f>MAX(0,Pool!B41+Inputs!$B$43)</f>
        <v/>
      </c>
      <c r="I41" s="3">
        <f>Inputs!$B$44</f>
        <v/>
      </c>
      <c r="J41" s="2">
        <f>D41*G41/12</f>
        <v/>
      </c>
      <c r="K41" s="2">
        <f>J41+BV40</f>
        <v/>
      </c>
      <c r="L41" s="2">
        <f>E41*H41/12</f>
        <v/>
      </c>
      <c r="M41" s="2">
        <f>L41+BW40</f>
        <v/>
      </c>
      <c r="N41" s="2">
        <f>F41*I41/12</f>
        <v/>
      </c>
      <c r="O41" s="2">
        <f>N41+BX40</f>
        <v/>
      </c>
      <c r="P41" s="2">
        <f>Pool!BM41</f>
        <v/>
      </c>
      <c r="Q41" s="2">
        <f>BO40</f>
        <v/>
      </c>
      <c r="R41" s="2">
        <f>MIN(Q41,MAX(0,C41+K41+M41-P41))</f>
        <v/>
      </c>
      <c r="S41" s="2">
        <f>P41+R41</f>
        <v/>
      </c>
      <c r="T41" s="2">
        <f>Pool!BN41+Pool!BO41+Pool!BQ41</f>
        <v/>
      </c>
      <c r="U41" s="7">
        <f>IF(OR(Inputs!$B$53=1,Tests!M40=1),1,0)</f>
        <v/>
      </c>
      <c r="V41" s="2">
        <f>D41+E41+F41</f>
        <v/>
      </c>
      <c r="W41" s="2">
        <f>IF(U41=1,MIN(D41,T41),IF(V41&lt;=0,0,MIN(T41,V41)*D41/V41))</f>
        <v/>
      </c>
      <c r="X41" s="2">
        <f>IF(U41=1,MIN(E41,T41-W41),IF(V41&lt;=0,0,MIN(T41,V41)*E41/V41))</f>
        <v/>
      </c>
      <c r="Y41" s="2">
        <f>IF(U41=1,MIN(F41,T41-W41-X41),IF(V41&lt;=0,0,MIN(T41,V41)*F41/V41))</f>
        <v/>
      </c>
      <c r="Z41" s="2">
        <f>T41-W41-X41-Y41</f>
        <v/>
      </c>
      <c r="AA41" s="2">
        <f>D41-W41</f>
        <v/>
      </c>
      <c r="AB41" s="2">
        <f>E41-X41</f>
        <v/>
      </c>
      <c r="AC41" s="2">
        <f>F41-Y41</f>
        <v/>
      </c>
      <c r="AD41" s="2">
        <f>AA41+AB41+AC41</f>
        <v/>
      </c>
      <c r="AE41" s="2">
        <f>MIN(C41,S41)</f>
        <v/>
      </c>
      <c r="AF41" s="2">
        <f>S41-AE41</f>
        <v/>
      </c>
      <c r="AG41" s="2">
        <f>MIN(K41,AF41)</f>
        <v/>
      </c>
      <c r="AH41" s="2">
        <f>AF41-AG41</f>
        <v/>
      </c>
      <c r="AI41" s="2">
        <f>IF(Tests!F41=1,MIN(AH41,AD41),0)</f>
        <v/>
      </c>
      <c r="AJ41" s="2">
        <f>AH41-AI41</f>
        <v/>
      </c>
      <c r="AK41" s="2">
        <f>MIN(M41,AJ41)</f>
        <v/>
      </c>
      <c r="AL41" s="2">
        <f>AJ41-AK41</f>
        <v/>
      </c>
      <c r="AM41" s="2">
        <f>IF(Tests!I41=1,MIN(AL41,AD41-AI41),0)</f>
        <v/>
      </c>
      <c r="AN41" s="2">
        <f>AL41-AM41</f>
        <v/>
      </c>
      <c r="AO41" s="2">
        <f>MIN(O41,AN41)</f>
        <v/>
      </c>
      <c r="AP41" s="2">
        <f>AN41-AO41</f>
        <v/>
      </c>
      <c r="AQ41" s="2">
        <f>IF(Tests!L41=1,MIN(AP41,AD41-AI41-AM41),0)</f>
        <v/>
      </c>
      <c r="AR41" s="2">
        <f>AP41-AQ41</f>
        <v/>
      </c>
      <c r="AS41" s="2">
        <f>MAX(0,AD41-AI41-AM41-AQ41-Pool!BV41)</f>
        <v/>
      </c>
      <c r="AT41" s="2">
        <f>MIN(AR41,AS41)</f>
        <v/>
      </c>
      <c r="AU41" s="2">
        <f>AR41-AT41</f>
        <v/>
      </c>
      <c r="AV41" s="2">
        <f>AI41+AM41+AQ41+AT41</f>
        <v/>
      </c>
      <c r="AW41" s="2">
        <f>MIN(AA41,AV41)</f>
        <v/>
      </c>
      <c r="AX41" s="2">
        <f>MIN(AB41,AV41-AW41)</f>
        <v/>
      </c>
      <c r="AY41" s="2">
        <f>MIN(AC41,AV41-AW41-AX41)</f>
        <v/>
      </c>
      <c r="AZ41" s="2">
        <f>AA41-AW41</f>
        <v/>
      </c>
      <c r="BA41" s="2">
        <f>AB41-AX41</f>
        <v/>
      </c>
      <c r="BB41" s="2">
        <f>AC41-AY41</f>
        <v/>
      </c>
      <c r="BC41" s="2">
        <f>AZ41+BA41+BB41</f>
        <v/>
      </c>
      <c r="BD41" s="2">
        <f>MAX(0,BC41-Pool!BV41)</f>
        <v/>
      </c>
      <c r="BE41" s="2">
        <f>MIN(BB41,BD41)</f>
        <v/>
      </c>
      <c r="BF41" s="2">
        <f>MIN(BA41,BD41-BE41)</f>
        <v/>
      </c>
      <c r="BG41" s="2">
        <f>MIN(AZ41,BD41-BE41-BF41)</f>
        <v/>
      </c>
      <c r="BH41" s="2">
        <f>AZ41-BG41</f>
        <v/>
      </c>
      <c r="BI41" s="2">
        <f>BA41-BF41</f>
        <v/>
      </c>
      <c r="BJ41" s="2">
        <f>BB41-BE41</f>
        <v/>
      </c>
      <c r="BK41" s="7">
        <f>IF(BH41+BI41+BJ41&lt;0.005,1,0)</f>
        <v/>
      </c>
      <c r="BL41" s="2">
        <f>Q41-R41</f>
        <v/>
      </c>
      <c r="BM41" s="2">
        <f>IF(BK41=1,0,MIN(AU41,MAX(0,Inputs!$B$48-BL41)))</f>
        <v/>
      </c>
      <c r="BN41" s="2">
        <f>IF(BK41=1,BL41,0)</f>
        <v/>
      </c>
      <c r="BO41" s="2">
        <f>BL41+BM41-BN41</f>
        <v/>
      </c>
      <c r="BP41" s="2">
        <f>AU41-BM41</f>
        <v/>
      </c>
      <c r="BQ41" s="2">
        <f>BP41+Z41+BN41</f>
        <v/>
      </c>
      <c r="BR41" s="2">
        <f>W41+AW41</f>
        <v/>
      </c>
      <c r="BS41" s="2">
        <f>X41+AX41</f>
        <v/>
      </c>
      <c r="BT41" s="2">
        <f>Y41+AY41</f>
        <v/>
      </c>
      <c r="BU41" s="2">
        <f>AG41+AK41+AO41+BR41+BS41+BT41</f>
        <v/>
      </c>
      <c r="BV41" s="2">
        <f>K41-AG41</f>
        <v/>
      </c>
      <c r="BW41" s="2">
        <f>M41-AK41</f>
        <v/>
      </c>
      <c r="BX41" s="2">
        <f>O41-AO41</f>
        <v/>
      </c>
      <c r="BY41" s="2">
        <f>C41-AE41</f>
        <v/>
      </c>
      <c r="BZ41" s="8">
        <f>AE41+BU41+BQ41+(BO41-Q41)-Pool!BW41</f>
        <v/>
      </c>
    </row>
    <row r="42">
      <c r="A42" s="7" t="n">
        <v>37</v>
      </c>
      <c r="B42" s="2">
        <f>Inputs!$B$51/12*Pool!BK42</f>
        <v/>
      </c>
      <c r="C42" s="2">
        <f>B42+BY41</f>
        <v/>
      </c>
      <c r="D42" s="2">
        <f>BH41</f>
        <v/>
      </c>
      <c r="E42" s="2">
        <f>BI41</f>
        <v/>
      </c>
      <c r="F42" s="2">
        <f>BJ41</f>
        <v/>
      </c>
      <c r="G42" s="3">
        <f>MAX(0,Pool!B42+Inputs!$B$42)</f>
        <v/>
      </c>
      <c r="H42" s="3">
        <f>MAX(0,Pool!B42+Inputs!$B$43)</f>
        <v/>
      </c>
      <c r="I42" s="3">
        <f>Inputs!$B$44</f>
        <v/>
      </c>
      <c r="J42" s="2">
        <f>D42*G42/12</f>
        <v/>
      </c>
      <c r="K42" s="2">
        <f>J42+BV41</f>
        <v/>
      </c>
      <c r="L42" s="2">
        <f>E42*H42/12</f>
        <v/>
      </c>
      <c r="M42" s="2">
        <f>L42+BW41</f>
        <v/>
      </c>
      <c r="N42" s="2">
        <f>F42*I42/12</f>
        <v/>
      </c>
      <c r="O42" s="2">
        <f>N42+BX41</f>
        <v/>
      </c>
      <c r="P42" s="2">
        <f>Pool!BM42</f>
        <v/>
      </c>
      <c r="Q42" s="2">
        <f>BO41</f>
        <v/>
      </c>
      <c r="R42" s="2">
        <f>MIN(Q42,MAX(0,C42+K42+M42-P42))</f>
        <v/>
      </c>
      <c r="S42" s="2">
        <f>P42+R42</f>
        <v/>
      </c>
      <c r="T42" s="2">
        <f>Pool!BN42+Pool!BO42+Pool!BQ42</f>
        <v/>
      </c>
      <c r="U42" s="7">
        <f>IF(OR(Inputs!$B$53=1,Tests!M41=1),1,0)</f>
        <v/>
      </c>
      <c r="V42" s="2">
        <f>D42+E42+F42</f>
        <v/>
      </c>
      <c r="W42" s="2">
        <f>IF(U42=1,MIN(D42,T42),IF(V42&lt;=0,0,MIN(T42,V42)*D42/V42))</f>
        <v/>
      </c>
      <c r="X42" s="2">
        <f>IF(U42=1,MIN(E42,T42-W42),IF(V42&lt;=0,0,MIN(T42,V42)*E42/V42))</f>
        <v/>
      </c>
      <c r="Y42" s="2">
        <f>IF(U42=1,MIN(F42,T42-W42-X42),IF(V42&lt;=0,0,MIN(T42,V42)*F42/V42))</f>
        <v/>
      </c>
      <c r="Z42" s="2">
        <f>T42-W42-X42-Y42</f>
        <v/>
      </c>
      <c r="AA42" s="2">
        <f>D42-W42</f>
        <v/>
      </c>
      <c r="AB42" s="2">
        <f>E42-X42</f>
        <v/>
      </c>
      <c r="AC42" s="2">
        <f>F42-Y42</f>
        <v/>
      </c>
      <c r="AD42" s="2">
        <f>AA42+AB42+AC42</f>
        <v/>
      </c>
      <c r="AE42" s="2">
        <f>MIN(C42,S42)</f>
        <v/>
      </c>
      <c r="AF42" s="2">
        <f>S42-AE42</f>
        <v/>
      </c>
      <c r="AG42" s="2">
        <f>MIN(K42,AF42)</f>
        <v/>
      </c>
      <c r="AH42" s="2">
        <f>AF42-AG42</f>
        <v/>
      </c>
      <c r="AI42" s="2">
        <f>IF(Tests!F42=1,MIN(AH42,AD42),0)</f>
        <v/>
      </c>
      <c r="AJ42" s="2">
        <f>AH42-AI42</f>
        <v/>
      </c>
      <c r="AK42" s="2">
        <f>MIN(M42,AJ42)</f>
        <v/>
      </c>
      <c r="AL42" s="2">
        <f>AJ42-AK42</f>
        <v/>
      </c>
      <c r="AM42" s="2">
        <f>IF(Tests!I42=1,MIN(AL42,AD42-AI42),0)</f>
        <v/>
      </c>
      <c r="AN42" s="2">
        <f>AL42-AM42</f>
        <v/>
      </c>
      <c r="AO42" s="2">
        <f>MIN(O42,AN42)</f>
        <v/>
      </c>
      <c r="AP42" s="2">
        <f>AN42-AO42</f>
        <v/>
      </c>
      <c r="AQ42" s="2">
        <f>IF(Tests!L42=1,MIN(AP42,AD42-AI42-AM42),0)</f>
        <v/>
      </c>
      <c r="AR42" s="2">
        <f>AP42-AQ42</f>
        <v/>
      </c>
      <c r="AS42" s="2">
        <f>MAX(0,AD42-AI42-AM42-AQ42-Pool!BV42)</f>
        <v/>
      </c>
      <c r="AT42" s="2">
        <f>MIN(AR42,AS42)</f>
        <v/>
      </c>
      <c r="AU42" s="2">
        <f>AR42-AT42</f>
        <v/>
      </c>
      <c r="AV42" s="2">
        <f>AI42+AM42+AQ42+AT42</f>
        <v/>
      </c>
      <c r="AW42" s="2">
        <f>MIN(AA42,AV42)</f>
        <v/>
      </c>
      <c r="AX42" s="2">
        <f>MIN(AB42,AV42-AW42)</f>
        <v/>
      </c>
      <c r="AY42" s="2">
        <f>MIN(AC42,AV42-AW42-AX42)</f>
        <v/>
      </c>
      <c r="AZ42" s="2">
        <f>AA42-AW42</f>
        <v/>
      </c>
      <c r="BA42" s="2">
        <f>AB42-AX42</f>
        <v/>
      </c>
      <c r="BB42" s="2">
        <f>AC42-AY42</f>
        <v/>
      </c>
      <c r="BC42" s="2">
        <f>AZ42+BA42+BB42</f>
        <v/>
      </c>
      <c r="BD42" s="2">
        <f>MAX(0,BC42-Pool!BV42)</f>
        <v/>
      </c>
      <c r="BE42" s="2">
        <f>MIN(BB42,BD42)</f>
        <v/>
      </c>
      <c r="BF42" s="2">
        <f>MIN(BA42,BD42-BE42)</f>
        <v/>
      </c>
      <c r="BG42" s="2">
        <f>MIN(AZ42,BD42-BE42-BF42)</f>
        <v/>
      </c>
      <c r="BH42" s="2">
        <f>AZ42-BG42</f>
        <v/>
      </c>
      <c r="BI42" s="2">
        <f>BA42-BF42</f>
        <v/>
      </c>
      <c r="BJ42" s="2">
        <f>BB42-BE42</f>
        <v/>
      </c>
      <c r="BK42" s="7">
        <f>IF(BH42+BI42+BJ42&lt;0.005,1,0)</f>
        <v/>
      </c>
      <c r="BL42" s="2">
        <f>Q42-R42</f>
        <v/>
      </c>
      <c r="BM42" s="2">
        <f>IF(BK42=1,0,MIN(AU42,MAX(0,Inputs!$B$48-BL42)))</f>
        <v/>
      </c>
      <c r="BN42" s="2">
        <f>IF(BK42=1,BL42,0)</f>
        <v/>
      </c>
      <c r="BO42" s="2">
        <f>BL42+BM42-BN42</f>
        <v/>
      </c>
      <c r="BP42" s="2">
        <f>AU42-BM42</f>
        <v/>
      </c>
      <c r="BQ42" s="2">
        <f>BP42+Z42+BN42</f>
        <v/>
      </c>
      <c r="BR42" s="2">
        <f>W42+AW42</f>
        <v/>
      </c>
      <c r="BS42" s="2">
        <f>X42+AX42</f>
        <v/>
      </c>
      <c r="BT42" s="2">
        <f>Y42+AY42</f>
        <v/>
      </c>
      <c r="BU42" s="2">
        <f>AG42+AK42+AO42+BR42+BS42+BT42</f>
        <v/>
      </c>
      <c r="BV42" s="2">
        <f>K42-AG42</f>
        <v/>
      </c>
      <c r="BW42" s="2">
        <f>M42-AK42</f>
        <v/>
      </c>
      <c r="BX42" s="2">
        <f>O42-AO42</f>
        <v/>
      </c>
      <c r="BY42" s="2">
        <f>C42-AE42</f>
        <v/>
      </c>
      <c r="BZ42" s="8">
        <f>AE42+BU42+BQ42+(BO42-Q42)-Pool!BW42</f>
        <v/>
      </c>
    </row>
    <row r="43">
      <c r="A43" s="7" t="n">
        <v>38</v>
      </c>
      <c r="B43" s="2">
        <f>Inputs!$B$51/12*Pool!BK43</f>
        <v/>
      </c>
      <c r="C43" s="2">
        <f>B43+BY42</f>
        <v/>
      </c>
      <c r="D43" s="2">
        <f>BH42</f>
        <v/>
      </c>
      <c r="E43" s="2">
        <f>BI42</f>
        <v/>
      </c>
      <c r="F43" s="2">
        <f>BJ42</f>
        <v/>
      </c>
      <c r="G43" s="3">
        <f>MAX(0,Pool!B43+Inputs!$B$42)</f>
        <v/>
      </c>
      <c r="H43" s="3">
        <f>MAX(0,Pool!B43+Inputs!$B$43)</f>
        <v/>
      </c>
      <c r="I43" s="3">
        <f>Inputs!$B$44</f>
        <v/>
      </c>
      <c r="J43" s="2">
        <f>D43*G43/12</f>
        <v/>
      </c>
      <c r="K43" s="2">
        <f>J43+BV42</f>
        <v/>
      </c>
      <c r="L43" s="2">
        <f>E43*H43/12</f>
        <v/>
      </c>
      <c r="M43" s="2">
        <f>L43+BW42</f>
        <v/>
      </c>
      <c r="N43" s="2">
        <f>F43*I43/12</f>
        <v/>
      </c>
      <c r="O43" s="2">
        <f>N43+BX42</f>
        <v/>
      </c>
      <c r="P43" s="2">
        <f>Pool!BM43</f>
        <v/>
      </c>
      <c r="Q43" s="2">
        <f>BO42</f>
        <v/>
      </c>
      <c r="R43" s="2">
        <f>MIN(Q43,MAX(0,C43+K43+M43-P43))</f>
        <v/>
      </c>
      <c r="S43" s="2">
        <f>P43+R43</f>
        <v/>
      </c>
      <c r="T43" s="2">
        <f>Pool!BN43+Pool!BO43+Pool!BQ43</f>
        <v/>
      </c>
      <c r="U43" s="7">
        <f>IF(OR(Inputs!$B$53=1,Tests!M42=1),1,0)</f>
        <v/>
      </c>
      <c r="V43" s="2">
        <f>D43+E43+F43</f>
        <v/>
      </c>
      <c r="W43" s="2">
        <f>IF(U43=1,MIN(D43,T43),IF(V43&lt;=0,0,MIN(T43,V43)*D43/V43))</f>
        <v/>
      </c>
      <c r="X43" s="2">
        <f>IF(U43=1,MIN(E43,T43-W43),IF(V43&lt;=0,0,MIN(T43,V43)*E43/V43))</f>
        <v/>
      </c>
      <c r="Y43" s="2">
        <f>IF(U43=1,MIN(F43,T43-W43-X43),IF(V43&lt;=0,0,MIN(T43,V43)*F43/V43))</f>
        <v/>
      </c>
      <c r="Z43" s="2">
        <f>T43-W43-X43-Y43</f>
        <v/>
      </c>
      <c r="AA43" s="2">
        <f>D43-W43</f>
        <v/>
      </c>
      <c r="AB43" s="2">
        <f>E43-X43</f>
        <v/>
      </c>
      <c r="AC43" s="2">
        <f>F43-Y43</f>
        <v/>
      </c>
      <c r="AD43" s="2">
        <f>AA43+AB43+AC43</f>
        <v/>
      </c>
      <c r="AE43" s="2">
        <f>MIN(C43,S43)</f>
        <v/>
      </c>
      <c r="AF43" s="2">
        <f>S43-AE43</f>
        <v/>
      </c>
      <c r="AG43" s="2">
        <f>MIN(K43,AF43)</f>
        <v/>
      </c>
      <c r="AH43" s="2">
        <f>AF43-AG43</f>
        <v/>
      </c>
      <c r="AI43" s="2">
        <f>IF(Tests!F43=1,MIN(AH43,AD43),0)</f>
        <v/>
      </c>
      <c r="AJ43" s="2">
        <f>AH43-AI43</f>
        <v/>
      </c>
      <c r="AK43" s="2">
        <f>MIN(M43,AJ43)</f>
        <v/>
      </c>
      <c r="AL43" s="2">
        <f>AJ43-AK43</f>
        <v/>
      </c>
      <c r="AM43" s="2">
        <f>IF(Tests!I43=1,MIN(AL43,AD43-AI43),0)</f>
        <v/>
      </c>
      <c r="AN43" s="2">
        <f>AL43-AM43</f>
        <v/>
      </c>
      <c r="AO43" s="2">
        <f>MIN(O43,AN43)</f>
        <v/>
      </c>
      <c r="AP43" s="2">
        <f>AN43-AO43</f>
        <v/>
      </c>
      <c r="AQ43" s="2">
        <f>IF(Tests!L43=1,MIN(AP43,AD43-AI43-AM43),0)</f>
        <v/>
      </c>
      <c r="AR43" s="2">
        <f>AP43-AQ43</f>
        <v/>
      </c>
      <c r="AS43" s="2">
        <f>MAX(0,AD43-AI43-AM43-AQ43-Pool!BV43)</f>
        <v/>
      </c>
      <c r="AT43" s="2">
        <f>MIN(AR43,AS43)</f>
        <v/>
      </c>
      <c r="AU43" s="2">
        <f>AR43-AT43</f>
        <v/>
      </c>
      <c r="AV43" s="2">
        <f>AI43+AM43+AQ43+AT43</f>
        <v/>
      </c>
      <c r="AW43" s="2">
        <f>MIN(AA43,AV43)</f>
        <v/>
      </c>
      <c r="AX43" s="2">
        <f>MIN(AB43,AV43-AW43)</f>
        <v/>
      </c>
      <c r="AY43" s="2">
        <f>MIN(AC43,AV43-AW43-AX43)</f>
        <v/>
      </c>
      <c r="AZ43" s="2">
        <f>AA43-AW43</f>
        <v/>
      </c>
      <c r="BA43" s="2">
        <f>AB43-AX43</f>
        <v/>
      </c>
      <c r="BB43" s="2">
        <f>AC43-AY43</f>
        <v/>
      </c>
      <c r="BC43" s="2">
        <f>AZ43+BA43+BB43</f>
        <v/>
      </c>
      <c r="BD43" s="2">
        <f>MAX(0,BC43-Pool!BV43)</f>
        <v/>
      </c>
      <c r="BE43" s="2">
        <f>MIN(BB43,BD43)</f>
        <v/>
      </c>
      <c r="BF43" s="2">
        <f>MIN(BA43,BD43-BE43)</f>
        <v/>
      </c>
      <c r="BG43" s="2">
        <f>MIN(AZ43,BD43-BE43-BF43)</f>
        <v/>
      </c>
      <c r="BH43" s="2">
        <f>AZ43-BG43</f>
        <v/>
      </c>
      <c r="BI43" s="2">
        <f>BA43-BF43</f>
        <v/>
      </c>
      <c r="BJ43" s="2">
        <f>BB43-BE43</f>
        <v/>
      </c>
      <c r="BK43" s="7">
        <f>IF(BH43+BI43+BJ43&lt;0.005,1,0)</f>
        <v/>
      </c>
      <c r="BL43" s="2">
        <f>Q43-R43</f>
        <v/>
      </c>
      <c r="BM43" s="2">
        <f>IF(BK43=1,0,MIN(AU43,MAX(0,Inputs!$B$48-BL43)))</f>
        <v/>
      </c>
      <c r="BN43" s="2">
        <f>IF(BK43=1,BL43,0)</f>
        <v/>
      </c>
      <c r="BO43" s="2">
        <f>BL43+BM43-BN43</f>
        <v/>
      </c>
      <c r="BP43" s="2">
        <f>AU43-BM43</f>
        <v/>
      </c>
      <c r="BQ43" s="2">
        <f>BP43+Z43+BN43</f>
        <v/>
      </c>
      <c r="BR43" s="2">
        <f>W43+AW43</f>
        <v/>
      </c>
      <c r="BS43" s="2">
        <f>X43+AX43</f>
        <v/>
      </c>
      <c r="BT43" s="2">
        <f>Y43+AY43</f>
        <v/>
      </c>
      <c r="BU43" s="2">
        <f>AG43+AK43+AO43+BR43+BS43+BT43</f>
        <v/>
      </c>
      <c r="BV43" s="2">
        <f>K43-AG43</f>
        <v/>
      </c>
      <c r="BW43" s="2">
        <f>M43-AK43</f>
        <v/>
      </c>
      <c r="BX43" s="2">
        <f>O43-AO43</f>
        <v/>
      </c>
      <c r="BY43" s="2">
        <f>C43-AE43</f>
        <v/>
      </c>
      <c r="BZ43" s="8">
        <f>AE43+BU43+BQ43+(BO43-Q43)-Pool!BW43</f>
        <v/>
      </c>
    </row>
    <row r="44">
      <c r="A44" s="7" t="n">
        <v>39</v>
      </c>
      <c r="B44" s="2">
        <f>Inputs!$B$51/12*Pool!BK44</f>
        <v/>
      </c>
      <c r="C44" s="2">
        <f>B44+BY43</f>
        <v/>
      </c>
      <c r="D44" s="2">
        <f>BH43</f>
        <v/>
      </c>
      <c r="E44" s="2">
        <f>BI43</f>
        <v/>
      </c>
      <c r="F44" s="2">
        <f>BJ43</f>
        <v/>
      </c>
      <c r="G44" s="3">
        <f>MAX(0,Pool!B44+Inputs!$B$42)</f>
        <v/>
      </c>
      <c r="H44" s="3">
        <f>MAX(0,Pool!B44+Inputs!$B$43)</f>
        <v/>
      </c>
      <c r="I44" s="3">
        <f>Inputs!$B$44</f>
        <v/>
      </c>
      <c r="J44" s="2">
        <f>D44*G44/12</f>
        <v/>
      </c>
      <c r="K44" s="2">
        <f>J44+BV43</f>
        <v/>
      </c>
      <c r="L44" s="2">
        <f>E44*H44/12</f>
        <v/>
      </c>
      <c r="M44" s="2">
        <f>L44+BW43</f>
        <v/>
      </c>
      <c r="N44" s="2">
        <f>F44*I44/12</f>
        <v/>
      </c>
      <c r="O44" s="2">
        <f>N44+BX43</f>
        <v/>
      </c>
      <c r="P44" s="2">
        <f>Pool!BM44</f>
        <v/>
      </c>
      <c r="Q44" s="2">
        <f>BO43</f>
        <v/>
      </c>
      <c r="R44" s="2">
        <f>MIN(Q44,MAX(0,C44+K44+M44-P44))</f>
        <v/>
      </c>
      <c r="S44" s="2">
        <f>P44+R44</f>
        <v/>
      </c>
      <c r="T44" s="2">
        <f>Pool!BN44+Pool!BO44+Pool!BQ44</f>
        <v/>
      </c>
      <c r="U44" s="7">
        <f>IF(OR(Inputs!$B$53=1,Tests!M43=1),1,0)</f>
        <v/>
      </c>
      <c r="V44" s="2">
        <f>D44+E44+F44</f>
        <v/>
      </c>
      <c r="W44" s="2">
        <f>IF(U44=1,MIN(D44,T44),IF(V44&lt;=0,0,MIN(T44,V44)*D44/V44))</f>
        <v/>
      </c>
      <c r="X44" s="2">
        <f>IF(U44=1,MIN(E44,T44-W44),IF(V44&lt;=0,0,MIN(T44,V44)*E44/V44))</f>
        <v/>
      </c>
      <c r="Y44" s="2">
        <f>IF(U44=1,MIN(F44,T44-W44-X44),IF(V44&lt;=0,0,MIN(T44,V44)*F44/V44))</f>
        <v/>
      </c>
      <c r="Z44" s="2">
        <f>T44-W44-X44-Y44</f>
        <v/>
      </c>
      <c r="AA44" s="2">
        <f>D44-W44</f>
        <v/>
      </c>
      <c r="AB44" s="2">
        <f>E44-X44</f>
        <v/>
      </c>
      <c r="AC44" s="2">
        <f>F44-Y44</f>
        <v/>
      </c>
      <c r="AD44" s="2">
        <f>AA44+AB44+AC44</f>
        <v/>
      </c>
      <c r="AE44" s="2">
        <f>MIN(C44,S44)</f>
        <v/>
      </c>
      <c r="AF44" s="2">
        <f>S44-AE44</f>
        <v/>
      </c>
      <c r="AG44" s="2">
        <f>MIN(K44,AF44)</f>
        <v/>
      </c>
      <c r="AH44" s="2">
        <f>AF44-AG44</f>
        <v/>
      </c>
      <c r="AI44" s="2">
        <f>IF(Tests!F44=1,MIN(AH44,AD44),0)</f>
        <v/>
      </c>
      <c r="AJ44" s="2">
        <f>AH44-AI44</f>
        <v/>
      </c>
      <c r="AK44" s="2">
        <f>MIN(M44,AJ44)</f>
        <v/>
      </c>
      <c r="AL44" s="2">
        <f>AJ44-AK44</f>
        <v/>
      </c>
      <c r="AM44" s="2">
        <f>IF(Tests!I44=1,MIN(AL44,AD44-AI44),0)</f>
        <v/>
      </c>
      <c r="AN44" s="2">
        <f>AL44-AM44</f>
        <v/>
      </c>
      <c r="AO44" s="2">
        <f>MIN(O44,AN44)</f>
        <v/>
      </c>
      <c r="AP44" s="2">
        <f>AN44-AO44</f>
        <v/>
      </c>
      <c r="AQ44" s="2">
        <f>IF(Tests!L44=1,MIN(AP44,AD44-AI44-AM44),0)</f>
        <v/>
      </c>
      <c r="AR44" s="2">
        <f>AP44-AQ44</f>
        <v/>
      </c>
      <c r="AS44" s="2">
        <f>MAX(0,AD44-AI44-AM44-AQ44-Pool!BV44)</f>
        <v/>
      </c>
      <c r="AT44" s="2">
        <f>MIN(AR44,AS44)</f>
        <v/>
      </c>
      <c r="AU44" s="2">
        <f>AR44-AT44</f>
        <v/>
      </c>
      <c r="AV44" s="2">
        <f>AI44+AM44+AQ44+AT44</f>
        <v/>
      </c>
      <c r="AW44" s="2">
        <f>MIN(AA44,AV44)</f>
        <v/>
      </c>
      <c r="AX44" s="2">
        <f>MIN(AB44,AV44-AW44)</f>
        <v/>
      </c>
      <c r="AY44" s="2">
        <f>MIN(AC44,AV44-AW44-AX44)</f>
        <v/>
      </c>
      <c r="AZ44" s="2">
        <f>AA44-AW44</f>
        <v/>
      </c>
      <c r="BA44" s="2">
        <f>AB44-AX44</f>
        <v/>
      </c>
      <c r="BB44" s="2">
        <f>AC44-AY44</f>
        <v/>
      </c>
      <c r="BC44" s="2">
        <f>AZ44+BA44+BB44</f>
        <v/>
      </c>
      <c r="BD44" s="2">
        <f>MAX(0,BC44-Pool!BV44)</f>
        <v/>
      </c>
      <c r="BE44" s="2">
        <f>MIN(BB44,BD44)</f>
        <v/>
      </c>
      <c r="BF44" s="2">
        <f>MIN(BA44,BD44-BE44)</f>
        <v/>
      </c>
      <c r="BG44" s="2">
        <f>MIN(AZ44,BD44-BE44-BF44)</f>
        <v/>
      </c>
      <c r="BH44" s="2">
        <f>AZ44-BG44</f>
        <v/>
      </c>
      <c r="BI44" s="2">
        <f>BA44-BF44</f>
        <v/>
      </c>
      <c r="BJ44" s="2">
        <f>BB44-BE44</f>
        <v/>
      </c>
      <c r="BK44" s="7">
        <f>IF(BH44+BI44+BJ44&lt;0.005,1,0)</f>
        <v/>
      </c>
      <c r="BL44" s="2">
        <f>Q44-R44</f>
        <v/>
      </c>
      <c r="BM44" s="2">
        <f>IF(BK44=1,0,MIN(AU44,MAX(0,Inputs!$B$48-BL44)))</f>
        <v/>
      </c>
      <c r="BN44" s="2">
        <f>IF(BK44=1,BL44,0)</f>
        <v/>
      </c>
      <c r="BO44" s="2">
        <f>BL44+BM44-BN44</f>
        <v/>
      </c>
      <c r="BP44" s="2">
        <f>AU44-BM44</f>
        <v/>
      </c>
      <c r="BQ44" s="2">
        <f>BP44+Z44+BN44</f>
        <v/>
      </c>
      <c r="BR44" s="2">
        <f>W44+AW44</f>
        <v/>
      </c>
      <c r="BS44" s="2">
        <f>X44+AX44</f>
        <v/>
      </c>
      <c r="BT44" s="2">
        <f>Y44+AY44</f>
        <v/>
      </c>
      <c r="BU44" s="2">
        <f>AG44+AK44+AO44+BR44+BS44+BT44</f>
        <v/>
      </c>
      <c r="BV44" s="2">
        <f>K44-AG44</f>
        <v/>
      </c>
      <c r="BW44" s="2">
        <f>M44-AK44</f>
        <v/>
      </c>
      <c r="BX44" s="2">
        <f>O44-AO44</f>
        <v/>
      </c>
      <c r="BY44" s="2">
        <f>C44-AE44</f>
        <v/>
      </c>
      <c r="BZ44" s="8">
        <f>AE44+BU44+BQ44+(BO44-Q44)-Pool!BW44</f>
        <v/>
      </c>
    </row>
    <row r="45">
      <c r="A45" s="7" t="n">
        <v>40</v>
      </c>
      <c r="B45" s="2">
        <f>Inputs!$B$51/12*Pool!BK45</f>
        <v/>
      </c>
      <c r="C45" s="2">
        <f>B45+BY44</f>
        <v/>
      </c>
      <c r="D45" s="2">
        <f>BH44</f>
        <v/>
      </c>
      <c r="E45" s="2">
        <f>BI44</f>
        <v/>
      </c>
      <c r="F45" s="2">
        <f>BJ44</f>
        <v/>
      </c>
      <c r="G45" s="3">
        <f>MAX(0,Pool!B45+Inputs!$B$42)</f>
        <v/>
      </c>
      <c r="H45" s="3">
        <f>MAX(0,Pool!B45+Inputs!$B$43)</f>
        <v/>
      </c>
      <c r="I45" s="3">
        <f>Inputs!$B$44</f>
        <v/>
      </c>
      <c r="J45" s="2">
        <f>D45*G45/12</f>
        <v/>
      </c>
      <c r="K45" s="2">
        <f>J45+BV44</f>
        <v/>
      </c>
      <c r="L45" s="2">
        <f>E45*H45/12</f>
        <v/>
      </c>
      <c r="M45" s="2">
        <f>L45+BW44</f>
        <v/>
      </c>
      <c r="N45" s="2">
        <f>F45*I45/12</f>
        <v/>
      </c>
      <c r="O45" s="2">
        <f>N45+BX44</f>
        <v/>
      </c>
      <c r="P45" s="2">
        <f>Pool!BM45</f>
        <v/>
      </c>
      <c r="Q45" s="2">
        <f>BO44</f>
        <v/>
      </c>
      <c r="R45" s="2">
        <f>MIN(Q45,MAX(0,C45+K45+M45-P45))</f>
        <v/>
      </c>
      <c r="S45" s="2">
        <f>P45+R45</f>
        <v/>
      </c>
      <c r="T45" s="2">
        <f>Pool!BN45+Pool!BO45+Pool!BQ45</f>
        <v/>
      </c>
      <c r="U45" s="7">
        <f>IF(OR(Inputs!$B$53=1,Tests!M44=1),1,0)</f>
        <v/>
      </c>
      <c r="V45" s="2">
        <f>D45+E45+F45</f>
        <v/>
      </c>
      <c r="W45" s="2">
        <f>IF(U45=1,MIN(D45,T45),IF(V45&lt;=0,0,MIN(T45,V45)*D45/V45))</f>
        <v/>
      </c>
      <c r="X45" s="2">
        <f>IF(U45=1,MIN(E45,T45-W45),IF(V45&lt;=0,0,MIN(T45,V45)*E45/V45))</f>
        <v/>
      </c>
      <c r="Y45" s="2">
        <f>IF(U45=1,MIN(F45,T45-W45-X45),IF(V45&lt;=0,0,MIN(T45,V45)*F45/V45))</f>
        <v/>
      </c>
      <c r="Z45" s="2">
        <f>T45-W45-X45-Y45</f>
        <v/>
      </c>
      <c r="AA45" s="2">
        <f>D45-W45</f>
        <v/>
      </c>
      <c r="AB45" s="2">
        <f>E45-X45</f>
        <v/>
      </c>
      <c r="AC45" s="2">
        <f>F45-Y45</f>
        <v/>
      </c>
      <c r="AD45" s="2">
        <f>AA45+AB45+AC45</f>
        <v/>
      </c>
      <c r="AE45" s="2">
        <f>MIN(C45,S45)</f>
        <v/>
      </c>
      <c r="AF45" s="2">
        <f>S45-AE45</f>
        <v/>
      </c>
      <c r="AG45" s="2">
        <f>MIN(K45,AF45)</f>
        <v/>
      </c>
      <c r="AH45" s="2">
        <f>AF45-AG45</f>
        <v/>
      </c>
      <c r="AI45" s="2">
        <f>IF(Tests!F45=1,MIN(AH45,AD45),0)</f>
        <v/>
      </c>
      <c r="AJ45" s="2">
        <f>AH45-AI45</f>
        <v/>
      </c>
      <c r="AK45" s="2">
        <f>MIN(M45,AJ45)</f>
        <v/>
      </c>
      <c r="AL45" s="2">
        <f>AJ45-AK45</f>
        <v/>
      </c>
      <c r="AM45" s="2">
        <f>IF(Tests!I45=1,MIN(AL45,AD45-AI45),0)</f>
        <v/>
      </c>
      <c r="AN45" s="2">
        <f>AL45-AM45</f>
        <v/>
      </c>
      <c r="AO45" s="2">
        <f>MIN(O45,AN45)</f>
        <v/>
      </c>
      <c r="AP45" s="2">
        <f>AN45-AO45</f>
        <v/>
      </c>
      <c r="AQ45" s="2">
        <f>IF(Tests!L45=1,MIN(AP45,AD45-AI45-AM45),0)</f>
        <v/>
      </c>
      <c r="AR45" s="2">
        <f>AP45-AQ45</f>
        <v/>
      </c>
      <c r="AS45" s="2">
        <f>MAX(0,AD45-AI45-AM45-AQ45-Pool!BV45)</f>
        <v/>
      </c>
      <c r="AT45" s="2">
        <f>MIN(AR45,AS45)</f>
        <v/>
      </c>
      <c r="AU45" s="2">
        <f>AR45-AT45</f>
        <v/>
      </c>
      <c r="AV45" s="2">
        <f>AI45+AM45+AQ45+AT45</f>
        <v/>
      </c>
      <c r="AW45" s="2">
        <f>MIN(AA45,AV45)</f>
        <v/>
      </c>
      <c r="AX45" s="2">
        <f>MIN(AB45,AV45-AW45)</f>
        <v/>
      </c>
      <c r="AY45" s="2">
        <f>MIN(AC45,AV45-AW45-AX45)</f>
        <v/>
      </c>
      <c r="AZ45" s="2">
        <f>AA45-AW45</f>
        <v/>
      </c>
      <c r="BA45" s="2">
        <f>AB45-AX45</f>
        <v/>
      </c>
      <c r="BB45" s="2">
        <f>AC45-AY45</f>
        <v/>
      </c>
      <c r="BC45" s="2">
        <f>AZ45+BA45+BB45</f>
        <v/>
      </c>
      <c r="BD45" s="2">
        <f>MAX(0,BC45-Pool!BV45)</f>
        <v/>
      </c>
      <c r="BE45" s="2">
        <f>MIN(BB45,BD45)</f>
        <v/>
      </c>
      <c r="BF45" s="2">
        <f>MIN(BA45,BD45-BE45)</f>
        <v/>
      </c>
      <c r="BG45" s="2">
        <f>MIN(AZ45,BD45-BE45-BF45)</f>
        <v/>
      </c>
      <c r="BH45" s="2">
        <f>AZ45-BG45</f>
        <v/>
      </c>
      <c r="BI45" s="2">
        <f>BA45-BF45</f>
        <v/>
      </c>
      <c r="BJ45" s="2">
        <f>BB45-BE45</f>
        <v/>
      </c>
      <c r="BK45" s="7">
        <f>IF(BH45+BI45+BJ45&lt;0.005,1,0)</f>
        <v/>
      </c>
      <c r="BL45" s="2">
        <f>Q45-R45</f>
        <v/>
      </c>
      <c r="BM45" s="2">
        <f>IF(BK45=1,0,MIN(AU45,MAX(0,Inputs!$B$48-BL45)))</f>
        <v/>
      </c>
      <c r="BN45" s="2">
        <f>IF(BK45=1,BL45,0)</f>
        <v/>
      </c>
      <c r="BO45" s="2">
        <f>BL45+BM45-BN45</f>
        <v/>
      </c>
      <c r="BP45" s="2">
        <f>AU45-BM45</f>
        <v/>
      </c>
      <c r="BQ45" s="2">
        <f>BP45+Z45+BN45</f>
        <v/>
      </c>
      <c r="BR45" s="2">
        <f>W45+AW45</f>
        <v/>
      </c>
      <c r="BS45" s="2">
        <f>X45+AX45</f>
        <v/>
      </c>
      <c r="BT45" s="2">
        <f>Y45+AY45</f>
        <v/>
      </c>
      <c r="BU45" s="2">
        <f>AG45+AK45+AO45+BR45+BS45+BT45</f>
        <v/>
      </c>
      <c r="BV45" s="2">
        <f>K45-AG45</f>
        <v/>
      </c>
      <c r="BW45" s="2">
        <f>M45-AK45</f>
        <v/>
      </c>
      <c r="BX45" s="2">
        <f>O45-AO45</f>
        <v/>
      </c>
      <c r="BY45" s="2">
        <f>C45-AE45</f>
        <v/>
      </c>
      <c r="BZ45" s="8">
        <f>AE45+BU45+BQ45+(BO45-Q45)-Pool!BW45</f>
        <v/>
      </c>
    </row>
    <row r="46">
      <c r="A46" s="7" t="n">
        <v>41</v>
      </c>
      <c r="B46" s="2">
        <f>Inputs!$B$51/12*Pool!BK46</f>
        <v/>
      </c>
      <c r="C46" s="2">
        <f>B46+BY45</f>
        <v/>
      </c>
      <c r="D46" s="2">
        <f>BH45</f>
        <v/>
      </c>
      <c r="E46" s="2">
        <f>BI45</f>
        <v/>
      </c>
      <c r="F46" s="2">
        <f>BJ45</f>
        <v/>
      </c>
      <c r="G46" s="3">
        <f>MAX(0,Pool!B46+Inputs!$B$42)</f>
        <v/>
      </c>
      <c r="H46" s="3">
        <f>MAX(0,Pool!B46+Inputs!$B$43)</f>
        <v/>
      </c>
      <c r="I46" s="3">
        <f>Inputs!$B$44</f>
        <v/>
      </c>
      <c r="J46" s="2">
        <f>D46*G46/12</f>
        <v/>
      </c>
      <c r="K46" s="2">
        <f>J46+BV45</f>
        <v/>
      </c>
      <c r="L46" s="2">
        <f>E46*H46/12</f>
        <v/>
      </c>
      <c r="M46" s="2">
        <f>L46+BW45</f>
        <v/>
      </c>
      <c r="N46" s="2">
        <f>F46*I46/12</f>
        <v/>
      </c>
      <c r="O46" s="2">
        <f>N46+BX45</f>
        <v/>
      </c>
      <c r="P46" s="2">
        <f>Pool!BM46</f>
        <v/>
      </c>
      <c r="Q46" s="2">
        <f>BO45</f>
        <v/>
      </c>
      <c r="R46" s="2">
        <f>MIN(Q46,MAX(0,C46+K46+M46-P46))</f>
        <v/>
      </c>
      <c r="S46" s="2">
        <f>P46+R46</f>
        <v/>
      </c>
      <c r="T46" s="2">
        <f>Pool!BN46+Pool!BO46+Pool!BQ46</f>
        <v/>
      </c>
      <c r="U46" s="7">
        <f>IF(OR(Inputs!$B$53=1,Tests!M45=1),1,0)</f>
        <v/>
      </c>
      <c r="V46" s="2">
        <f>D46+E46+F46</f>
        <v/>
      </c>
      <c r="W46" s="2">
        <f>IF(U46=1,MIN(D46,T46),IF(V46&lt;=0,0,MIN(T46,V46)*D46/V46))</f>
        <v/>
      </c>
      <c r="X46" s="2">
        <f>IF(U46=1,MIN(E46,T46-W46),IF(V46&lt;=0,0,MIN(T46,V46)*E46/V46))</f>
        <v/>
      </c>
      <c r="Y46" s="2">
        <f>IF(U46=1,MIN(F46,T46-W46-X46),IF(V46&lt;=0,0,MIN(T46,V46)*F46/V46))</f>
        <v/>
      </c>
      <c r="Z46" s="2">
        <f>T46-W46-X46-Y46</f>
        <v/>
      </c>
      <c r="AA46" s="2">
        <f>D46-W46</f>
        <v/>
      </c>
      <c r="AB46" s="2">
        <f>E46-X46</f>
        <v/>
      </c>
      <c r="AC46" s="2">
        <f>F46-Y46</f>
        <v/>
      </c>
      <c r="AD46" s="2">
        <f>AA46+AB46+AC46</f>
        <v/>
      </c>
      <c r="AE46" s="2">
        <f>MIN(C46,S46)</f>
        <v/>
      </c>
      <c r="AF46" s="2">
        <f>S46-AE46</f>
        <v/>
      </c>
      <c r="AG46" s="2">
        <f>MIN(K46,AF46)</f>
        <v/>
      </c>
      <c r="AH46" s="2">
        <f>AF46-AG46</f>
        <v/>
      </c>
      <c r="AI46" s="2">
        <f>IF(Tests!F46=1,MIN(AH46,AD46),0)</f>
        <v/>
      </c>
      <c r="AJ46" s="2">
        <f>AH46-AI46</f>
        <v/>
      </c>
      <c r="AK46" s="2">
        <f>MIN(M46,AJ46)</f>
        <v/>
      </c>
      <c r="AL46" s="2">
        <f>AJ46-AK46</f>
        <v/>
      </c>
      <c r="AM46" s="2">
        <f>IF(Tests!I46=1,MIN(AL46,AD46-AI46),0)</f>
        <v/>
      </c>
      <c r="AN46" s="2">
        <f>AL46-AM46</f>
        <v/>
      </c>
      <c r="AO46" s="2">
        <f>MIN(O46,AN46)</f>
        <v/>
      </c>
      <c r="AP46" s="2">
        <f>AN46-AO46</f>
        <v/>
      </c>
      <c r="AQ46" s="2">
        <f>IF(Tests!L46=1,MIN(AP46,AD46-AI46-AM46),0)</f>
        <v/>
      </c>
      <c r="AR46" s="2">
        <f>AP46-AQ46</f>
        <v/>
      </c>
      <c r="AS46" s="2">
        <f>MAX(0,AD46-AI46-AM46-AQ46-Pool!BV46)</f>
        <v/>
      </c>
      <c r="AT46" s="2">
        <f>MIN(AR46,AS46)</f>
        <v/>
      </c>
      <c r="AU46" s="2">
        <f>AR46-AT46</f>
        <v/>
      </c>
      <c r="AV46" s="2">
        <f>AI46+AM46+AQ46+AT46</f>
        <v/>
      </c>
      <c r="AW46" s="2">
        <f>MIN(AA46,AV46)</f>
        <v/>
      </c>
      <c r="AX46" s="2">
        <f>MIN(AB46,AV46-AW46)</f>
        <v/>
      </c>
      <c r="AY46" s="2">
        <f>MIN(AC46,AV46-AW46-AX46)</f>
        <v/>
      </c>
      <c r="AZ46" s="2">
        <f>AA46-AW46</f>
        <v/>
      </c>
      <c r="BA46" s="2">
        <f>AB46-AX46</f>
        <v/>
      </c>
      <c r="BB46" s="2">
        <f>AC46-AY46</f>
        <v/>
      </c>
      <c r="BC46" s="2">
        <f>AZ46+BA46+BB46</f>
        <v/>
      </c>
      <c r="BD46" s="2">
        <f>MAX(0,BC46-Pool!BV46)</f>
        <v/>
      </c>
      <c r="BE46" s="2">
        <f>MIN(BB46,BD46)</f>
        <v/>
      </c>
      <c r="BF46" s="2">
        <f>MIN(BA46,BD46-BE46)</f>
        <v/>
      </c>
      <c r="BG46" s="2">
        <f>MIN(AZ46,BD46-BE46-BF46)</f>
        <v/>
      </c>
      <c r="BH46" s="2">
        <f>AZ46-BG46</f>
        <v/>
      </c>
      <c r="BI46" s="2">
        <f>BA46-BF46</f>
        <v/>
      </c>
      <c r="BJ46" s="2">
        <f>BB46-BE46</f>
        <v/>
      </c>
      <c r="BK46" s="7">
        <f>IF(BH46+BI46+BJ46&lt;0.005,1,0)</f>
        <v/>
      </c>
      <c r="BL46" s="2">
        <f>Q46-R46</f>
        <v/>
      </c>
      <c r="BM46" s="2">
        <f>IF(BK46=1,0,MIN(AU46,MAX(0,Inputs!$B$48-BL46)))</f>
        <v/>
      </c>
      <c r="BN46" s="2">
        <f>IF(BK46=1,BL46,0)</f>
        <v/>
      </c>
      <c r="BO46" s="2">
        <f>BL46+BM46-BN46</f>
        <v/>
      </c>
      <c r="BP46" s="2">
        <f>AU46-BM46</f>
        <v/>
      </c>
      <c r="BQ46" s="2">
        <f>BP46+Z46+BN46</f>
        <v/>
      </c>
      <c r="BR46" s="2">
        <f>W46+AW46</f>
        <v/>
      </c>
      <c r="BS46" s="2">
        <f>X46+AX46</f>
        <v/>
      </c>
      <c r="BT46" s="2">
        <f>Y46+AY46</f>
        <v/>
      </c>
      <c r="BU46" s="2">
        <f>AG46+AK46+AO46+BR46+BS46+BT46</f>
        <v/>
      </c>
      <c r="BV46" s="2">
        <f>K46-AG46</f>
        <v/>
      </c>
      <c r="BW46" s="2">
        <f>M46-AK46</f>
        <v/>
      </c>
      <c r="BX46" s="2">
        <f>O46-AO46</f>
        <v/>
      </c>
      <c r="BY46" s="2">
        <f>C46-AE46</f>
        <v/>
      </c>
      <c r="BZ46" s="8">
        <f>AE46+BU46+BQ46+(BO46-Q46)-Pool!BW46</f>
        <v/>
      </c>
    </row>
    <row r="47">
      <c r="A47" s="7" t="n">
        <v>42</v>
      </c>
      <c r="B47" s="2">
        <f>Inputs!$B$51/12*Pool!BK47</f>
        <v/>
      </c>
      <c r="C47" s="2">
        <f>B47+BY46</f>
        <v/>
      </c>
      <c r="D47" s="2">
        <f>BH46</f>
        <v/>
      </c>
      <c r="E47" s="2">
        <f>BI46</f>
        <v/>
      </c>
      <c r="F47" s="2">
        <f>BJ46</f>
        <v/>
      </c>
      <c r="G47" s="3">
        <f>MAX(0,Pool!B47+Inputs!$B$42)</f>
        <v/>
      </c>
      <c r="H47" s="3">
        <f>MAX(0,Pool!B47+Inputs!$B$43)</f>
        <v/>
      </c>
      <c r="I47" s="3">
        <f>Inputs!$B$44</f>
        <v/>
      </c>
      <c r="J47" s="2">
        <f>D47*G47/12</f>
        <v/>
      </c>
      <c r="K47" s="2">
        <f>J47+BV46</f>
        <v/>
      </c>
      <c r="L47" s="2">
        <f>E47*H47/12</f>
        <v/>
      </c>
      <c r="M47" s="2">
        <f>L47+BW46</f>
        <v/>
      </c>
      <c r="N47" s="2">
        <f>F47*I47/12</f>
        <v/>
      </c>
      <c r="O47" s="2">
        <f>N47+BX46</f>
        <v/>
      </c>
      <c r="P47" s="2">
        <f>Pool!BM47</f>
        <v/>
      </c>
      <c r="Q47" s="2">
        <f>BO46</f>
        <v/>
      </c>
      <c r="R47" s="2">
        <f>MIN(Q47,MAX(0,C47+K47+M47-P47))</f>
        <v/>
      </c>
      <c r="S47" s="2">
        <f>P47+R47</f>
        <v/>
      </c>
      <c r="T47" s="2">
        <f>Pool!BN47+Pool!BO47+Pool!BQ47</f>
        <v/>
      </c>
      <c r="U47" s="7">
        <f>IF(OR(Inputs!$B$53=1,Tests!M46=1),1,0)</f>
        <v/>
      </c>
      <c r="V47" s="2">
        <f>D47+E47+F47</f>
        <v/>
      </c>
      <c r="W47" s="2">
        <f>IF(U47=1,MIN(D47,T47),IF(V47&lt;=0,0,MIN(T47,V47)*D47/V47))</f>
        <v/>
      </c>
      <c r="X47" s="2">
        <f>IF(U47=1,MIN(E47,T47-W47),IF(V47&lt;=0,0,MIN(T47,V47)*E47/V47))</f>
        <v/>
      </c>
      <c r="Y47" s="2">
        <f>IF(U47=1,MIN(F47,T47-W47-X47),IF(V47&lt;=0,0,MIN(T47,V47)*F47/V47))</f>
        <v/>
      </c>
      <c r="Z47" s="2">
        <f>T47-W47-X47-Y47</f>
        <v/>
      </c>
      <c r="AA47" s="2">
        <f>D47-W47</f>
        <v/>
      </c>
      <c r="AB47" s="2">
        <f>E47-X47</f>
        <v/>
      </c>
      <c r="AC47" s="2">
        <f>F47-Y47</f>
        <v/>
      </c>
      <c r="AD47" s="2">
        <f>AA47+AB47+AC47</f>
        <v/>
      </c>
      <c r="AE47" s="2">
        <f>MIN(C47,S47)</f>
        <v/>
      </c>
      <c r="AF47" s="2">
        <f>S47-AE47</f>
        <v/>
      </c>
      <c r="AG47" s="2">
        <f>MIN(K47,AF47)</f>
        <v/>
      </c>
      <c r="AH47" s="2">
        <f>AF47-AG47</f>
        <v/>
      </c>
      <c r="AI47" s="2">
        <f>IF(Tests!F47=1,MIN(AH47,AD47),0)</f>
        <v/>
      </c>
      <c r="AJ47" s="2">
        <f>AH47-AI47</f>
        <v/>
      </c>
      <c r="AK47" s="2">
        <f>MIN(M47,AJ47)</f>
        <v/>
      </c>
      <c r="AL47" s="2">
        <f>AJ47-AK47</f>
        <v/>
      </c>
      <c r="AM47" s="2">
        <f>IF(Tests!I47=1,MIN(AL47,AD47-AI47),0)</f>
        <v/>
      </c>
      <c r="AN47" s="2">
        <f>AL47-AM47</f>
        <v/>
      </c>
      <c r="AO47" s="2">
        <f>MIN(O47,AN47)</f>
        <v/>
      </c>
      <c r="AP47" s="2">
        <f>AN47-AO47</f>
        <v/>
      </c>
      <c r="AQ47" s="2">
        <f>IF(Tests!L47=1,MIN(AP47,AD47-AI47-AM47),0)</f>
        <v/>
      </c>
      <c r="AR47" s="2">
        <f>AP47-AQ47</f>
        <v/>
      </c>
      <c r="AS47" s="2">
        <f>MAX(0,AD47-AI47-AM47-AQ47-Pool!BV47)</f>
        <v/>
      </c>
      <c r="AT47" s="2">
        <f>MIN(AR47,AS47)</f>
        <v/>
      </c>
      <c r="AU47" s="2">
        <f>AR47-AT47</f>
        <v/>
      </c>
      <c r="AV47" s="2">
        <f>AI47+AM47+AQ47+AT47</f>
        <v/>
      </c>
      <c r="AW47" s="2">
        <f>MIN(AA47,AV47)</f>
        <v/>
      </c>
      <c r="AX47" s="2">
        <f>MIN(AB47,AV47-AW47)</f>
        <v/>
      </c>
      <c r="AY47" s="2">
        <f>MIN(AC47,AV47-AW47-AX47)</f>
        <v/>
      </c>
      <c r="AZ47" s="2">
        <f>AA47-AW47</f>
        <v/>
      </c>
      <c r="BA47" s="2">
        <f>AB47-AX47</f>
        <v/>
      </c>
      <c r="BB47" s="2">
        <f>AC47-AY47</f>
        <v/>
      </c>
      <c r="BC47" s="2">
        <f>AZ47+BA47+BB47</f>
        <v/>
      </c>
      <c r="BD47" s="2">
        <f>MAX(0,BC47-Pool!BV47)</f>
        <v/>
      </c>
      <c r="BE47" s="2">
        <f>MIN(BB47,BD47)</f>
        <v/>
      </c>
      <c r="BF47" s="2">
        <f>MIN(BA47,BD47-BE47)</f>
        <v/>
      </c>
      <c r="BG47" s="2">
        <f>MIN(AZ47,BD47-BE47-BF47)</f>
        <v/>
      </c>
      <c r="BH47" s="2">
        <f>AZ47-BG47</f>
        <v/>
      </c>
      <c r="BI47" s="2">
        <f>BA47-BF47</f>
        <v/>
      </c>
      <c r="BJ47" s="2">
        <f>BB47-BE47</f>
        <v/>
      </c>
      <c r="BK47" s="7">
        <f>IF(BH47+BI47+BJ47&lt;0.005,1,0)</f>
        <v/>
      </c>
      <c r="BL47" s="2">
        <f>Q47-R47</f>
        <v/>
      </c>
      <c r="BM47" s="2">
        <f>IF(BK47=1,0,MIN(AU47,MAX(0,Inputs!$B$48-BL47)))</f>
        <v/>
      </c>
      <c r="BN47" s="2">
        <f>IF(BK47=1,BL47,0)</f>
        <v/>
      </c>
      <c r="BO47" s="2">
        <f>BL47+BM47-BN47</f>
        <v/>
      </c>
      <c r="BP47" s="2">
        <f>AU47-BM47</f>
        <v/>
      </c>
      <c r="BQ47" s="2">
        <f>BP47+Z47+BN47</f>
        <v/>
      </c>
      <c r="BR47" s="2">
        <f>W47+AW47</f>
        <v/>
      </c>
      <c r="BS47" s="2">
        <f>X47+AX47</f>
        <v/>
      </c>
      <c r="BT47" s="2">
        <f>Y47+AY47</f>
        <v/>
      </c>
      <c r="BU47" s="2">
        <f>AG47+AK47+AO47+BR47+BS47+BT47</f>
        <v/>
      </c>
      <c r="BV47" s="2">
        <f>K47-AG47</f>
        <v/>
      </c>
      <c r="BW47" s="2">
        <f>M47-AK47</f>
        <v/>
      </c>
      <c r="BX47" s="2">
        <f>O47-AO47</f>
        <v/>
      </c>
      <c r="BY47" s="2">
        <f>C47-AE47</f>
        <v/>
      </c>
      <c r="BZ47" s="8">
        <f>AE47+BU47+BQ47+(BO47-Q47)-Pool!BW47</f>
        <v/>
      </c>
    </row>
    <row r="48">
      <c r="A48" s="7" t="n">
        <v>43</v>
      </c>
      <c r="B48" s="2">
        <f>Inputs!$B$51/12*Pool!BK48</f>
        <v/>
      </c>
      <c r="C48" s="2">
        <f>B48+BY47</f>
        <v/>
      </c>
      <c r="D48" s="2">
        <f>BH47</f>
        <v/>
      </c>
      <c r="E48" s="2">
        <f>BI47</f>
        <v/>
      </c>
      <c r="F48" s="2">
        <f>BJ47</f>
        <v/>
      </c>
      <c r="G48" s="3">
        <f>MAX(0,Pool!B48+Inputs!$B$42)</f>
        <v/>
      </c>
      <c r="H48" s="3">
        <f>MAX(0,Pool!B48+Inputs!$B$43)</f>
        <v/>
      </c>
      <c r="I48" s="3">
        <f>Inputs!$B$44</f>
        <v/>
      </c>
      <c r="J48" s="2">
        <f>D48*G48/12</f>
        <v/>
      </c>
      <c r="K48" s="2">
        <f>J48+BV47</f>
        <v/>
      </c>
      <c r="L48" s="2">
        <f>E48*H48/12</f>
        <v/>
      </c>
      <c r="M48" s="2">
        <f>L48+BW47</f>
        <v/>
      </c>
      <c r="N48" s="2">
        <f>F48*I48/12</f>
        <v/>
      </c>
      <c r="O48" s="2">
        <f>N48+BX47</f>
        <v/>
      </c>
      <c r="P48" s="2">
        <f>Pool!BM48</f>
        <v/>
      </c>
      <c r="Q48" s="2">
        <f>BO47</f>
        <v/>
      </c>
      <c r="R48" s="2">
        <f>MIN(Q48,MAX(0,C48+K48+M48-P48))</f>
        <v/>
      </c>
      <c r="S48" s="2">
        <f>P48+R48</f>
        <v/>
      </c>
      <c r="T48" s="2">
        <f>Pool!BN48+Pool!BO48+Pool!BQ48</f>
        <v/>
      </c>
      <c r="U48" s="7">
        <f>IF(OR(Inputs!$B$53=1,Tests!M47=1),1,0)</f>
        <v/>
      </c>
      <c r="V48" s="2">
        <f>D48+E48+F48</f>
        <v/>
      </c>
      <c r="W48" s="2">
        <f>IF(U48=1,MIN(D48,T48),IF(V48&lt;=0,0,MIN(T48,V48)*D48/V48))</f>
        <v/>
      </c>
      <c r="X48" s="2">
        <f>IF(U48=1,MIN(E48,T48-W48),IF(V48&lt;=0,0,MIN(T48,V48)*E48/V48))</f>
        <v/>
      </c>
      <c r="Y48" s="2">
        <f>IF(U48=1,MIN(F48,T48-W48-X48),IF(V48&lt;=0,0,MIN(T48,V48)*F48/V48))</f>
        <v/>
      </c>
      <c r="Z48" s="2">
        <f>T48-W48-X48-Y48</f>
        <v/>
      </c>
      <c r="AA48" s="2">
        <f>D48-W48</f>
        <v/>
      </c>
      <c r="AB48" s="2">
        <f>E48-X48</f>
        <v/>
      </c>
      <c r="AC48" s="2">
        <f>F48-Y48</f>
        <v/>
      </c>
      <c r="AD48" s="2">
        <f>AA48+AB48+AC48</f>
        <v/>
      </c>
      <c r="AE48" s="2">
        <f>MIN(C48,S48)</f>
        <v/>
      </c>
      <c r="AF48" s="2">
        <f>S48-AE48</f>
        <v/>
      </c>
      <c r="AG48" s="2">
        <f>MIN(K48,AF48)</f>
        <v/>
      </c>
      <c r="AH48" s="2">
        <f>AF48-AG48</f>
        <v/>
      </c>
      <c r="AI48" s="2">
        <f>IF(Tests!F48=1,MIN(AH48,AD48),0)</f>
        <v/>
      </c>
      <c r="AJ48" s="2">
        <f>AH48-AI48</f>
        <v/>
      </c>
      <c r="AK48" s="2">
        <f>MIN(M48,AJ48)</f>
        <v/>
      </c>
      <c r="AL48" s="2">
        <f>AJ48-AK48</f>
        <v/>
      </c>
      <c r="AM48" s="2">
        <f>IF(Tests!I48=1,MIN(AL48,AD48-AI48),0)</f>
        <v/>
      </c>
      <c r="AN48" s="2">
        <f>AL48-AM48</f>
        <v/>
      </c>
      <c r="AO48" s="2">
        <f>MIN(O48,AN48)</f>
        <v/>
      </c>
      <c r="AP48" s="2">
        <f>AN48-AO48</f>
        <v/>
      </c>
      <c r="AQ48" s="2">
        <f>IF(Tests!L48=1,MIN(AP48,AD48-AI48-AM48),0)</f>
        <v/>
      </c>
      <c r="AR48" s="2">
        <f>AP48-AQ48</f>
        <v/>
      </c>
      <c r="AS48" s="2">
        <f>MAX(0,AD48-AI48-AM48-AQ48-Pool!BV48)</f>
        <v/>
      </c>
      <c r="AT48" s="2">
        <f>MIN(AR48,AS48)</f>
        <v/>
      </c>
      <c r="AU48" s="2">
        <f>AR48-AT48</f>
        <v/>
      </c>
      <c r="AV48" s="2">
        <f>AI48+AM48+AQ48+AT48</f>
        <v/>
      </c>
      <c r="AW48" s="2">
        <f>MIN(AA48,AV48)</f>
        <v/>
      </c>
      <c r="AX48" s="2">
        <f>MIN(AB48,AV48-AW48)</f>
        <v/>
      </c>
      <c r="AY48" s="2">
        <f>MIN(AC48,AV48-AW48-AX48)</f>
        <v/>
      </c>
      <c r="AZ48" s="2">
        <f>AA48-AW48</f>
        <v/>
      </c>
      <c r="BA48" s="2">
        <f>AB48-AX48</f>
        <v/>
      </c>
      <c r="BB48" s="2">
        <f>AC48-AY48</f>
        <v/>
      </c>
      <c r="BC48" s="2">
        <f>AZ48+BA48+BB48</f>
        <v/>
      </c>
      <c r="BD48" s="2">
        <f>MAX(0,BC48-Pool!BV48)</f>
        <v/>
      </c>
      <c r="BE48" s="2">
        <f>MIN(BB48,BD48)</f>
        <v/>
      </c>
      <c r="BF48" s="2">
        <f>MIN(BA48,BD48-BE48)</f>
        <v/>
      </c>
      <c r="BG48" s="2">
        <f>MIN(AZ48,BD48-BE48-BF48)</f>
        <v/>
      </c>
      <c r="BH48" s="2">
        <f>AZ48-BG48</f>
        <v/>
      </c>
      <c r="BI48" s="2">
        <f>BA48-BF48</f>
        <v/>
      </c>
      <c r="BJ48" s="2">
        <f>BB48-BE48</f>
        <v/>
      </c>
      <c r="BK48" s="7">
        <f>IF(BH48+BI48+BJ48&lt;0.005,1,0)</f>
        <v/>
      </c>
      <c r="BL48" s="2">
        <f>Q48-R48</f>
        <v/>
      </c>
      <c r="BM48" s="2">
        <f>IF(BK48=1,0,MIN(AU48,MAX(0,Inputs!$B$48-BL48)))</f>
        <v/>
      </c>
      <c r="BN48" s="2">
        <f>IF(BK48=1,BL48,0)</f>
        <v/>
      </c>
      <c r="BO48" s="2">
        <f>BL48+BM48-BN48</f>
        <v/>
      </c>
      <c r="BP48" s="2">
        <f>AU48-BM48</f>
        <v/>
      </c>
      <c r="BQ48" s="2">
        <f>BP48+Z48+BN48</f>
        <v/>
      </c>
      <c r="BR48" s="2">
        <f>W48+AW48</f>
        <v/>
      </c>
      <c r="BS48" s="2">
        <f>X48+AX48</f>
        <v/>
      </c>
      <c r="BT48" s="2">
        <f>Y48+AY48</f>
        <v/>
      </c>
      <c r="BU48" s="2">
        <f>AG48+AK48+AO48+BR48+BS48+BT48</f>
        <v/>
      </c>
      <c r="BV48" s="2">
        <f>K48-AG48</f>
        <v/>
      </c>
      <c r="BW48" s="2">
        <f>M48-AK48</f>
        <v/>
      </c>
      <c r="BX48" s="2">
        <f>O48-AO48</f>
        <v/>
      </c>
      <c r="BY48" s="2">
        <f>C48-AE48</f>
        <v/>
      </c>
      <c r="BZ48" s="8">
        <f>AE48+BU48+BQ48+(BO48-Q48)-Pool!BW48</f>
        <v/>
      </c>
    </row>
    <row r="49">
      <c r="A49" s="7" t="n">
        <v>44</v>
      </c>
      <c r="B49" s="2">
        <f>Inputs!$B$51/12*Pool!BK49</f>
        <v/>
      </c>
      <c r="C49" s="2">
        <f>B49+BY48</f>
        <v/>
      </c>
      <c r="D49" s="2">
        <f>BH48</f>
        <v/>
      </c>
      <c r="E49" s="2">
        <f>BI48</f>
        <v/>
      </c>
      <c r="F49" s="2">
        <f>BJ48</f>
        <v/>
      </c>
      <c r="G49" s="3">
        <f>MAX(0,Pool!B49+Inputs!$B$42)</f>
        <v/>
      </c>
      <c r="H49" s="3">
        <f>MAX(0,Pool!B49+Inputs!$B$43)</f>
        <v/>
      </c>
      <c r="I49" s="3">
        <f>Inputs!$B$44</f>
        <v/>
      </c>
      <c r="J49" s="2">
        <f>D49*G49/12</f>
        <v/>
      </c>
      <c r="K49" s="2">
        <f>J49+BV48</f>
        <v/>
      </c>
      <c r="L49" s="2">
        <f>E49*H49/12</f>
        <v/>
      </c>
      <c r="M49" s="2">
        <f>L49+BW48</f>
        <v/>
      </c>
      <c r="N49" s="2">
        <f>F49*I49/12</f>
        <v/>
      </c>
      <c r="O49" s="2">
        <f>N49+BX48</f>
        <v/>
      </c>
      <c r="P49" s="2">
        <f>Pool!BM49</f>
        <v/>
      </c>
      <c r="Q49" s="2">
        <f>BO48</f>
        <v/>
      </c>
      <c r="R49" s="2">
        <f>MIN(Q49,MAX(0,C49+K49+M49-P49))</f>
        <v/>
      </c>
      <c r="S49" s="2">
        <f>P49+R49</f>
        <v/>
      </c>
      <c r="T49" s="2">
        <f>Pool!BN49+Pool!BO49+Pool!BQ49</f>
        <v/>
      </c>
      <c r="U49" s="7">
        <f>IF(OR(Inputs!$B$53=1,Tests!M48=1),1,0)</f>
        <v/>
      </c>
      <c r="V49" s="2">
        <f>D49+E49+F49</f>
        <v/>
      </c>
      <c r="W49" s="2">
        <f>IF(U49=1,MIN(D49,T49),IF(V49&lt;=0,0,MIN(T49,V49)*D49/V49))</f>
        <v/>
      </c>
      <c r="X49" s="2">
        <f>IF(U49=1,MIN(E49,T49-W49),IF(V49&lt;=0,0,MIN(T49,V49)*E49/V49))</f>
        <v/>
      </c>
      <c r="Y49" s="2">
        <f>IF(U49=1,MIN(F49,T49-W49-X49),IF(V49&lt;=0,0,MIN(T49,V49)*F49/V49))</f>
        <v/>
      </c>
      <c r="Z49" s="2">
        <f>T49-W49-X49-Y49</f>
        <v/>
      </c>
      <c r="AA49" s="2">
        <f>D49-W49</f>
        <v/>
      </c>
      <c r="AB49" s="2">
        <f>E49-X49</f>
        <v/>
      </c>
      <c r="AC49" s="2">
        <f>F49-Y49</f>
        <v/>
      </c>
      <c r="AD49" s="2">
        <f>AA49+AB49+AC49</f>
        <v/>
      </c>
      <c r="AE49" s="2">
        <f>MIN(C49,S49)</f>
        <v/>
      </c>
      <c r="AF49" s="2">
        <f>S49-AE49</f>
        <v/>
      </c>
      <c r="AG49" s="2">
        <f>MIN(K49,AF49)</f>
        <v/>
      </c>
      <c r="AH49" s="2">
        <f>AF49-AG49</f>
        <v/>
      </c>
      <c r="AI49" s="2">
        <f>IF(Tests!F49=1,MIN(AH49,AD49),0)</f>
        <v/>
      </c>
      <c r="AJ49" s="2">
        <f>AH49-AI49</f>
        <v/>
      </c>
      <c r="AK49" s="2">
        <f>MIN(M49,AJ49)</f>
        <v/>
      </c>
      <c r="AL49" s="2">
        <f>AJ49-AK49</f>
        <v/>
      </c>
      <c r="AM49" s="2">
        <f>IF(Tests!I49=1,MIN(AL49,AD49-AI49),0)</f>
        <v/>
      </c>
      <c r="AN49" s="2">
        <f>AL49-AM49</f>
        <v/>
      </c>
      <c r="AO49" s="2">
        <f>MIN(O49,AN49)</f>
        <v/>
      </c>
      <c r="AP49" s="2">
        <f>AN49-AO49</f>
        <v/>
      </c>
      <c r="AQ49" s="2">
        <f>IF(Tests!L49=1,MIN(AP49,AD49-AI49-AM49),0)</f>
        <v/>
      </c>
      <c r="AR49" s="2">
        <f>AP49-AQ49</f>
        <v/>
      </c>
      <c r="AS49" s="2">
        <f>MAX(0,AD49-AI49-AM49-AQ49-Pool!BV49)</f>
        <v/>
      </c>
      <c r="AT49" s="2">
        <f>MIN(AR49,AS49)</f>
        <v/>
      </c>
      <c r="AU49" s="2">
        <f>AR49-AT49</f>
        <v/>
      </c>
      <c r="AV49" s="2">
        <f>AI49+AM49+AQ49+AT49</f>
        <v/>
      </c>
      <c r="AW49" s="2">
        <f>MIN(AA49,AV49)</f>
        <v/>
      </c>
      <c r="AX49" s="2">
        <f>MIN(AB49,AV49-AW49)</f>
        <v/>
      </c>
      <c r="AY49" s="2">
        <f>MIN(AC49,AV49-AW49-AX49)</f>
        <v/>
      </c>
      <c r="AZ49" s="2">
        <f>AA49-AW49</f>
        <v/>
      </c>
      <c r="BA49" s="2">
        <f>AB49-AX49</f>
        <v/>
      </c>
      <c r="BB49" s="2">
        <f>AC49-AY49</f>
        <v/>
      </c>
      <c r="BC49" s="2">
        <f>AZ49+BA49+BB49</f>
        <v/>
      </c>
      <c r="BD49" s="2">
        <f>MAX(0,BC49-Pool!BV49)</f>
        <v/>
      </c>
      <c r="BE49" s="2">
        <f>MIN(BB49,BD49)</f>
        <v/>
      </c>
      <c r="BF49" s="2">
        <f>MIN(BA49,BD49-BE49)</f>
        <v/>
      </c>
      <c r="BG49" s="2">
        <f>MIN(AZ49,BD49-BE49-BF49)</f>
        <v/>
      </c>
      <c r="BH49" s="2">
        <f>AZ49-BG49</f>
        <v/>
      </c>
      <c r="BI49" s="2">
        <f>BA49-BF49</f>
        <v/>
      </c>
      <c r="BJ49" s="2">
        <f>BB49-BE49</f>
        <v/>
      </c>
      <c r="BK49" s="7">
        <f>IF(BH49+BI49+BJ49&lt;0.005,1,0)</f>
        <v/>
      </c>
      <c r="BL49" s="2">
        <f>Q49-R49</f>
        <v/>
      </c>
      <c r="BM49" s="2">
        <f>IF(BK49=1,0,MIN(AU49,MAX(0,Inputs!$B$48-BL49)))</f>
        <v/>
      </c>
      <c r="BN49" s="2">
        <f>IF(BK49=1,BL49,0)</f>
        <v/>
      </c>
      <c r="BO49" s="2">
        <f>BL49+BM49-BN49</f>
        <v/>
      </c>
      <c r="BP49" s="2">
        <f>AU49-BM49</f>
        <v/>
      </c>
      <c r="BQ49" s="2">
        <f>BP49+Z49+BN49</f>
        <v/>
      </c>
      <c r="BR49" s="2">
        <f>W49+AW49</f>
        <v/>
      </c>
      <c r="BS49" s="2">
        <f>X49+AX49</f>
        <v/>
      </c>
      <c r="BT49" s="2">
        <f>Y49+AY49</f>
        <v/>
      </c>
      <c r="BU49" s="2">
        <f>AG49+AK49+AO49+BR49+BS49+BT49</f>
        <v/>
      </c>
      <c r="BV49" s="2">
        <f>K49-AG49</f>
        <v/>
      </c>
      <c r="BW49" s="2">
        <f>M49-AK49</f>
        <v/>
      </c>
      <c r="BX49" s="2">
        <f>O49-AO49</f>
        <v/>
      </c>
      <c r="BY49" s="2">
        <f>C49-AE49</f>
        <v/>
      </c>
      <c r="BZ49" s="8">
        <f>AE49+BU49+BQ49+(BO49-Q49)-Pool!BW49</f>
        <v/>
      </c>
    </row>
    <row r="50">
      <c r="A50" s="7" t="n">
        <v>45</v>
      </c>
      <c r="B50" s="2">
        <f>Inputs!$B$51/12*Pool!BK50</f>
        <v/>
      </c>
      <c r="C50" s="2">
        <f>B50+BY49</f>
        <v/>
      </c>
      <c r="D50" s="2">
        <f>BH49</f>
        <v/>
      </c>
      <c r="E50" s="2">
        <f>BI49</f>
        <v/>
      </c>
      <c r="F50" s="2">
        <f>BJ49</f>
        <v/>
      </c>
      <c r="G50" s="3">
        <f>MAX(0,Pool!B50+Inputs!$B$42)</f>
        <v/>
      </c>
      <c r="H50" s="3">
        <f>MAX(0,Pool!B50+Inputs!$B$43)</f>
        <v/>
      </c>
      <c r="I50" s="3">
        <f>Inputs!$B$44</f>
        <v/>
      </c>
      <c r="J50" s="2">
        <f>D50*G50/12</f>
        <v/>
      </c>
      <c r="K50" s="2">
        <f>J50+BV49</f>
        <v/>
      </c>
      <c r="L50" s="2">
        <f>E50*H50/12</f>
        <v/>
      </c>
      <c r="M50" s="2">
        <f>L50+BW49</f>
        <v/>
      </c>
      <c r="N50" s="2">
        <f>F50*I50/12</f>
        <v/>
      </c>
      <c r="O50" s="2">
        <f>N50+BX49</f>
        <v/>
      </c>
      <c r="P50" s="2">
        <f>Pool!BM50</f>
        <v/>
      </c>
      <c r="Q50" s="2">
        <f>BO49</f>
        <v/>
      </c>
      <c r="R50" s="2">
        <f>MIN(Q50,MAX(0,C50+K50+M50-P50))</f>
        <v/>
      </c>
      <c r="S50" s="2">
        <f>P50+R50</f>
        <v/>
      </c>
      <c r="T50" s="2">
        <f>Pool!BN50+Pool!BO50+Pool!BQ50</f>
        <v/>
      </c>
      <c r="U50" s="7">
        <f>IF(OR(Inputs!$B$53=1,Tests!M49=1),1,0)</f>
        <v/>
      </c>
      <c r="V50" s="2">
        <f>D50+E50+F50</f>
        <v/>
      </c>
      <c r="W50" s="2">
        <f>IF(U50=1,MIN(D50,T50),IF(V50&lt;=0,0,MIN(T50,V50)*D50/V50))</f>
        <v/>
      </c>
      <c r="X50" s="2">
        <f>IF(U50=1,MIN(E50,T50-W50),IF(V50&lt;=0,0,MIN(T50,V50)*E50/V50))</f>
        <v/>
      </c>
      <c r="Y50" s="2">
        <f>IF(U50=1,MIN(F50,T50-W50-X50),IF(V50&lt;=0,0,MIN(T50,V50)*F50/V50))</f>
        <v/>
      </c>
      <c r="Z50" s="2">
        <f>T50-W50-X50-Y50</f>
        <v/>
      </c>
      <c r="AA50" s="2">
        <f>D50-W50</f>
        <v/>
      </c>
      <c r="AB50" s="2">
        <f>E50-X50</f>
        <v/>
      </c>
      <c r="AC50" s="2">
        <f>F50-Y50</f>
        <v/>
      </c>
      <c r="AD50" s="2">
        <f>AA50+AB50+AC50</f>
        <v/>
      </c>
      <c r="AE50" s="2">
        <f>MIN(C50,S50)</f>
        <v/>
      </c>
      <c r="AF50" s="2">
        <f>S50-AE50</f>
        <v/>
      </c>
      <c r="AG50" s="2">
        <f>MIN(K50,AF50)</f>
        <v/>
      </c>
      <c r="AH50" s="2">
        <f>AF50-AG50</f>
        <v/>
      </c>
      <c r="AI50" s="2">
        <f>IF(Tests!F50=1,MIN(AH50,AD50),0)</f>
        <v/>
      </c>
      <c r="AJ50" s="2">
        <f>AH50-AI50</f>
        <v/>
      </c>
      <c r="AK50" s="2">
        <f>MIN(M50,AJ50)</f>
        <v/>
      </c>
      <c r="AL50" s="2">
        <f>AJ50-AK50</f>
        <v/>
      </c>
      <c r="AM50" s="2">
        <f>IF(Tests!I50=1,MIN(AL50,AD50-AI50),0)</f>
        <v/>
      </c>
      <c r="AN50" s="2">
        <f>AL50-AM50</f>
        <v/>
      </c>
      <c r="AO50" s="2">
        <f>MIN(O50,AN50)</f>
        <v/>
      </c>
      <c r="AP50" s="2">
        <f>AN50-AO50</f>
        <v/>
      </c>
      <c r="AQ50" s="2">
        <f>IF(Tests!L50=1,MIN(AP50,AD50-AI50-AM50),0)</f>
        <v/>
      </c>
      <c r="AR50" s="2">
        <f>AP50-AQ50</f>
        <v/>
      </c>
      <c r="AS50" s="2">
        <f>MAX(0,AD50-AI50-AM50-AQ50-Pool!BV50)</f>
        <v/>
      </c>
      <c r="AT50" s="2">
        <f>MIN(AR50,AS50)</f>
        <v/>
      </c>
      <c r="AU50" s="2">
        <f>AR50-AT50</f>
        <v/>
      </c>
      <c r="AV50" s="2">
        <f>AI50+AM50+AQ50+AT50</f>
        <v/>
      </c>
      <c r="AW50" s="2">
        <f>MIN(AA50,AV50)</f>
        <v/>
      </c>
      <c r="AX50" s="2">
        <f>MIN(AB50,AV50-AW50)</f>
        <v/>
      </c>
      <c r="AY50" s="2">
        <f>MIN(AC50,AV50-AW50-AX50)</f>
        <v/>
      </c>
      <c r="AZ50" s="2">
        <f>AA50-AW50</f>
        <v/>
      </c>
      <c r="BA50" s="2">
        <f>AB50-AX50</f>
        <v/>
      </c>
      <c r="BB50" s="2">
        <f>AC50-AY50</f>
        <v/>
      </c>
      <c r="BC50" s="2">
        <f>AZ50+BA50+BB50</f>
        <v/>
      </c>
      <c r="BD50" s="2">
        <f>MAX(0,BC50-Pool!BV50)</f>
        <v/>
      </c>
      <c r="BE50" s="2">
        <f>MIN(BB50,BD50)</f>
        <v/>
      </c>
      <c r="BF50" s="2">
        <f>MIN(BA50,BD50-BE50)</f>
        <v/>
      </c>
      <c r="BG50" s="2">
        <f>MIN(AZ50,BD50-BE50-BF50)</f>
        <v/>
      </c>
      <c r="BH50" s="2">
        <f>AZ50-BG50</f>
        <v/>
      </c>
      <c r="BI50" s="2">
        <f>BA50-BF50</f>
        <v/>
      </c>
      <c r="BJ50" s="2">
        <f>BB50-BE50</f>
        <v/>
      </c>
      <c r="BK50" s="7">
        <f>IF(BH50+BI50+BJ50&lt;0.005,1,0)</f>
        <v/>
      </c>
      <c r="BL50" s="2">
        <f>Q50-R50</f>
        <v/>
      </c>
      <c r="BM50" s="2">
        <f>IF(BK50=1,0,MIN(AU50,MAX(0,Inputs!$B$48-BL50)))</f>
        <v/>
      </c>
      <c r="BN50" s="2">
        <f>IF(BK50=1,BL50,0)</f>
        <v/>
      </c>
      <c r="BO50" s="2">
        <f>BL50+BM50-BN50</f>
        <v/>
      </c>
      <c r="BP50" s="2">
        <f>AU50-BM50</f>
        <v/>
      </c>
      <c r="BQ50" s="2">
        <f>BP50+Z50+BN50</f>
        <v/>
      </c>
      <c r="BR50" s="2">
        <f>W50+AW50</f>
        <v/>
      </c>
      <c r="BS50" s="2">
        <f>X50+AX50</f>
        <v/>
      </c>
      <c r="BT50" s="2">
        <f>Y50+AY50</f>
        <v/>
      </c>
      <c r="BU50" s="2">
        <f>AG50+AK50+AO50+BR50+BS50+BT50</f>
        <v/>
      </c>
      <c r="BV50" s="2">
        <f>K50-AG50</f>
        <v/>
      </c>
      <c r="BW50" s="2">
        <f>M50-AK50</f>
        <v/>
      </c>
      <c r="BX50" s="2">
        <f>O50-AO50</f>
        <v/>
      </c>
      <c r="BY50" s="2">
        <f>C50-AE50</f>
        <v/>
      </c>
      <c r="BZ50" s="8">
        <f>AE50+BU50+BQ50+(BO50-Q50)-Pool!BW50</f>
        <v/>
      </c>
    </row>
    <row r="51">
      <c r="A51" s="7" t="n">
        <v>46</v>
      </c>
      <c r="B51" s="2">
        <f>Inputs!$B$51/12*Pool!BK51</f>
        <v/>
      </c>
      <c r="C51" s="2">
        <f>B51+BY50</f>
        <v/>
      </c>
      <c r="D51" s="2">
        <f>BH50</f>
        <v/>
      </c>
      <c r="E51" s="2">
        <f>BI50</f>
        <v/>
      </c>
      <c r="F51" s="2">
        <f>BJ50</f>
        <v/>
      </c>
      <c r="G51" s="3">
        <f>MAX(0,Pool!B51+Inputs!$B$42)</f>
        <v/>
      </c>
      <c r="H51" s="3">
        <f>MAX(0,Pool!B51+Inputs!$B$43)</f>
        <v/>
      </c>
      <c r="I51" s="3">
        <f>Inputs!$B$44</f>
        <v/>
      </c>
      <c r="J51" s="2">
        <f>D51*G51/12</f>
        <v/>
      </c>
      <c r="K51" s="2">
        <f>J51+BV50</f>
        <v/>
      </c>
      <c r="L51" s="2">
        <f>E51*H51/12</f>
        <v/>
      </c>
      <c r="M51" s="2">
        <f>L51+BW50</f>
        <v/>
      </c>
      <c r="N51" s="2">
        <f>F51*I51/12</f>
        <v/>
      </c>
      <c r="O51" s="2">
        <f>N51+BX50</f>
        <v/>
      </c>
      <c r="P51" s="2">
        <f>Pool!BM51</f>
        <v/>
      </c>
      <c r="Q51" s="2">
        <f>BO50</f>
        <v/>
      </c>
      <c r="R51" s="2">
        <f>MIN(Q51,MAX(0,C51+K51+M51-P51))</f>
        <v/>
      </c>
      <c r="S51" s="2">
        <f>P51+R51</f>
        <v/>
      </c>
      <c r="T51" s="2">
        <f>Pool!BN51+Pool!BO51+Pool!BQ51</f>
        <v/>
      </c>
      <c r="U51" s="7">
        <f>IF(OR(Inputs!$B$53=1,Tests!M50=1),1,0)</f>
        <v/>
      </c>
      <c r="V51" s="2">
        <f>D51+E51+F51</f>
        <v/>
      </c>
      <c r="W51" s="2">
        <f>IF(U51=1,MIN(D51,T51),IF(V51&lt;=0,0,MIN(T51,V51)*D51/V51))</f>
        <v/>
      </c>
      <c r="X51" s="2">
        <f>IF(U51=1,MIN(E51,T51-W51),IF(V51&lt;=0,0,MIN(T51,V51)*E51/V51))</f>
        <v/>
      </c>
      <c r="Y51" s="2">
        <f>IF(U51=1,MIN(F51,T51-W51-X51),IF(V51&lt;=0,0,MIN(T51,V51)*F51/V51))</f>
        <v/>
      </c>
      <c r="Z51" s="2">
        <f>T51-W51-X51-Y51</f>
        <v/>
      </c>
      <c r="AA51" s="2">
        <f>D51-W51</f>
        <v/>
      </c>
      <c r="AB51" s="2">
        <f>E51-X51</f>
        <v/>
      </c>
      <c r="AC51" s="2">
        <f>F51-Y51</f>
        <v/>
      </c>
      <c r="AD51" s="2">
        <f>AA51+AB51+AC51</f>
        <v/>
      </c>
      <c r="AE51" s="2">
        <f>MIN(C51,S51)</f>
        <v/>
      </c>
      <c r="AF51" s="2">
        <f>S51-AE51</f>
        <v/>
      </c>
      <c r="AG51" s="2">
        <f>MIN(K51,AF51)</f>
        <v/>
      </c>
      <c r="AH51" s="2">
        <f>AF51-AG51</f>
        <v/>
      </c>
      <c r="AI51" s="2">
        <f>IF(Tests!F51=1,MIN(AH51,AD51),0)</f>
        <v/>
      </c>
      <c r="AJ51" s="2">
        <f>AH51-AI51</f>
        <v/>
      </c>
      <c r="AK51" s="2">
        <f>MIN(M51,AJ51)</f>
        <v/>
      </c>
      <c r="AL51" s="2">
        <f>AJ51-AK51</f>
        <v/>
      </c>
      <c r="AM51" s="2">
        <f>IF(Tests!I51=1,MIN(AL51,AD51-AI51),0)</f>
        <v/>
      </c>
      <c r="AN51" s="2">
        <f>AL51-AM51</f>
        <v/>
      </c>
      <c r="AO51" s="2">
        <f>MIN(O51,AN51)</f>
        <v/>
      </c>
      <c r="AP51" s="2">
        <f>AN51-AO51</f>
        <v/>
      </c>
      <c r="AQ51" s="2">
        <f>IF(Tests!L51=1,MIN(AP51,AD51-AI51-AM51),0)</f>
        <v/>
      </c>
      <c r="AR51" s="2">
        <f>AP51-AQ51</f>
        <v/>
      </c>
      <c r="AS51" s="2">
        <f>MAX(0,AD51-AI51-AM51-AQ51-Pool!BV51)</f>
        <v/>
      </c>
      <c r="AT51" s="2">
        <f>MIN(AR51,AS51)</f>
        <v/>
      </c>
      <c r="AU51" s="2">
        <f>AR51-AT51</f>
        <v/>
      </c>
      <c r="AV51" s="2">
        <f>AI51+AM51+AQ51+AT51</f>
        <v/>
      </c>
      <c r="AW51" s="2">
        <f>MIN(AA51,AV51)</f>
        <v/>
      </c>
      <c r="AX51" s="2">
        <f>MIN(AB51,AV51-AW51)</f>
        <v/>
      </c>
      <c r="AY51" s="2">
        <f>MIN(AC51,AV51-AW51-AX51)</f>
        <v/>
      </c>
      <c r="AZ51" s="2">
        <f>AA51-AW51</f>
        <v/>
      </c>
      <c r="BA51" s="2">
        <f>AB51-AX51</f>
        <v/>
      </c>
      <c r="BB51" s="2">
        <f>AC51-AY51</f>
        <v/>
      </c>
      <c r="BC51" s="2">
        <f>AZ51+BA51+BB51</f>
        <v/>
      </c>
      <c r="BD51" s="2">
        <f>MAX(0,BC51-Pool!BV51)</f>
        <v/>
      </c>
      <c r="BE51" s="2">
        <f>MIN(BB51,BD51)</f>
        <v/>
      </c>
      <c r="BF51" s="2">
        <f>MIN(BA51,BD51-BE51)</f>
        <v/>
      </c>
      <c r="BG51" s="2">
        <f>MIN(AZ51,BD51-BE51-BF51)</f>
        <v/>
      </c>
      <c r="BH51" s="2">
        <f>AZ51-BG51</f>
        <v/>
      </c>
      <c r="BI51" s="2">
        <f>BA51-BF51</f>
        <v/>
      </c>
      <c r="BJ51" s="2">
        <f>BB51-BE51</f>
        <v/>
      </c>
      <c r="BK51" s="7">
        <f>IF(BH51+BI51+BJ51&lt;0.005,1,0)</f>
        <v/>
      </c>
      <c r="BL51" s="2">
        <f>Q51-R51</f>
        <v/>
      </c>
      <c r="BM51" s="2">
        <f>IF(BK51=1,0,MIN(AU51,MAX(0,Inputs!$B$48-BL51)))</f>
        <v/>
      </c>
      <c r="BN51" s="2">
        <f>IF(BK51=1,BL51,0)</f>
        <v/>
      </c>
      <c r="BO51" s="2">
        <f>BL51+BM51-BN51</f>
        <v/>
      </c>
      <c r="BP51" s="2">
        <f>AU51-BM51</f>
        <v/>
      </c>
      <c r="BQ51" s="2">
        <f>BP51+Z51+BN51</f>
        <v/>
      </c>
      <c r="BR51" s="2">
        <f>W51+AW51</f>
        <v/>
      </c>
      <c r="BS51" s="2">
        <f>X51+AX51</f>
        <v/>
      </c>
      <c r="BT51" s="2">
        <f>Y51+AY51</f>
        <v/>
      </c>
      <c r="BU51" s="2">
        <f>AG51+AK51+AO51+BR51+BS51+BT51</f>
        <v/>
      </c>
      <c r="BV51" s="2">
        <f>K51-AG51</f>
        <v/>
      </c>
      <c r="BW51" s="2">
        <f>M51-AK51</f>
        <v/>
      </c>
      <c r="BX51" s="2">
        <f>O51-AO51</f>
        <v/>
      </c>
      <c r="BY51" s="2">
        <f>C51-AE51</f>
        <v/>
      </c>
      <c r="BZ51" s="8">
        <f>AE51+BU51+BQ51+(BO51-Q51)-Pool!BW51</f>
        <v/>
      </c>
    </row>
    <row r="52">
      <c r="A52" s="7" t="n">
        <v>47</v>
      </c>
      <c r="B52" s="2">
        <f>Inputs!$B$51/12*Pool!BK52</f>
        <v/>
      </c>
      <c r="C52" s="2">
        <f>B52+BY51</f>
        <v/>
      </c>
      <c r="D52" s="2">
        <f>BH51</f>
        <v/>
      </c>
      <c r="E52" s="2">
        <f>BI51</f>
        <v/>
      </c>
      <c r="F52" s="2">
        <f>BJ51</f>
        <v/>
      </c>
      <c r="G52" s="3">
        <f>MAX(0,Pool!B52+Inputs!$B$42)</f>
        <v/>
      </c>
      <c r="H52" s="3">
        <f>MAX(0,Pool!B52+Inputs!$B$43)</f>
        <v/>
      </c>
      <c r="I52" s="3">
        <f>Inputs!$B$44</f>
        <v/>
      </c>
      <c r="J52" s="2">
        <f>D52*G52/12</f>
        <v/>
      </c>
      <c r="K52" s="2">
        <f>J52+BV51</f>
        <v/>
      </c>
      <c r="L52" s="2">
        <f>E52*H52/12</f>
        <v/>
      </c>
      <c r="M52" s="2">
        <f>L52+BW51</f>
        <v/>
      </c>
      <c r="N52" s="2">
        <f>F52*I52/12</f>
        <v/>
      </c>
      <c r="O52" s="2">
        <f>N52+BX51</f>
        <v/>
      </c>
      <c r="P52" s="2">
        <f>Pool!BM52</f>
        <v/>
      </c>
      <c r="Q52" s="2">
        <f>BO51</f>
        <v/>
      </c>
      <c r="R52" s="2">
        <f>MIN(Q52,MAX(0,C52+K52+M52-P52))</f>
        <v/>
      </c>
      <c r="S52" s="2">
        <f>P52+R52</f>
        <v/>
      </c>
      <c r="T52" s="2">
        <f>Pool!BN52+Pool!BO52+Pool!BQ52</f>
        <v/>
      </c>
      <c r="U52" s="7">
        <f>IF(OR(Inputs!$B$53=1,Tests!M51=1),1,0)</f>
        <v/>
      </c>
      <c r="V52" s="2">
        <f>D52+E52+F52</f>
        <v/>
      </c>
      <c r="W52" s="2">
        <f>IF(U52=1,MIN(D52,T52),IF(V52&lt;=0,0,MIN(T52,V52)*D52/V52))</f>
        <v/>
      </c>
      <c r="X52" s="2">
        <f>IF(U52=1,MIN(E52,T52-W52),IF(V52&lt;=0,0,MIN(T52,V52)*E52/V52))</f>
        <v/>
      </c>
      <c r="Y52" s="2">
        <f>IF(U52=1,MIN(F52,T52-W52-X52),IF(V52&lt;=0,0,MIN(T52,V52)*F52/V52))</f>
        <v/>
      </c>
      <c r="Z52" s="2">
        <f>T52-W52-X52-Y52</f>
        <v/>
      </c>
      <c r="AA52" s="2">
        <f>D52-W52</f>
        <v/>
      </c>
      <c r="AB52" s="2">
        <f>E52-X52</f>
        <v/>
      </c>
      <c r="AC52" s="2">
        <f>F52-Y52</f>
        <v/>
      </c>
      <c r="AD52" s="2">
        <f>AA52+AB52+AC52</f>
        <v/>
      </c>
      <c r="AE52" s="2">
        <f>MIN(C52,S52)</f>
        <v/>
      </c>
      <c r="AF52" s="2">
        <f>S52-AE52</f>
        <v/>
      </c>
      <c r="AG52" s="2">
        <f>MIN(K52,AF52)</f>
        <v/>
      </c>
      <c r="AH52" s="2">
        <f>AF52-AG52</f>
        <v/>
      </c>
      <c r="AI52" s="2">
        <f>IF(Tests!F52=1,MIN(AH52,AD52),0)</f>
        <v/>
      </c>
      <c r="AJ52" s="2">
        <f>AH52-AI52</f>
        <v/>
      </c>
      <c r="AK52" s="2">
        <f>MIN(M52,AJ52)</f>
        <v/>
      </c>
      <c r="AL52" s="2">
        <f>AJ52-AK52</f>
        <v/>
      </c>
      <c r="AM52" s="2">
        <f>IF(Tests!I52=1,MIN(AL52,AD52-AI52),0)</f>
        <v/>
      </c>
      <c r="AN52" s="2">
        <f>AL52-AM52</f>
        <v/>
      </c>
      <c r="AO52" s="2">
        <f>MIN(O52,AN52)</f>
        <v/>
      </c>
      <c r="AP52" s="2">
        <f>AN52-AO52</f>
        <v/>
      </c>
      <c r="AQ52" s="2">
        <f>IF(Tests!L52=1,MIN(AP52,AD52-AI52-AM52),0)</f>
        <v/>
      </c>
      <c r="AR52" s="2">
        <f>AP52-AQ52</f>
        <v/>
      </c>
      <c r="AS52" s="2">
        <f>MAX(0,AD52-AI52-AM52-AQ52-Pool!BV52)</f>
        <v/>
      </c>
      <c r="AT52" s="2">
        <f>MIN(AR52,AS52)</f>
        <v/>
      </c>
      <c r="AU52" s="2">
        <f>AR52-AT52</f>
        <v/>
      </c>
      <c r="AV52" s="2">
        <f>AI52+AM52+AQ52+AT52</f>
        <v/>
      </c>
      <c r="AW52" s="2">
        <f>MIN(AA52,AV52)</f>
        <v/>
      </c>
      <c r="AX52" s="2">
        <f>MIN(AB52,AV52-AW52)</f>
        <v/>
      </c>
      <c r="AY52" s="2">
        <f>MIN(AC52,AV52-AW52-AX52)</f>
        <v/>
      </c>
      <c r="AZ52" s="2">
        <f>AA52-AW52</f>
        <v/>
      </c>
      <c r="BA52" s="2">
        <f>AB52-AX52</f>
        <v/>
      </c>
      <c r="BB52" s="2">
        <f>AC52-AY52</f>
        <v/>
      </c>
      <c r="BC52" s="2">
        <f>AZ52+BA52+BB52</f>
        <v/>
      </c>
      <c r="BD52" s="2">
        <f>MAX(0,BC52-Pool!BV52)</f>
        <v/>
      </c>
      <c r="BE52" s="2">
        <f>MIN(BB52,BD52)</f>
        <v/>
      </c>
      <c r="BF52" s="2">
        <f>MIN(BA52,BD52-BE52)</f>
        <v/>
      </c>
      <c r="BG52" s="2">
        <f>MIN(AZ52,BD52-BE52-BF52)</f>
        <v/>
      </c>
      <c r="BH52" s="2">
        <f>AZ52-BG52</f>
        <v/>
      </c>
      <c r="BI52" s="2">
        <f>BA52-BF52</f>
        <v/>
      </c>
      <c r="BJ52" s="2">
        <f>BB52-BE52</f>
        <v/>
      </c>
      <c r="BK52" s="7">
        <f>IF(BH52+BI52+BJ52&lt;0.005,1,0)</f>
        <v/>
      </c>
      <c r="BL52" s="2">
        <f>Q52-R52</f>
        <v/>
      </c>
      <c r="BM52" s="2">
        <f>IF(BK52=1,0,MIN(AU52,MAX(0,Inputs!$B$48-BL52)))</f>
        <v/>
      </c>
      <c r="BN52" s="2">
        <f>IF(BK52=1,BL52,0)</f>
        <v/>
      </c>
      <c r="BO52" s="2">
        <f>BL52+BM52-BN52</f>
        <v/>
      </c>
      <c r="BP52" s="2">
        <f>AU52-BM52</f>
        <v/>
      </c>
      <c r="BQ52" s="2">
        <f>BP52+Z52+BN52</f>
        <v/>
      </c>
      <c r="BR52" s="2">
        <f>W52+AW52</f>
        <v/>
      </c>
      <c r="BS52" s="2">
        <f>X52+AX52</f>
        <v/>
      </c>
      <c r="BT52" s="2">
        <f>Y52+AY52</f>
        <v/>
      </c>
      <c r="BU52" s="2">
        <f>AG52+AK52+AO52+BR52+BS52+BT52</f>
        <v/>
      </c>
      <c r="BV52" s="2">
        <f>K52-AG52</f>
        <v/>
      </c>
      <c r="BW52" s="2">
        <f>M52-AK52</f>
        <v/>
      </c>
      <c r="BX52" s="2">
        <f>O52-AO52</f>
        <v/>
      </c>
      <c r="BY52" s="2">
        <f>C52-AE52</f>
        <v/>
      </c>
      <c r="BZ52" s="8">
        <f>AE52+BU52+BQ52+(BO52-Q52)-Pool!BW52</f>
        <v/>
      </c>
    </row>
    <row r="53">
      <c r="A53" s="7" t="n">
        <v>48</v>
      </c>
      <c r="B53" s="2">
        <f>Inputs!$B$51/12*Pool!BK53</f>
        <v/>
      </c>
      <c r="C53" s="2">
        <f>B53+BY52</f>
        <v/>
      </c>
      <c r="D53" s="2">
        <f>BH52</f>
        <v/>
      </c>
      <c r="E53" s="2">
        <f>BI52</f>
        <v/>
      </c>
      <c r="F53" s="2">
        <f>BJ52</f>
        <v/>
      </c>
      <c r="G53" s="3">
        <f>MAX(0,Pool!B53+Inputs!$B$42)</f>
        <v/>
      </c>
      <c r="H53" s="3">
        <f>MAX(0,Pool!B53+Inputs!$B$43)</f>
        <v/>
      </c>
      <c r="I53" s="3">
        <f>Inputs!$B$44</f>
        <v/>
      </c>
      <c r="J53" s="2">
        <f>D53*G53/12</f>
        <v/>
      </c>
      <c r="K53" s="2">
        <f>J53+BV52</f>
        <v/>
      </c>
      <c r="L53" s="2">
        <f>E53*H53/12</f>
        <v/>
      </c>
      <c r="M53" s="2">
        <f>L53+BW52</f>
        <v/>
      </c>
      <c r="N53" s="2">
        <f>F53*I53/12</f>
        <v/>
      </c>
      <c r="O53" s="2">
        <f>N53+BX52</f>
        <v/>
      </c>
      <c r="P53" s="2">
        <f>Pool!BM53</f>
        <v/>
      </c>
      <c r="Q53" s="2">
        <f>BO52</f>
        <v/>
      </c>
      <c r="R53" s="2">
        <f>MIN(Q53,MAX(0,C53+K53+M53-P53))</f>
        <v/>
      </c>
      <c r="S53" s="2">
        <f>P53+R53</f>
        <v/>
      </c>
      <c r="T53" s="2">
        <f>Pool!BN53+Pool!BO53+Pool!BQ53</f>
        <v/>
      </c>
      <c r="U53" s="7">
        <f>IF(OR(Inputs!$B$53=1,Tests!M52=1),1,0)</f>
        <v/>
      </c>
      <c r="V53" s="2">
        <f>D53+E53+F53</f>
        <v/>
      </c>
      <c r="W53" s="2">
        <f>IF(U53=1,MIN(D53,T53),IF(V53&lt;=0,0,MIN(T53,V53)*D53/V53))</f>
        <v/>
      </c>
      <c r="X53" s="2">
        <f>IF(U53=1,MIN(E53,T53-W53),IF(V53&lt;=0,0,MIN(T53,V53)*E53/V53))</f>
        <v/>
      </c>
      <c r="Y53" s="2">
        <f>IF(U53=1,MIN(F53,T53-W53-X53),IF(V53&lt;=0,0,MIN(T53,V53)*F53/V53))</f>
        <v/>
      </c>
      <c r="Z53" s="2">
        <f>T53-W53-X53-Y53</f>
        <v/>
      </c>
      <c r="AA53" s="2">
        <f>D53-W53</f>
        <v/>
      </c>
      <c r="AB53" s="2">
        <f>E53-X53</f>
        <v/>
      </c>
      <c r="AC53" s="2">
        <f>F53-Y53</f>
        <v/>
      </c>
      <c r="AD53" s="2">
        <f>AA53+AB53+AC53</f>
        <v/>
      </c>
      <c r="AE53" s="2">
        <f>MIN(C53,S53)</f>
        <v/>
      </c>
      <c r="AF53" s="2">
        <f>S53-AE53</f>
        <v/>
      </c>
      <c r="AG53" s="2">
        <f>MIN(K53,AF53)</f>
        <v/>
      </c>
      <c r="AH53" s="2">
        <f>AF53-AG53</f>
        <v/>
      </c>
      <c r="AI53" s="2">
        <f>IF(Tests!F53=1,MIN(AH53,AD53),0)</f>
        <v/>
      </c>
      <c r="AJ53" s="2">
        <f>AH53-AI53</f>
        <v/>
      </c>
      <c r="AK53" s="2">
        <f>MIN(M53,AJ53)</f>
        <v/>
      </c>
      <c r="AL53" s="2">
        <f>AJ53-AK53</f>
        <v/>
      </c>
      <c r="AM53" s="2">
        <f>IF(Tests!I53=1,MIN(AL53,AD53-AI53),0)</f>
        <v/>
      </c>
      <c r="AN53" s="2">
        <f>AL53-AM53</f>
        <v/>
      </c>
      <c r="AO53" s="2">
        <f>MIN(O53,AN53)</f>
        <v/>
      </c>
      <c r="AP53" s="2">
        <f>AN53-AO53</f>
        <v/>
      </c>
      <c r="AQ53" s="2">
        <f>IF(Tests!L53=1,MIN(AP53,AD53-AI53-AM53),0)</f>
        <v/>
      </c>
      <c r="AR53" s="2">
        <f>AP53-AQ53</f>
        <v/>
      </c>
      <c r="AS53" s="2">
        <f>MAX(0,AD53-AI53-AM53-AQ53-Pool!BV53)</f>
        <v/>
      </c>
      <c r="AT53" s="2">
        <f>MIN(AR53,AS53)</f>
        <v/>
      </c>
      <c r="AU53" s="2">
        <f>AR53-AT53</f>
        <v/>
      </c>
      <c r="AV53" s="2">
        <f>AI53+AM53+AQ53+AT53</f>
        <v/>
      </c>
      <c r="AW53" s="2">
        <f>MIN(AA53,AV53)</f>
        <v/>
      </c>
      <c r="AX53" s="2">
        <f>MIN(AB53,AV53-AW53)</f>
        <v/>
      </c>
      <c r="AY53" s="2">
        <f>MIN(AC53,AV53-AW53-AX53)</f>
        <v/>
      </c>
      <c r="AZ53" s="2">
        <f>AA53-AW53</f>
        <v/>
      </c>
      <c r="BA53" s="2">
        <f>AB53-AX53</f>
        <v/>
      </c>
      <c r="BB53" s="2">
        <f>AC53-AY53</f>
        <v/>
      </c>
      <c r="BC53" s="2">
        <f>AZ53+BA53+BB53</f>
        <v/>
      </c>
      <c r="BD53" s="2">
        <f>MAX(0,BC53-Pool!BV53)</f>
        <v/>
      </c>
      <c r="BE53" s="2">
        <f>MIN(BB53,BD53)</f>
        <v/>
      </c>
      <c r="BF53" s="2">
        <f>MIN(BA53,BD53-BE53)</f>
        <v/>
      </c>
      <c r="BG53" s="2">
        <f>MIN(AZ53,BD53-BE53-BF53)</f>
        <v/>
      </c>
      <c r="BH53" s="2">
        <f>AZ53-BG53</f>
        <v/>
      </c>
      <c r="BI53" s="2">
        <f>BA53-BF53</f>
        <v/>
      </c>
      <c r="BJ53" s="2">
        <f>BB53-BE53</f>
        <v/>
      </c>
      <c r="BK53" s="7">
        <f>IF(BH53+BI53+BJ53&lt;0.005,1,0)</f>
        <v/>
      </c>
      <c r="BL53" s="2">
        <f>Q53-R53</f>
        <v/>
      </c>
      <c r="BM53" s="2">
        <f>IF(BK53=1,0,MIN(AU53,MAX(0,Inputs!$B$48-BL53)))</f>
        <v/>
      </c>
      <c r="BN53" s="2">
        <f>IF(BK53=1,BL53,0)</f>
        <v/>
      </c>
      <c r="BO53" s="2">
        <f>BL53+BM53-BN53</f>
        <v/>
      </c>
      <c r="BP53" s="2">
        <f>AU53-BM53</f>
        <v/>
      </c>
      <c r="BQ53" s="2">
        <f>BP53+Z53+BN53</f>
        <v/>
      </c>
      <c r="BR53" s="2">
        <f>W53+AW53</f>
        <v/>
      </c>
      <c r="BS53" s="2">
        <f>X53+AX53</f>
        <v/>
      </c>
      <c r="BT53" s="2">
        <f>Y53+AY53</f>
        <v/>
      </c>
      <c r="BU53" s="2">
        <f>AG53+AK53+AO53+BR53+BS53+BT53</f>
        <v/>
      </c>
      <c r="BV53" s="2">
        <f>K53-AG53</f>
        <v/>
      </c>
      <c r="BW53" s="2">
        <f>M53-AK53</f>
        <v/>
      </c>
      <c r="BX53" s="2">
        <f>O53-AO53</f>
        <v/>
      </c>
      <c r="BY53" s="2">
        <f>C53-AE53</f>
        <v/>
      </c>
      <c r="BZ53" s="8">
        <f>AE53+BU53+BQ53+(BO53-Q53)-Pool!BW53</f>
        <v/>
      </c>
    </row>
    <row r="54">
      <c r="A54" s="7" t="n">
        <v>49</v>
      </c>
      <c r="B54" s="2">
        <f>Inputs!$B$51/12*Pool!BK54</f>
        <v/>
      </c>
      <c r="C54" s="2">
        <f>B54+BY53</f>
        <v/>
      </c>
      <c r="D54" s="2">
        <f>BH53</f>
        <v/>
      </c>
      <c r="E54" s="2">
        <f>BI53</f>
        <v/>
      </c>
      <c r="F54" s="2">
        <f>BJ53</f>
        <v/>
      </c>
      <c r="G54" s="3">
        <f>MAX(0,Pool!B54+Inputs!$B$42)</f>
        <v/>
      </c>
      <c r="H54" s="3">
        <f>MAX(0,Pool!B54+Inputs!$B$43)</f>
        <v/>
      </c>
      <c r="I54" s="3">
        <f>Inputs!$B$44</f>
        <v/>
      </c>
      <c r="J54" s="2">
        <f>D54*G54/12</f>
        <v/>
      </c>
      <c r="K54" s="2">
        <f>J54+BV53</f>
        <v/>
      </c>
      <c r="L54" s="2">
        <f>E54*H54/12</f>
        <v/>
      </c>
      <c r="M54" s="2">
        <f>L54+BW53</f>
        <v/>
      </c>
      <c r="N54" s="2">
        <f>F54*I54/12</f>
        <v/>
      </c>
      <c r="O54" s="2">
        <f>N54+BX53</f>
        <v/>
      </c>
      <c r="P54" s="2">
        <f>Pool!BM54</f>
        <v/>
      </c>
      <c r="Q54" s="2">
        <f>BO53</f>
        <v/>
      </c>
      <c r="R54" s="2">
        <f>MIN(Q54,MAX(0,C54+K54+M54-P54))</f>
        <v/>
      </c>
      <c r="S54" s="2">
        <f>P54+R54</f>
        <v/>
      </c>
      <c r="T54" s="2">
        <f>Pool!BN54+Pool!BO54+Pool!BQ54</f>
        <v/>
      </c>
      <c r="U54" s="7">
        <f>IF(OR(Inputs!$B$53=1,Tests!M53=1),1,0)</f>
        <v/>
      </c>
      <c r="V54" s="2">
        <f>D54+E54+F54</f>
        <v/>
      </c>
      <c r="W54" s="2">
        <f>IF(U54=1,MIN(D54,T54),IF(V54&lt;=0,0,MIN(T54,V54)*D54/V54))</f>
        <v/>
      </c>
      <c r="X54" s="2">
        <f>IF(U54=1,MIN(E54,T54-W54),IF(V54&lt;=0,0,MIN(T54,V54)*E54/V54))</f>
        <v/>
      </c>
      <c r="Y54" s="2">
        <f>IF(U54=1,MIN(F54,T54-W54-X54),IF(V54&lt;=0,0,MIN(T54,V54)*F54/V54))</f>
        <v/>
      </c>
      <c r="Z54" s="2">
        <f>T54-W54-X54-Y54</f>
        <v/>
      </c>
      <c r="AA54" s="2">
        <f>D54-W54</f>
        <v/>
      </c>
      <c r="AB54" s="2">
        <f>E54-X54</f>
        <v/>
      </c>
      <c r="AC54" s="2">
        <f>F54-Y54</f>
        <v/>
      </c>
      <c r="AD54" s="2">
        <f>AA54+AB54+AC54</f>
        <v/>
      </c>
      <c r="AE54" s="2">
        <f>MIN(C54,S54)</f>
        <v/>
      </c>
      <c r="AF54" s="2">
        <f>S54-AE54</f>
        <v/>
      </c>
      <c r="AG54" s="2">
        <f>MIN(K54,AF54)</f>
        <v/>
      </c>
      <c r="AH54" s="2">
        <f>AF54-AG54</f>
        <v/>
      </c>
      <c r="AI54" s="2">
        <f>IF(Tests!F54=1,MIN(AH54,AD54),0)</f>
        <v/>
      </c>
      <c r="AJ54" s="2">
        <f>AH54-AI54</f>
        <v/>
      </c>
      <c r="AK54" s="2">
        <f>MIN(M54,AJ54)</f>
        <v/>
      </c>
      <c r="AL54" s="2">
        <f>AJ54-AK54</f>
        <v/>
      </c>
      <c r="AM54" s="2">
        <f>IF(Tests!I54=1,MIN(AL54,AD54-AI54),0)</f>
        <v/>
      </c>
      <c r="AN54" s="2">
        <f>AL54-AM54</f>
        <v/>
      </c>
      <c r="AO54" s="2">
        <f>MIN(O54,AN54)</f>
        <v/>
      </c>
      <c r="AP54" s="2">
        <f>AN54-AO54</f>
        <v/>
      </c>
      <c r="AQ54" s="2">
        <f>IF(Tests!L54=1,MIN(AP54,AD54-AI54-AM54),0)</f>
        <v/>
      </c>
      <c r="AR54" s="2">
        <f>AP54-AQ54</f>
        <v/>
      </c>
      <c r="AS54" s="2">
        <f>MAX(0,AD54-AI54-AM54-AQ54-Pool!BV54)</f>
        <v/>
      </c>
      <c r="AT54" s="2">
        <f>MIN(AR54,AS54)</f>
        <v/>
      </c>
      <c r="AU54" s="2">
        <f>AR54-AT54</f>
        <v/>
      </c>
      <c r="AV54" s="2">
        <f>AI54+AM54+AQ54+AT54</f>
        <v/>
      </c>
      <c r="AW54" s="2">
        <f>MIN(AA54,AV54)</f>
        <v/>
      </c>
      <c r="AX54" s="2">
        <f>MIN(AB54,AV54-AW54)</f>
        <v/>
      </c>
      <c r="AY54" s="2">
        <f>MIN(AC54,AV54-AW54-AX54)</f>
        <v/>
      </c>
      <c r="AZ54" s="2">
        <f>AA54-AW54</f>
        <v/>
      </c>
      <c r="BA54" s="2">
        <f>AB54-AX54</f>
        <v/>
      </c>
      <c r="BB54" s="2">
        <f>AC54-AY54</f>
        <v/>
      </c>
      <c r="BC54" s="2">
        <f>AZ54+BA54+BB54</f>
        <v/>
      </c>
      <c r="BD54" s="2">
        <f>MAX(0,BC54-Pool!BV54)</f>
        <v/>
      </c>
      <c r="BE54" s="2">
        <f>MIN(BB54,BD54)</f>
        <v/>
      </c>
      <c r="BF54" s="2">
        <f>MIN(BA54,BD54-BE54)</f>
        <v/>
      </c>
      <c r="BG54" s="2">
        <f>MIN(AZ54,BD54-BE54-BF54)</f>
        <v/>
      </c>
      <c r="BH54" s="2">
        <f>AZ54-BG54</f>
        <v/>
      </c>
      <c r="BI54" s="2">
        <f>BA54-BF54</f>
        <v/>
      </c>
      <c r="BJ54" s="2">
        <f>BB54-BE54</f>
        <v/>
      </c>
      <c r="BK54" s="7">
        <f>IF(BH54+BI54+BJ54&lt;0.005,1,0)</f>
        <v/>
      </c>
      <c r="BL54" s="2">
        <f>Q54-R54</f>
        <v/>
      </c>
      <c r="BM54" s="2">
        <f>IF(BK54=1,0,MIN(AU54,MAX(0,Inputs!$B$48-BL54)))</f>
        <v/>
      </c>
      <c r="BN54" s="2">
        <f>IF(BK54=1,BL54,0)</f>
        <v/>
      </c>
      <c r="BO54" s="2">
        <f>BL54+BM54-BN54</f>
        <v/>
      </c>
      <c r="BP54" s="2">
        <f>AU54-BM54</f>
        <v/>
      </c>
      <c r="BQ54" s="2">
        <f>BP54+Z54+BN54</f>
        <v/>
      </c>
      <c r="BR54" s="2">
        <f>W54+AW54</f>
        <v/>
      </c>
      <c r="BS54" s="2">
        <f>X54+AX54</f>
        <v/>
      </c>
      <c r="BT54" s="2">
        <f>Y54+AY54</f>
        <v/>
      </c>
      <c r="BU54" s="2">
        <f>AG54+AK54+AO54+BR54+BS54+BT54</f>
        <v/>
      </c>
      <c r="BV54" s="2">
        <f>K54-AG54</f>
        <v/>
      </c>
      <c r="BW54" s="2">
        <f>M54-AK54</f>
        <v/>
      </c>
      <c r="BX54" s="2">
        <f>O54-AO54</f>
        <v/>
      </c>
      <c r="BY54" s="2">
        <f>C54-AE54</f>
        <v/>
      </c>
      <c r="BZ54" s="8">
        <f>AE54+BU54+BQ54+(BO54-Q54)-Pool!BW54</f>
        <v/>
      </c>
    </row>
    <row r="55">
      <c r="A55" s="7" t="n">
        <v>50</v>
      </c>
      <c r="B55" s="2">
        <f>Inputs!$B$51/12*Pool!BK55</f>
        <v/>
      </c>
      <c r="C55" s="2">
        <f>B55+BY54</f>
        <v/>
      </c>
      <c r="D55" s="2">
        <f>BH54</f>
        <v/>
      </c>
      <c r="E55" s="2">
        <f>BI54</f>
        <v/>
      </c>
      <c r="F55" s="2">
        <f>BJ54</f>
        <v/>
      </c>
      <c r="G55" s="3">
        <f>MAX(0,Pool!B55+Inputs!$B$42)</f>
        <v/>
      </c>
      <c r="H55" s="3">
        <f>MAX(0,Pool!B55+Inputs!$B$43)</f>
        <v/>
      </c>
      <c r="I55" s="3">
        <f>Inputs!$B$44</f>
        <v/>
      </c>
      <c r="J55" s="2">
        <f>D55*G55/12</f>
        <v/>
      </c>
      <c r="K55" s="2">
        <f>J55+BV54</f>
        <v/>
      </c>
      <c r="L55" s="2">
        <f>E55*H55/12</f>
        <v/>
      </c>
      <c r="M55" s="2">
        <f>L55+BW54</f>
        <v/>
      </c>
      <c r="N55" s="2">
        <f>F55*I55/12</f>
        <v/>
      </c>
      <c r="O55" s="2">
        <f>N55+BX54</f>
        <v/>
      </c>
      <c r="P55" s="2">
        <f>Pool!BM55</f>
        <v/>
      </c>
      <c r="Q55" s="2">
        <f>BO54</f>
        <v/>
      </c>
      <c r="R55" s="2">
        <f>MIN(Q55,MAX(0,C55+K55+M55-P55))</f>
        <v/>
      </c>
      <c r="S55" s="2">
        <f>P55+R55</f>
        <v/>
      </c>
      <c r="T55" s="2">
        <f>Pool!BN55+Pool!BO55+Pool!BQ55</f>
        <v/>
      </c>
      <c r="U55" s="7">
        <f>IF(OR(Inputs!$B$53=1,Tests!M54=1),1,0)</f>
        <v/>
      </c>
      <c r="V55" s="2">
        <f>D55+E55+F55</f>
        <v/>
      </c>
      <c r="W55" s="2">
        <f>IF(U55=1,MIN(D55,T55),IF(V55&lt;=0,0,MIN(T55,V55)*D55/V55))</f>
        <v/>
      </c>
      <c r="X55" s="2">
        <f>IF(U55=1,MIN(E55,T55-W55),IF(V55&lt;=0,0,MIN(T55,V55)*E55/V55))</f>
        <v/>
      </c>
      <c r="Y55" s="2">
        <f>IF(U55=1,MIN(F55,T55-W55-X55),IF(V55&lt;=0,0,MIN(T55,V55)*F55/V55))</f>
        <v/>
      </c>
      <c r="Z55" s="2">
        <f>T55-W55-X55-Y55</f>
        <v/>
      </c>
      <c r="AA55" s="2">
        <f>D55-W55</f>
        <v/>
      </c>
      <c r="AB55" s="2">
        <f>E55-X55</f>
        <v/>
      </c>
      <c r="AC55" s="2">
        <f>F55-Y55</f>
        <v/>
      </c>
      <c r="AD55" s="2">
        <f>AA55+AB55+AC55</f>
        <v/>
      </c>
      <c r="AE55" s="2">
        <f>MIN(C55,S55)</f>
        <v/>
      </c>
      <c r="AF55" s="2">
        <f>S55-AE55</f>
        <v/>
      </c>
      <c r="AG55" s="2">
        <f>MIN(K55,AF55)</f>
        <v/>
      </c>
      <c r="AH55" s="2">
        <f>AF55-AG55</f>
        <v/>
      </c>
      <c r="AI55" s="2">
        <f>IF(Tests!F55=1,MIN(AH55,AD55),0)</f>
        <v/>
      </c>
      <c r="AJ55" s="2">
        <f>AH55-AI55</f>
        <v/>
      </c>
      <c r="AK55" s="2">
        <f>MIN(M55,AJ55)</f>
        <v/>
      </c>
      <c r="AL55" s="2">
        <f>AJ55-AK55</f>
        <v/>
      </c>
      <c r="AM55" s="2">
        <f>IF(Tests!I55=1,MIN(AL55,AD55-AI55),0)</f>
        <v/>
      </c>
      <c r="AN55" s="2">
        <f>AL55-AM55</f>
        <v/>
      </c>
      <c r="AO55" s="2">
        <f>MIN(O55,AN55)</f>
        <v/>
      </c>
      <c r="AP55" s="2">
        <f>AN55-AO55</f>
        <v/>
      </c>
      <c r="AQ55" s="2">
        <f>IF(Tests!L55=1,MIN(AP55,AD55-AI55-AM55),0)</f>
        <v/>
      </c>
      <c r="AR55" s="2">
        <f>AP55-AQ55</f>
        <v/>
      </c>
      <c r="AS55" s="2">
        <f>MAX(0,AD55-AI55-AM55-AQ55-Pool!BV55)</f>
        <v/>
      </c>
      <c r="AT55" s="2">
        <f>MIN(AR55,AS55)</f>
        <v/>
      </c>
      <c r="AU55" s="2">
        <f>AR55-AT55</f>
        <v/>
      </c>
      <c r="AV55" s="2">
        <f>AI55+AM55+AQ55+AT55</f>
        <v/>
      </c>
      <c r="AW55" s="2">
        <f>MIN(AA55,AV55)</f>
        <v/>
      </c>
      <c r="AX55" s="2">
        <f>MIN(AB55,AV55-AW55)</f>
        <v/>
      </c>
      <c r="AY55" s="2">
        <f>MIN(AC55,AV55-AW55-AX55)</f>
        <v/>
      </c>
      <c r="AZ55" s="2">
        <f>AA55-AW55</f>
        <v/>
      </c>
      <c r="BA55" s="2">
        <f>AB55-AX55</f>
        <v/>
      </c>
      <c r="BB55" s="2">
        <f>AC55-AY55</f>
        <v/>
      </c>
      <c r="BC55" s="2">
        <f>AZ55+BA55+BB55</f>
        <v/>
      </c>
      <c r="BD55" s="2">
        <f>MAX(0,BC55-Pool!BV55)</f>
        <v/>
      </c>
      <c r="BE55" s="2">
        <f>MIN(BB55,BD55)</f>
        <v/>
      </c>
      <c r="BF55" s="2">
        <f>MIN(BA55,BD55-BE55)</f>
        <v/>
      </c>
      <c r="BG55" s="2">
        <f>MIN(AZ55,BD55-BE55-BF55)</f>
        <v/>
      </c>
      <c r="BH55" s="2">
        <f>AZ55-BG55</f>
        <v/>
      </c>
      <c r="BI55" s="2">
        <f>BA55-BF55</f>
        <v/>
      </c>
      <c r="BJ55" s="2">
        <f>BB55-BE55</f>
        <v/>
      </c>
      <c r="BK55" s="7">
        <f>IF(BH55+BI55+BJ55&lt;0.005,1,0)</f>
        <v/>
      </c>
      <c r="BL55" s="2">
        <f>Q55-R55</f>
        <v/>
      </c>
      <c r="BM55" s="2">
        <f>IF(BK55=1,0,MIN(AU55,MAX(0,Inputs!$B$48-BL55)))</f>
        <v/>
      </c>
      <c r="BN55" s="2">
        <f>IF(BK55=1,BL55,0)</f>
        <v/>
      </c>
      <c r="BO55" s="2">
        <f>BL55+BM55-BN55</f>
        <v/>
      </c>
      <c r="BP55" s="2">
        <f>AU55-BM55</f>
        <v/>
      </c>
      <c r="BQ55" s="2">
        <f>BP55+Z55+BN55</f>
        <v/>
      </c>
      <c r="BR55" s="2">
        <f>W55+AW55</f>
        <v/>
      </c>
      <c r="BS55" s="2">
        <f>X55+AX55</f>
        <v/>
      </c>
      <c r="BT55" s="2">
        <f>Y55+AY55</f>
        <v/>
      </c>
      <c r="BU55" s="2">
        <f>AG55+AK55+AO55+BR55+BS55+BT55</f>
        <v/>
      </c>
      <c r="BV55" s="2">
        <f>K55-AG55</f>
        <v/>
      </c>
      <c r="BW55" s="2">
        <f>M55-AK55</f>
        <v/>
      </c>
      <c r="BX55" s="2">
        <f>O55-AO55</f>
        <v/>
      </c>
      <c r="BY55" s="2">
        <f>C55-AE55</f>
        <v/>
      </c>
      <c r="BZ55" s="8">
        <f>AE55+BU55+BQ55+(BO55-Q55)-Pool!BW55</f>
        <v/>
      </c>
    </row>
    <row r="56">
      <c r="A56" s="7" t="n">
        <v>51</v>
      </c>
      <c r="B56" s="2">
        <f>Inputs!$B$51/12*Pool!BK56</f>
        <v/>
      </c>
      <c r="C56" s="2">
        <f>B56+BY55</f>
        <v/>
      </c>
      <c r="D56" s="2">
        <f>BH55</f>
        <v/>
      </c>
      <c r="E56" s="2">
        <f>BI55</f>
        <v/>
      </c>
      <c r="F56" s="2">
        <f>BJ55</f>
        <v/>
      </c>
      <c r="G56" s="3">
        <f>MAX(0,Pool!B56+Inputs!$B$42)</f>
        <v/>
      </c>
      <c r="H56" s="3">
        <f>MAX(0,Pool!B56+Inputs!$B$43)</f>
        <v/>
      </c>
      <c r="I56" s="3">
        <f>Inputs!$B$44</f>
        <v/>
      </c>
      <c r="J56" s="2">
        <f>D56*G56/12</f>
        <v/>
      </c>
      <c r="K56" s="2">
        <f>J56+BV55</f>
        <v/>
      </c>
      <c r="L56" s="2">
        <f>E56*H56/12</f>
        <v/>
      </c>
      <c r="M56" s="2">
        <f>L56+BW55</f>
        <v/>
      </c>
      <c r="N56" s="2">
        <f>F56*I56/12</f>
        <v/>
      </c>
      <c r="O56" s="2">
        <f>N56+BX55</f>
        <v/>
      </c>
      <c r="P56" s="2">
        <f>Pool!BM56</f>
        <v/>
      </c>
      <c r="Q56" s="2">
        <f>BO55</f>
        <v/>
      </c>
      <c r="R56" s="2">
        <f>MIN(Q56,MAX(0,C56+K56+M56-P56))</f>
        <v/>
      </c>
      <c r="S56" s="2">
        <f>P56+R56</f>
        <v/>
      </c>
      <c r="T56" s="2">
        <f>Pool!BN56+Pool!BO56+Pool!BQ56</f>
        <v/>
      </c>
      <c r="U56" s="7">
        <f>IF(OR(Inputs!$B$53=1,Tests!M55=1),1,0)</f>
        <v/>
      </c>
      <c r="V56" s="2">
        <f>D56+E56+F56</f>
        <v/>
      </c>
      <c r="W56" s="2">
        <f>IF(U56=1,MIN(D56,T56),IF(V56&lt;=0,0,MIN(T56,V56)*D56/V56))</f>
        <v/>
      </c>
      <c r="X56" s="2">
        <f>IF(U56=1,MIN(E56,T56-W56),IF(V56&lt;=0,0,MIN(T56,V56)*E56/V56))</f>
        <v/>
      </c>
      <c r="Y56" s="2">
        <f>IF(U56=1,MIN(F56,T56-W56-X56),IF(V56&lt;=0,0,MIN(T56,V56)*F56/V56))</f>
        <v/>
      </c>
      <c r="Z56" s="2">
        <f>T56-W56-X56-Y56</f>
        <v/>
      </c>
      <c r="AA56" s="2">
        <f>D56-W56</f>
        <v/>
      </c>
      <c r="AB56" s="2">
        <f>E56-X56</f>
        <v/>
      </c>
      <c r="AC56" s="2">
        <f>F56-Y56</f>
        <v/>
      </c>
      <c r="AD56" s="2">
        <f>AA56+AB56+AC56</f>
        <v/>
      </c>
      <c r="AE56" s="2">
        <f>MIN(C56,S56)</f>
        <v/>
      </c>
      <c r="AF56" s="2">
        <f>S56-AE56</f>
        <v/>
      </c>
      <c r="AG56" s="2">
        <f>MIN(K56,AF56)</f>
        <v/>
      </c>
      <c r="AH56" s="2">
        <f>AF56-AG56</f>
        <v/>
      </c>
      <c r="AI56" s="2">
        <f>IF(Tests!F56=1,MIN(AH56,AD56),0)</f>
        <v/>
      </c>
      <c r="AJ56" s="2">
        <f>AH56-AI56</f>
        <v/>
      </c>
      <c r="AK56" s="2">
        <f>MIN(M56,AJ56)</f>
        <v/>
      </c>
      <c r="AL56" s="2">
        <f>AJ56-AK56</f>
        <v/>
      </c>
      <c r="AM56" s="2">
        <f>IF(Tests!I56=1,MIN(AL56,AD56-AI56),0)</f>
        <v/>
      </c>
      <c r="AN56" s="2">
        <f>AL56-AM56</f>
        <v/>
      </c>
      <c r="AO56" s="2">
        <f>MIN(O56,AN56)</f>
        <v/>
      </c>
      <c r="AP56" s="2">
        <f>AN56-AO56</f>
        <v/>
      </c>
      <c r="AQ56" s="2">
        <f>IF(Tests!L56=1,MIN(AP56,AD56-AI56-AM56),0)</f>
        <v/>
      </c>
      <c r="AR56" s="2">
        <f>AP56-AQ56</f>
        <v/>
      </c>
      <c r="AS56" s="2">
        <f>MAX(0,AD56-AI56-AM56-AQ56-Pool!BV56)</f>
        <v/>
      </c>
      <c r="AT56" s="2">
        <f>MIN(AR56,AS56)</f>
        <v/>
      </c>
      <c r="AU56" s="2">
        <f>AR56-AT56</f>
        <v/>
      </c>
      <c r="AV56" s="2">
        <f>AI56+AM56+AQ56+AT56</f>
        <v/>
      </c>
      <c r="AW56" s="2">
        <f>MIN(AA56,AV56)</f>
        <v/>
      </c>
      <c r="AX56" s="2">
        <f>MIN(AB56,AV56-AW56)</f>
        <v/>
      </c>
      <c r="AY56" s="2">
        <f>MIN(AC56,AV56-AW56-AX56)</f>
        <v/>
      </c>
      <c r="AZ56" s="2">
        <f>AA56-AW56</f>
        <v/>
      </c>
      <c r="BA56" s="2">
        <f>AB56-AX56</f>
        <v/>
      </c>
      <c r="BB56" s="2">
        <f>AC56-AY56</f>
        <v/>
      </c>
      <c r="BC56" s="2">
        <f>AZ56+BA56+BB56</f>
        <v/>
      </c>
      <c r="BD56" s="2">
        <f>MAX(0,BC56-Pool!BV56)</f>
        <v/>
      </c>
      <c r="BE56" s="2">
        <f>MIN(BB56,BD56)</f>
        <v/>
      </c>
      <c r="BF56" s="2">
        <f>MIN(BA56,BD56-BE56)</f>
        <v/>
      </c>
      <c r="BG56" s="2">
        <f>MIN(AZ56,BD56-BE56-BF56)</f>
        <v/>
      </c>
      <c r="BH56" s="2">
        <f>AZ56-BG56</f>
        <v/>
      </c>
      <c r="BI56" s="2">
        <f>BA56-BF56</f>
        <v/>
      </c>
      <c r="BJ56" s="2">
        <f>BB56-BE56</f>
        <v/>
      </c>
      <c r="BK56" s="7">
        <f>IF(BH56+BI56+BJ56&lt;0.005,1,0)</f>
        <v/>
      </c>
      <c r="BL56" s="2">
        <f>Q56-R56</f>
        <v/>
      </c>
      <c r="BM56" s="2">
        <f>IF(BK56=1,0,MIN(AU56,MAX(0,Inputs!$B$48-BL56)))</f>
        <v/>
      </c>
      <c r="BN56" s="2">
        <f>IF(BK56=1,BL56,0)</f>
        <v/>
      </c>
      <c r="BO56" s="2">
        <f>BL56+BM56-BN56</f>
        <v/>
      </c>
      <c r="BP56" s="2">
        <f>AU56-BM56</f>
        <v/>
      </c>
      <c r="BQ56" s="2">
        <f>BP56+Z56+BN56</f>
        <v/>
      </c>
      <c r="BR56" s="2">
        <f>W56+AW56</f>
        <v/>
      </c>
      <c r="BS56" s="2">
        <f>X56+AX56</f>
        <v/>
      </c>
      <c r="BT56" s="2">
        <f>Y56+AY56</f>
        <v/>
      </c>
      <c r="BU56" s="2">
        <f>AG56+AK56+AO56+BR56+BS56+BT56</f>
        <v/>
      </c>
      <c r="BV56" s="2">
        <f>K56-AG56</f>
        <v/>
      </c>
      <c r="BW56" s="2">
        <f>M56-AK56</f>
        <v/>
      </c>
      <c r="BX56" s="2">
        <f>O56-AO56</f>
        <v/>
      </c>
      <c r="BY56" s="2">
        <f>C56-AE56</f>
        <v/>
      </c>
      <c r="BZ56" s="8">
        <f>AE56+BU56+BQ56+(BO56-Q56)-Pool!BW56</f>
        <v/>
      </c>
    </row>
    <row r="57">
      <c r="A57" s="7" t="n">
        <v>52</v>
      </c>
      <c r="B57" s="2">
        <f>Inputs!$B$51/12*Pool!BK57</f>
        <v/>
      </c>
      <c r="C57" s="2">
        <f>B57+BY56</f>
        <v/>
      </c>
      <c r="D57" s="2">
        <f>BH56</f>
        <v/>
      </c>
      <c r="E57" s="2">
        <f>BI56</f>
        <v/>
      </c>
      <c r="F57" s="2">
        <f>BJ56</f>
        <v/>
      </c>
      <c r="G57" s="3">
        <f>MAX(0,Pool!B57+Inputs!$B$42)</f>
        <v/>
      </c>
      <c r="H57" s="3">
        <f>MAX(0,Pool!B57+Inputs!$B$43)</f>
        <v/>
      </c>
      <c r="I57" s="3">
        <f>Inputs!$B$44</f>
        <v/>
      </c>
      <c r="J57" s="2">
        <f>D57*G57/12</f>
        <v/>
      </c>
      <c r="K57" s="2">
        <f>J57+BV56</f>
        <v/>
      </c>
      <c r="L57" s="2">
        <f>E57*H57/12</f>
        <v/>
      </c>
      <c r="M57" s="2">
        <f>L57+BW56</f>
        <v/>
      </c>
      <c r="N57" s="2">
        <f>F57*I57/12</f>
        <v/>
      </c>
      <c r="O57" s="2">
        <f>N57+BX56</f>
        <v/>
      </c>
      <c r="P57" s="2">
        <f>Pool!BM57</f>
        <v/>
      </c>
      <c r="Q57" s="2">
        <f>BO56</f>
        <v/>
      </c>
      <c r="R57" s="2">
        <f>MIN(Q57,MAX(0,C57+K57+M57-P57))</f>
        <v/>
      </c>
      <c r="S57" s="2">
        <f>P57+R57</f>
        <v/>
      </c>
      <c r="T57" s="2">
        <f>Pool!BN57+Pool!BO57+Pool!BQ57</f>
        <v/>
      </c>
      <c r="U57" s="7">
        <f>IF(OR(Inputs!$B$53=1,Tests!M56=1),1,0)</f>
        <v/>
      </c>
      <c r="V57" s="2">
        <f>D57+E57+F57</f>
        <v/>
      </c>
      <c r="W57" s="2">
        <f>IF(U57=1,MIN(D57,T57),IF(V57&lt;=0,0,MIN(T57,V57)*D57/V57))</f>
        <v/>
      </c>
      <c r="X57" s="2">
        <f>IF(U57=1,MIN(E57,T57-W57),IF(V57&lt;=0,0,MIN(T57,V57)*E57/V57))</f>
        <v/>
      </c>
      <c r="Y57" s="2">
        <f>IF(U57=1,MIN(F57,T57-W57-X57),IF(V57&lt;=0,0,MIN(T57,V57)*F57/V57))</f>
        <v/>
      </c>
      <c r="Z57" s="2">
        <f>T57-W57-X57-Y57</f>
        <v/>
      </c>
      <c r="AA57" s="2">
        <f>D57-W57</f>
        <v/>
      </c>
      <c r="AB57" s="2">
        <f>E57-X57</f>
        <v/>
      </c>
      <c r="AC57" s="2">
        <f>F57-Y57</f>
        <v/>
      </c>
      <c r="AD57" s="2">
        <f>AA57+AB57+AC57</f>
        <v/>
      </c>
      <c r="AE57" s="2">
        <f>MIN(C57,S57)</f>
        <v/>
      </c>
      <c r="AF57" s="2">
        <f>S57-AE57</f>
        <v/>
      </c>
      <c r="AG57" s="2">
        <f>MIN(K57,AF57)</f>
        <v/>
      </c>
      <c r="AH57" s="2">
        <f>AF57-AG57</f>
        <v/>
      </c>
      <c r="AI57" s="2">
        <f>IF(Tests!F57=1,MIN(AH57,AD57),0)</f>
        <v/>
      </c>
      <c r="AJ57" s="2">
        <f>AH57-AI57</f>
        <v/>
      </c>
      <c r="AK57" s="2">
        <f>MIN(M57,AJ57)</f>
        <v/>
      </c>
      <c r="AL57" s="2">
        <f>AJ57-AK57</f>
        <v/>
      </c>
      <c r="AM57" s="2">
        <f>IF(Tests!I57=1,MIN(AL57,AD57-AI57),0)</f>
        <v/>
      </c>
      <c r="AN57" s="2">
        <f>AL57-AM57</f>
        <v/>
      </c>
      <c r="AO57" s="2">
        <f>MIN(O57,AN57)</f>
        <v/>
      </c>
      <c r="AP57" s="2">
        <f>AN57-AO57</f>
        <v/>
      </c>
      <c r="AQ57" s="2">
        <f>IF(Tests!L57=1,MIN(AP57,AD57-AI57-AM57),0)</f>
        <v/>
      </c>
      <c r="AR57" s="2">
        <f>AP57-AQ57</f>
        <v/>
      </c>
      <c r="AS57" s="2">
        <f>MAX(0,AD57-AI57-AM57-AQ57-Pool!BV57)</f>
        <v/>
      </c>
      <c r="AT57" s="2">
        <f>MIN(AR57,AS57)</f>
        <v/>
      </c>
      <c r="AU57" s="2">
        <f>AR57-AT57</f>
        <v/>
      </c>
      <c r="AV57" s="2">
        <f>AI57+AM57+AQ57+AT57</f>
        <v/>
      </c>
      <c r="AW57" s="2">
        <f>MIN(AA57,AV57)</f>
        <v/>
      </c>
      <c r="AX57" s="2">
        <f>MIN(AB57,AV57-AW57)</f>
        <v/>
      </c>
      <c r="AY57" s="2">
        <f>MIN(AC57,AV57-AW57-AX57)</f>
        <v/>
      </c>
      <c r="AZ57" s="2">
        <f>AA57-AW57</f>
        <v/>
      </c>
      <c r="BA57" s="2">
        <f>AB57-AX57</f>
        <v/>
      </c>
      <c r="BB57" s="2">
        <f>AC57-AY57</f>
        <v/>
      </c>
      <c r="BC57" s="2">
        <f>AZ57+BA57+BB57</f>
        <v/>
      </c>
      <c r="BD57" s="2">
        <f>MAX(0,BC57-Pool!BV57)</f>
        <v/>
      </c>
      <c r="BE57" s="2">
        <f>MIN(BB57,BD57)</f>
        <v/>
      </c>
      <c r="BF57" s="2">
        <f>MIN(BA57,BD57-BE57)</f>
        <v/>
      </c>
      <c r="BG57" s="2">
        <f>MIN(AZ57,BD57-BE57-BF57)</f>
        <v/>
      </c>
      <c r="BH57" s="2">
        <f>AZ57-BG57</f>
        <v/>
      </c>
      <c r="BI57" s="2">
        <f>BA57-BF57</f>
        <v/>
      </c>
      <c r="BJ57" s="2">
        <f>BB57-BE57</f>
        <v/>
      </c>
      <c r="BK57" s="7">
        <f>IF(BH57+BI57+BJ57&lt;0.005,1,0)</f>
        <v/>
      </c>
      <c r="BL57" s="2">
        <f>Q57-R57</f>
        <v/>
      </c>
      <c r="BM57" s="2">
        <f>IF(BK57=1,0,MIN(AU57,MAX(0,Inputs!$B$48-BL57)))</f>
        <v/>
      </c>
      <c r="BN57" s="2">
        <f>IF(BK57=1,BL57,0)</f>
        <v/>
      </c>
      <c r="BO57" s="2">
        <f>BL57+BM57-BN57</f>
        <v/>
      </c>
      <c r="BP57" s="2">
        <f>AU57-BM57</f>
        <v/>
      </c>
      <c r="BQ57" s="2">
        <f>BP57+Z57+BN57</f>
        <v/>
      </c>
      <c r="BR57" s="2">
        <f>W57+AW57</f>
        <v/>
      </c>
      <c r="BS57" s="2">
        <f>X57+AX57</f>
        <v/>
      </c>
      <c r="BT57" s="2">
        <f>Y57+AY57</f>
        <v/>
      </c>
      <c r="BU57" s="2">
        <f>AG57+AK57+AO57+BR57+BS57+BT57</f>
        <v/>
      </c>
      <c r="BV57" s="2">
        <f>K57-AG57</f>
        <v/>
      </c>
      <c r="BW57" s="2">
        <f>M57-AK57</f>
        <v/>
      </c>
      <c r="BX57" s="2">
        <f>O57-AO57</f>
        <v/>
      </c>
      <c r="BY57" s="2">
        <f>C57-AE57</f>
        <v/>
      </c>
      <c r="BZ57" s="8">
        <f>AE57+BU57+BQ57+(BO57-Q57)-Pool!BW57</f>
        <v/>
      </c>
    </row>
    <row r="58">
      <c r="A58" s="7" t="n">
        <v>53</v>
      </c>
      <c r="B58" s="2">
        <f>Inputs!$B$51/12*Pool!BK58</f>
        <v/>
      </c>
      <c r="C58" s="2">
        <f>B58+BY57</f>
        <v/>
      </c>
      <c r="D58" s="2">
        <f>BH57</f>
        <v/>
      </c>
      <c r="E58" s="2">
        <f>BI57</f>
        <v/>
      </c>
      <c r="F58" s="2">
        <f>BJ57</f>
        <v/>
      </c>
      <c r="G58" s="3">
        <f>MAX(0,Pool!B58+Inputs!$B$42)</f>
        <v/>
      </c>
      <c r="H58" s="3">
        <f>MAX(0,Pool!B58+Inputs!$B$43)</f>
        <v/>
      </c>
      <c r="I58" s="3">
        <f>Inputs!$B$44</f>
        <v/>
      </c>
      <c r="J58" s="2">
        <f>D58*G58/12</f>
        <v/>
      </c>
      <c r="K58" s="2">
        <f>J58+BV57</f>
        <v/>
      </c>
      <c r="L58" s="2">
        <f>E58*H58/12</f>
        <v/>
      </c>
      <c r="M58" s="2">
        <f>L58+BW57</f>
        <v/>
      </c>
      <c r="N58" s="2">
        <f>F58*I58/12</f>
        <v/>
      </c>
      <c r="O58" s="2">
        <f>N58+BX57</f>
        <v/>
      </c>
      <c r="P58" s="2">
        <f>Pool!BM58</f>
        <v/>
      </c>
      <c r="Q58" s="2">
        <f>BO57</f>
        <v/>
      </c>
      <c r="R58" s="2">
        <f>MIN(Q58,MAX(0,C58+K58+M58-P58))</f>
        <v/>
      </c>
      <c r="S58" s="2">
        <f>P58+R58</f>
        <v/>
      </c>
      <c r="T58" s="2">
        <f>Pool!BN58+Pool!BO58+Pool!BQ58</f>
        <v/>
      </c>
      <c r="U58" s="7">
        <f>IF(OR(Inputs!$B$53=1,Tests!M57=1),1,0)</f>
        <v/>
      </c>
      <c r="V58" s="2">
        <f>D58+E58+F58</f>
        <v/>
      </c>
      <c r="W58" s="2">
        <f>IF(U58=1,MIN(D58,T58),IF(V58&lt;=0,0,MIN(T58,V58)*D58/V58))</f>
        <v/>
      </c>
      <c r="X58" s="2">
        <f>IF(U58=1,MIN(E58,T58-W58),IF(V58&lt;=0,0,MIN(T58,V58)*E58/V58))</f>
        <v/>
      </c>
      <c r="Y58" s="2">
        <f>IF(U58=1,MIN(F58,T58-W58-X58),IF(V58&lt;=0,0,MIN(T58,V58)*F58/V58))</f>
        <v/>
      </c>
      <c r="Z58" s="2">
        <f>T58-W58-X58-Y58</f>
        <v/>
      </c>
      <c r="AA58" s="2">
        <f>D58-W58</f>
        <v/>
      </c>
      <c r="AB58" s="2">
        <f>E58-X58</f>
        <v/>
      </c>
      <c r="AC58" s="2">
        <f>F58-Y58</f>
        <v/>
      </c>
      <c r="AD58" s="2">
        <f>AA58+AB58+AC58</f>
        <v/>
      </c>
      <c r="AE58" s="2">
        <f>MIN(C58,S58)</f>
        <v/>
      </c>
      <c r="AF58" s="2">
        <f>S58-AE58</f>
        <v/>
      </c>
      <c r="AG58" s="2">
        <f>MIN(K58,AF58)</f>
        <v/>
      </c>
      <c r="AH58" s="2">
        <f>AF58-AG58</f>
        <v/>
      </c>
      <c r="AI58" s="2">
        <f>IF(Tests!F58=1,MIN(AH58,AD58),0)</f>
        <v/>
      </c>
      <c r="AJ58" s="2">
        <f>AH58-AI58</f>
        <v/>
      </c>
      <c r="AK58" s="2">
        <f>MIN(M58,AJ58)</f>
        <v/>
      </c>
      <c r="AL58" s="2">
        <f>AJ58-AK58</f>
        <v/>
      </c>
      <c r="AM58" s="2">
        <f>IF(Tests!I58=1,MIN(AL58,AD58-AI58),0)</f>
        <v/>
      </c>
      <c r="AN58" s="2">
        <f>AL58-AM58</f>
        <v/>
      </c>
      <c r="AO58" s="2">
        <f>MIN(O58,AN58)</f>
        <v/>
      </c>
      <c r="AP58" s="2">
        <f>AN58-AO58</f>
        <v/>
      </c>
      <c r="AQ58" s="2">
        <f>IF(Tests!L58=1,MIN(AP58,AD58-AI58-AM58),0)</f>
        <v/>
      </c>
      <c r="AR58" s="2">
        <f>AP58-AQ58</f>
        <v/>
      </c>
      <c r="AS58" s="2">
        <f>MAX(0,AD58-AI58-AM58-AQ58-Pool!BV58)</f>
        <v/>
      </c>
      <c r="AT58" s="2">
        <f>MIN(AR58,AS58)</f>
        <v/>
      </c>
      <c r="AU58" s="2">
        <f>AR58-AT58</f>
        <v/>
      </c>
      <c r="AV58" s="2">
        <f>AI58+AM58+AQ58+AT58</f>
        <v/>
      </c>
      <c r="AW58" s="2">
        <f>MIN(AA58,AV58)</f>
        <v/>
      </c>
      <c r="AX58" s="2">
        <f>MIN(AB58,AV58-AW58)</f>
        <v/>
      </c>
      <c r="AY58" s="2">
        <f>MIN(AC58,AV58-AW58-AX58)</f>
        <v/>
      </c>
      <c r="AZ58" s="2">
        <f>AA58-AW58</f>
        <v/>
      </c>
      <c r="BA58" s="2">
        <f>AB58-AX58</f>
        <v/>
      </c>
      <c r="BB58" s="2">
        <f>AC58-AY58</f>
        <v/>
      </c>
      <c r="BC58" s="2">
        <f>AZ58+BA58+BB58</f>
        <v/>
      </c>
      <c r="BD58" s="2">
        <f>MAX(0,BC58-Pool!BV58)</f>
        <v/>
      </c>
      <c r="BE58" s="2">
        <f>MIN(BB58,BD58)</f>
        <v/>
      </c>
      <c r="BF58" s="2">
        <f>MIN(BA58,BD58-BE58)</f>
        <v/>
      </c>
      <c r="BG58" s="2">
        <f>MIN(AZ58,BD58-BE58-BF58)</f>
        <v/>
      </c>
      <c r="BH58" s="2">
        <f>AZ58-BG58</f>
        <v/>
      </c>
      <c r="BI58" s="2">
        <f>BA58-BF58</f>
        <v/>
      </c>
      <c r="BJ58" s="2">
        <f>BB58-BE58</f>
        <v/>
      </c>
      <c r="BK58" s="7">
        <f>IF(BH58+BI58+BJ58&lt;0.005,1,0)</f>
        <v/>
      </c>
      <c r="BL58" s="2">
        <f>Q58-R58</f>
        <v/>
      </c>
      <c r="BM58" s="2">
        <f>IF(BK58=1,0,MIN(AU58,MAX(0,Inputs!$B$48-BL58)))</f>
        <v/>
      </c>
      <c r="BN58" s="2">
        <f>IF(BK58=1,BL58,0)</f>
        <v/>
      </c>
      <c r="BO58" s="2">
        <f>BL58+BM58-BN58</f>
        <v/>
      </c>
      <c r="BP58" s="2">
        <f>AU58-BM58</f>
        <v/>
      </c>
      <c r="BQ58" s="2">
        <f>BP58+Z58+BN58</f>
        <v/>
      </c>
      <c r="BR58" s="2">
        <f>W58+AW58</f>
        <v/>
      </c>
      <c r="BS58" s="2">
        <f>X58+AX58</f>
        <v/>
      </c>
      <c r="BT58" s="2">
        <f>Y58+AY58</f>
        <v/>
      </c>
      <c r="BU58" s="2">
        <f>AG58+AK58+AO58+BR58+BS58+BT58</f>
        <v/>
      </c>
      <c r="BV58" s="2">
        <f>K58-AG58</f>
        <v/>
      </c>
      <c r="BW58" s="2">
        <f>M58-AK58</f>
        <v/>
      </c>
      <c r="BX58" s="2">
        <f>O58-AO58</f>
        <v/>
      </c>
      <c r="BY58" s="2">
        <f>C58-AE58</f>
        <v/>
      </c>
      <c r="BZ58" s="8">
        <f>AE58+BU58+BQ58+(BO58-Q58)-Pool!BW58</f>
        <v/>
      </c>
    </row>
    <row r="59">
      <c r="A59" s="7" t="n">
        <v>54</v>
      </c>
      <c r="B59" s="2">
        <f>Inputs!$B$51/12*Pool!BK59</f>
        <v/>
      </c>
      <c r="C59" s="2">
        <f>B59+BY58</f>
        <v/>
      </c>
      <c r="D59" s="2">
        <f>BH58</f>
        <v/>
      </c>
      <c r="E59" s="2">
        <f>BI58</f>
        <v/>
      </c>
      <c r="F59" s="2">
        <f>BJ58</f>
        <v/>
      </c>
      <c r="G59" s="3">
        <f>MAX(0,Pool!B59+Inputs!$B$42)</f>
        <v/>
      </c>
      <c r="H59" s="3">
        <f>MAX(0,Pool!B59+Inputs!$B$43)</f>
        <v/>
      </c>
      <c r="I59" s="3">
        <f>Inputs!$B$44</f>
        <v/>
      </c>
      <c r="J59" s="2">
        <f>D59*G59/12</f>
        <v/>
      </c>
      <c r="K59" s="2">
        <f>J59+BV58</f>
        <v/>
      </c>
      <c r="L59" s="2">
        <f>E59*H59/12</f>
        <v/>
      </c>
      <c r="M59" s="2">
        <f>L59+BW58</f>
        <v/>
      </c>
      <c r="N59" s="2">
        <f>F59*I59/12</f>
        <v/>
      </c>
      <c r="O59" s="2">
        <f>N59+BX58</f>
        <v/>
      </c>
      <c r="P59" s="2">
        <f>Pool!BM59</f>
        <v/>
      </c>
      <c r="Q59" s="2">
        <f>BO58</f>
        <v/>
      </c>
      <c r="R59" s="2">
        <f>MIN(Q59,MAX(0,C59+K59+M59-P59))</f>
        <v/>
      </c>
      <c r="S59" s="2">
        <f>P59+R59</f>
        <v/>
      </c>
      <c r="T59" s="2">
        <f>Pool!BN59+Pool!BO59+Pool!BQ59</f>
        <v/>
      </c>
      <c r="U59" s="7">
        <f>IF(OR(Inputs!$B$53=1,Tests!M58=1),1,0)</f>
        <v/>
      </c>
      <c r="V59" s="2">
        <f>D59+E59+F59</f>
        <v/>
      </c>
      <c r="W59" s="2">
        <f>IF(U59=1,MIN(D59,T59),IF(V59&lt;=0,0,MIN(T59,V59)*D59/V59))</f>
        <v/>
      </c>
      <c r="X59" s="2">
        <f>IF(U59=1,MIN(E59,T59-W59),IF(V59&lt;=0,0,MIN(T59,V59)*E59/V59))</f>
        <v/>
      </c>
      <c r="Y59" s="2">
        <f>IF(U59=1,MIN(F59,T59-W59-X59),IF(V59&lt;=0,0,MIN(T59,V59)*F59/V59))</f>
        <v/>
      </c>
      <c r="Z59" s="2">
        <f>T59-W59-X59-Y59</f>
        <v/>
      </c>
      <c r="AA59" s="2">
        <f>D59-W59</f>
        <v/>
      </c>
      <c r="AB59" s="2">
        <f>E59-X59</f>
        <v/>
      </c>
      <c r="AC59" s="2">
        <f>F59-Y59</f>
        <v/>
      </c>
      <c r="AD59" s="2">
        <f>AA59+AB59+AC59</f>
        <v/>
      </c>
      <c r="AE59" s="2">
        <f>MIN(C59,S59)</f>
        <v/>
      </c>
      <c r="AF59" s="2">
        <f>S59-AE59</f>
        <v/>
      </c>
      <c r="AG59" s="2">
        <f>MIN(K59,AF59)</f>
        <v/>
      </c>
      <c r="AH59" s="2">
        <f>AF59-AG59</f>
        <v/>
      </c>
      <c r="AI59" s="2">
        <f>IF(Tests!F59=1,MIN(AH59,AD59),0)</f>
        <v/>
      </c>
      <c r="AJ59" s="2">
        <f>AH59-AI59</f>
        <v/>
      </c>
      <c r="AK59" s="2">
        <f>MIN(M59,AJ59)</f>
        <v/>
      </c>
      <c r="AL59" s="2">
        <f>AJ59-AK59</f>
        <v/>
      </c>
      <c r="AM59" s="2">
        <f>IF(Tests!I59=1,MIN(AL59,AD59-AI59),0)</f>
        <v/>
      </c>
      <c r="AN59" s="2">
        <f>AL59-AM59</f>
        <v/>
      </c>
      <c r="AO59" s="2">
        <f>MIN(O59,AN59)</f>
        <v/>
      </c>
      <c r="AP59" s="2">
        <f>AN59-AO59</f>
        <v/>
      </c>
      <c r="AQ59" s="2">
        <f>IF(Tests!L59=1,MIN(AP59,AD59-AI59-AM59),0)</f>
        <v/>
      </c>
      <c r="AR59" s="2">
        <f>AP59-AQ59</f>
        <v/>
      </c>
      <c r="AS59" s="2">
        <f>MAX(0,AD59-AI59-AM59-AQ59-Pool!BV59)</f>
        <v/>
      </c>
      <c r="AT59" s="2">
        <f>MIN(AR59,AS59)</f>
        <v/>
      </c>
      <c r="AU59" s="2">
        <f>AR59-AT59</f>
        <v/>
      </c>
      <c r="AV59" s="2">
        <f>AI59+AM59+AQ59+AT59</f>
        <v/>
      </c>
      <c r="AW59" s="2">
        <f>MIN(AA59,AV59)</f>
        <v/>
      </c>
      <c r="AX59" s="2">
        <f>MIN(AB59,AV59-AW59)</f>
        <v/>
      </c>
      <c r="AY59" s="2">
        <f>MIN(AC59,AV59-AW59-AX59)</f>
        <v/>
      </c>
      <c r="AZ59" s="2">
        <f>AA59-AW59</f>
        <v/>
      </c>
      <c r="BA59" s="2">
        <f>AB59-AX59</f>
        <v/>
      </c>
      <c r="BB59" s="2">
        <f>AC59-AY59</f>
        <v/>
      </c>
      <c r="BC59" s="2">
        <f>AZ59+BA59+BB59</f>
        <v/>
      </c>
      <c r="BD59" s="2">
        <f>MAX(0,BC59-Pool!BV59)</f>
        <v/>
      </c>
      <c r="BE59" s="2">
        <f>MIN(BB59,BD59)</f>
        <v/>
      </c>
      <c r="BF59" s="2">
        <f>MIN(BA59,BD59-BE59)</f>
        <v/>
      </c>
      <c r="BG59" s="2">
        <f>MIN(AZ59,BD59-BE59-BF59)</f>
        <v/>
      </c>
      <c r="BH59" s="2">
        <f>AZ59-BG59</f>
        <v/>
      </c>
      <c r="BI59" s="2">
        <f>BA59-BF59</f>
        <v/>
      </c>
      <c r="BJ59" s="2">
        <f>BB59-BE59</f>
        <v/>
      </c>
      <c r="BK59" s="7">
        <f>IF(BH59+BI59+BJ59&lt;0.005,1,0)</f>
        <v/>
      </c>
      <c r="BL59" s="2">
        <f>Q59-R59</f>
        <v/>
      </c>
      <c r="BM59" s="2">
        <f>IF(BK59=1,0,MIN(AU59,MAX(0,Inputs!$B$48-BL59)))</f>
        <v/>
      </c>
      <c r="BN59" s="2">
        <f>IF(BK59=1,BL59,0)</f>
        <v/>
      </c>
      <c r="BO59" s="2">
        <f>BL59+BM59-BN59</f>
        <v/>
      </c>
      <c r="BP59" s="2">
        <f>AU59-BM59</f>
        <v/>
      </c>
      <c r="BQ59" s="2">
        <f>BP59+Z59+BN59</f>
        <v/>
      </c>
      <c r="BR59" s="2">
        <f>W59+AW59</f>
        <v/>
      </c>
      <c r="BS59" s="2">
        <f>X59+AX59</f>
        <v/>
      </c>
      <c r="BT59" s="2">
        <f>Y59+AY59</f>
        <v/>
      </c>
      <c r="BU59" s="2">
        <f>AG59+AK59+AO59+BR59+BS59+BT59</f>
        <v/>
      </c>
      <c r="BV59" s="2">
        <f>K59-AG59</f>
        <v/>
      </c>
      <c r="BW59" s="2">
        <f>M59-AK59</f>
        <v/>
      </c>
      <c r="BX59" s="2">
        <f>O59-AO59</f>
        <v/>
      </c>
      <c r="BY59" s="2">
        <f>C59-AE59</f>
        <v/>
      </c>
      <c r="BZ59" s="8">
        <f>AE59+BU59+BQ59+(BO59-Q59)-Pool!BW59</f>
        <v/>
      </c>
    </row>
    <row r="60">
      <c r="A60" s="7" t="n">
        <v>55</v>
      </c>
      <c r="B60" s="2">
        <f>Inputs!$B$51/12*Pool!BK60</f>
        <v/>
      </c>
      <c r="C60" s="2">
        <f>B60+BY59</f>
        <v/>
      </c>
      <c r="D60" s="2">
        <f>BH59</f>
        <v/>
      </c>
      <c r="E60" s="2">
        <f>BI59</f>
        <v/>
      </c>
      <c r="F60" s="2">
        <f>BJ59</f>
        <v/>
      </c>
      <c r="G60" s="3">
        <f>MAX(0,Pool!B60+Inputs!$B$42)</f>
        <v/>
      </c>
      <c r="H60" s="3">
        <f>MAX(0,Pool!B60+Inputs!$B$43)</f>
        <v/>
      </c>
      <c r="I60" s="3">
        <f>Inputs!$B$44</f>
        <v/>
      </c>
      <c r="J60" s="2">
        <f>D60*G60/12</f>
        <v/>
      </c>
      <c r="K60" s="2">
        <f>J60+BV59</f>
        <v/>
      </c>
      <c r="L60" s="2">
        <f>E60*H60/12</f>
        <v/>
      </c>
      <c r="M60" s="2">
        <f>L60+BW59</f>
        <v/>
      </c>
      <c r="N60" s="2">
        <f>F60*I60/12</f>
        <v/>
      </c>
      <c r="O60" s="2">
        <f>N60+BX59</f>
        <v/>
      </c>
      <c r="P60" s="2">
        <f>Pool!BM60</f>
        <v/>
      </c>
      <c r="Q60" s="2">
        <f>BO59</f>
        <v/>
      </c>
      <c r="R60" s="2">
        <f>MIN(Q60,MAX(0,C60+K60+M60-P60))</f>
        <v/>
      </c>
      <c r="S60" s="2">
        <f>P60+R60</f>
        <v/>
      </c>
      <c r="T60" s="2">
        <f>Pool!BN60+Pool!BO60+Pool!BQ60</f>
        <v/>
      </c>
      <c r="U60" s="7">
        <f>IF(OR(Inputs!$B$53=1,Tests!M59=1),1,0)</f>
        <v/>
      </c>
      <c r="V60" s="2">
        <f>D60+E60+F60</f>
        <v/>
      </c>
      <c r="W60" s="2">
        <f>IF(U60=1,MIN(D60,T60),IF(V60&lt;=0,0,MIN(T60,V60)*D60/V60))</f>
        <v/>
      </c>
      <c r="X60" s="2">
        <f>IF(U60=1,MIN(E60,T60-W60),IF(V60&lt;=0,0,MIN(T60,V60)*E60/V60))</f>
        <v/>
      </c>
      <c r="Y60" s="2">
        <f>IF(U60=1,MIN(F60,T60-W60-X60),IF(V60&lt;=0,0,MIN(T60,V60)*F60/V60))</f>
        <v/>
      </c>
      <c r="Z60" s="2">
        <f>T60-W60-X60-Y60</f>
        <v/>
      </c>
      <c r="AA60" s="2">
        <f>D60-W60</f>
        <v/>
      </c>
      <c r="AB60" s="2">
        <f>E60-X60</f>
        <v/>
      </c>
      <c r="AC60" s="2">
        <f>F60-Y60</f>
        <v/>
      </c>
      <c r="AD60" s="2">
        <f>AA60+AB60+AC60</f>
        <v/>
      </c>
      <c r="AE60" s="2">
        <f>MIN(C60,S60)</f>
        <v/>
      </c>
      <c r="AF60" s="2">
        <f>S60-AE60</f>
        <v/>
      </c>
      <c r="AG60" s="2">
        <f>MIN(K60,AF60)</f>
        <v/>
      </c>
      <c r="AH60" s="2">
        <f>AF60-AG60</f>
        <v/>
      </c>
      <c r="AI60" s="2">
        <f>IF(Tests!F60=1,MIN(AH60,AD60),0)</f>
        <v/>
      </c>
      <c r="AJ60" s="2">
        <f>AH60-AI60</f>
        <v/>
      </c>
      <c r="AK60" s="2">
        <f>MIN(M60,AJ60)</f>
        <v/>
      </c>
      <c r="AL60" s="2">
        <f>AJ60-AK60</f>
        <v/>
      </c>
      <c r="AM60" s="2">
        <f>IF(Tests!I60=1,MIN(AL60,AD60-AI60),0)</f>
        <v/>
      </c>
      <c r="AN60" s="2">
        <f>AL60-AM60</f>
        <v/>
      </c>
      <c r="AO60" s="2">
        <f>MIN(O60,AN60)</f>
        <v/>
      </c>
      <c r="AP60" s="2">
        <f>AN60-AO60</f>
        <v/>
      </c>
      <c r="AQ60" s="2">
        <f>IF(Tests!L60=1,MIN(AP60,AD60-AI60-AM60),0)</f>
        <v/>
      </c>
      <c r="AR60" s="2">
        <f>AP60-AQ60</f>
        <v/>
      </c>
      <c r="AS60" s="2">
        <f>MAX(0,AD60-AI60-AM60-AQ60-Pool!BV60)</f>
        <v/>
      </c>
      <c r="AT60" s="2">
        <f>MIN(AR60,AS60)</f>
        <v/>
      </c>
      <c r="AU60" s="2">
        <f>AR60-AT60</f>
        <v/>
      </c>
      <c r="AV60" s="2">
        <f>AI60+AM60+AQ60+AT60</f>
        <v/>
      </c>
      <c r="AW60" s="2">
        <f>MIN(AA60,AV60)</f>
        <v/>
      </c>
      <c r="AX60" s="2">
        <f>MIN(AB60,AV60-AW60)</f>
        <v/>
      </c>
      <c r="AY60" s="2">
        <f>MIN(AC60,AV60-AW60-AX60)</f>
        <v/>
      </c>
      <c r="AZ60" s="2">
        <f>AA60-AW60</f>
        <v/>
      </c>
      <c r="BA60" s="2">
        <f>AB60-AX60</f>
        <v/>
      </c>
      <c r="BB60" s="2">
        <f>AC60-AY60</f>
        <v/>
      </c>
      <c r="BC60" s="2">
        <f>AZ60+BA60+BB60</f>
        <v/>
      </c>
      <c r="BD60" s="2">
        <f>MAX(0,BC60-Pool!BV60)</f>
        <v/>
      </c>
      <c r="BE60" s="2">
        <f>MIN(BB60,BD60)</f>
        <v/>
      </c>
      <c r="BF60" s="2">
        <f>MIN(BA60,BD60-BE60)</f>
        <v/>
      </c>
      <c r="BG60" s="2">
        <f>MIN(AZ60,BD60-BE60-BF60)</f>
        <v/>
      </c>
      <c r="BH60" s="2">
        <f>AZ60-BG60</f>
        <v/>
      </c>
      <c r="BI60" s="2">
        <f>BA60-BF60</f>
        <v/>
      </c>
      <c r="BJ60" s="2">
        <f>BB60-BE60</f>
        <v/>
      </c>
      <c r="BK60" s="7">
        <f>IF(BH60+BI60+BJ60&lt;0.005,1,0)</f>
        <v/>
      </c>
      <c r="BL60" s="2">
        <f>Q60-R60</f>
        <v/>
      </c>
      <c r="BM60" s="2">
        <f>IF(BK60=1,0,MIN(AU60,MAX(0,Inputs!$B$48-BL60)))</f>
        <v/>
      </c>
      <c r="BN60" s="2">
        <f>IF(BK60=1,BL60,0)</f>
        <v/>
      </c>
      <c r="BO60" s="2">
        <f>BL60+BM60-BN60</f>
        <v/>
      </c>
      <c r="BP60" s="2">
        <f>AU60-BM60</f>
        <v/>
      </c>
      <c r="BQ60" s="2">
        <f>BP60+Z60+BN60</f>
        <v/>
      </c>
      <c r="BR60" s="2">
        <f>W60+AW60</f>
        <v/>
      </c>
      <c r="BS60" s="2">
        <f>X60+AX60</f>
        <v/>
      </c>
      <c r="BT60" s="2">
        <f>Y60+AY60</f>
        <v/>
      </c>
      <c r="BU60" s="2">
        <f>AG60+AK60+AO60+BR60+BS60+BT60</f>
        <v/>
      </c>
      <c r="BV60" s="2">
        <f>K60-AG60</f>
        <v/>
      </c>
      <c r="BW60" s="2">
        <f>M60-AK60</f>
        <v/>
      </c>
      <c r="BX60" s="2">
        <f>O60-AO60</f>
        <v/>
      </c>
      <c r="BY60" s="2">
        <f>C60-AE60</f>
        <v/>
      </c>
      <c r="BZ60" s="8">
        <f>AE60+BU60+BQ60+(BO60-Q60)-Pool!BW60</f>
        <v/>
      </c>
    </row>
    <row r="61">
      <c r="A61" s="7" t="n">
        <v>56</v>
      </c>
      <c r="B61" s="2">
        <f>Inputs!$B$51/12*Pool!BK61</f>
        <v/>
      </c>
      <c r="C61" s="2">
        <f>B61+BY60</f>
        <v/>
      </c>
      <c r="D61" s="2">
        <f>BH60</f>
        <v/>
      </c>
      <c r="E61" s="2">
        <f>BI60</f>
        <v/>
      </c>
      <c r="F61" s="2">
        <f>BJ60</f>
        <v/>
      </c>
      <c r="G61" s="3">
        <f>MAX(0,Pool!B61+Inputs!$B$42)</f>
        <v/>
      </c>
      <c r="H61" s="3">
        <f>MAX(0,Pool!B61+Inputs!$B$43)</f>
        <v/>
      </c>
      <c r="I61" s="3">
        <f>Inputs!$B$44</f>
        <v/>
      </c>
      <c r="J61" s="2">
        <f>D61*G61/12</f>
        <v/>
      </c>
      <c r="K61" s="2">
        <f>J61+BV60</f>
        <v/>
      </c>
      <c r="L61" s="2">
        <f>E61*H61/12</f>
        <v/>
      </c>
      <c r="M61" s="2">
        <f>L61+BW60</f>
        <v/>
      </c>
      <c r="N61" s="2">
        <f>F61*I61/12</f>
        <v/>
      </c>
      <c r="O61" s="2">
        <f>N61+BX60</f>
        <v/>
      </c>
      <c r="P61" s="2">
        <f>Pool!BM61</f>
        <v/>
      </c>
      <c r="Q61" s="2">
        <f>BO60</f>
        <v/>
      </c>
      <c r="R61" s="2">
        <f>MIN(Q61,MAX(0,C61+K61+M61-P61))</f>
        <v/>
      </c>
      <c r="S61" s="2">
        <f>P61+R61</f>
        <v/>
      </c>
      <c r="T61" s="2">
        <f>Pool!BN61+Pool!BO61+Pool!BQ61</f>
        <v/>
      </c>
      <c r="U61" s="7">
        <f>IF(OR(Inputs!$B$53=1,Tests!M60=1),1,0)</f>
        <v/>
      </c>
      <c r="V61" s="2">
        <f>D61+E61+F61</f>
        <v/>
      </c>
      <c r="W61" s="2">
        <f>IF(U61=1,MIN(D61,T61),IF(V61&lt;=0,0,MIN(T61,V61)*D61/V61))</f>
        <v/>
      </c>
      <c r="X61" s="2">
        <f>IF(U61=1,MIN(E61,T61-W61),IF(V61&lt;=0,0,MIN(T61,V61)*E61/V61))</f>
        <v/>
      </c>
      <c r="Y61" s="2">
        <f>IF(U61=1,MIN(F61,T61-W61-X61),IF(V61&lt;=0,0,MIN(T61,V61)*F61/V61))</f>
        <v/>
      </c>
      <c r="Z61" s="2">
        <f>T61-W61-X61-Y61</f>
        <v/>
      </c>
      <c r="AA61" s="2">
        <f>D61-W61</f>
        <v/>
      </c>
      <c r="AB61" s="2">
        <f>E61-X61</f>
        <v/>
      </c>
      <c r="AC61" s="2">
        <f>F61-Y61</f>
        <v/>
      </c>
      <c r="AD61" s="2">
        <f>AA61+AB61+AC61</f>
        <v/>
      </c>
      <c r="AE61" s="2">
        <f>MIN(C61,S61)</f>
        <v/>
      </c>
      <c r="AF61" s="2">
        <f>S61-AE61</f>
        <v/>
      </c>
      <c r="AG61" s="2">
        <f>MIN(K61,AF61)</f>
        <v/>
      </c>
      <c r="AH61" s="2">
        <f>AF61-AG61</f>
        <v/>
      </c>
      <c r="AI61" s="2">
        <f>IF(Tests!F61=1,MIN(AH61,AD61),0)</f>
        <v/>
      </c>
      <c r="AJ61" s="2">
        <f>AH61-AI61</f>
        <v/>
      </c>
      <c r="AK61" s="2">
        <f>MIN(M61,AJ61)</f>
        <v/>
      </c>
      <c r="AL61" s="2">
        <f>AJ61-AK61</f>
        <v/>
      </c>
      <c r="AM61" s="2">
        <f>IF(Tests!I61=1,MIN(AL61,AD61-AI61),0)</f>
        <v/>
      </c>
      <c r="AN61" s="2">
        <f>AL61-AM61</f>
        <v/>
      </c>
      <c r="AO61" s="2">
        <f>MIN(O61,AN61)</f>
        <v/>
      </c>
      <c r="AP61" s="2">
        <f>AN61-AO61</f>
        <v/>
      </c>
      <c r="AQ61" s="2">
        <f>IF(Tests!L61=1,MIN(AP61,AD61-AI61-AM61),0)</f>
        <v/>
      </c>
      <c r="AR61" s="2">
        <f>AP61-AQ61</f>
        <v/>
      </c>
      <c r="AS61" s="2">
        <f>MAX(0,AD61-AI61-AM61-AQ61-Pool!BV61)</f>
        <v/>
      </c>
      <c r="AT61" s="2">
        <f>MIN(AR61,AS61)</f>
        <v/>
      </c>
      <c r="AU61" s="2">
        <f>AR61-AT61</f>
        <v/>
      </c>
      <c r="AV61" s="2">
        <f>AI61+AM61+AQ61+AT61</f>
        <v/>
      </c>
      <c r="AW61" s="2">
        <f>MIN(AA61,AV61)</f>
        <v/>
      </c>
      <c r="AX61" s="2">
        <f>MIN(AB61,AV61-AW61)</f>
        <v/>
      </c>
      <c r="AY61" s="2">
        <f>MIN(AC61,AV61-AW61-AX61)</f>
        <v/>
      </c>
      <c r="AZ61" s="2">
        <f>AA61-AW61</f>
        <v/>
      </c>
      <c r="BA61" s="2">
        <f>AB61-AX61</f>
        <v/>
      </c>
      <c r="BB61" s="2">
        <f>AC61-AY61</f>
        <v/>
      </c>
      <c r="BC61" s="2">
        <f>AZ61+BA61+BB61</f>
        <v/>
      </c>
      <c r="BD61" s="2">
        <f>MAX(0,BC61-Pool!BV61)</f>
        <v/>
      </c>
      <c r="BE61" s="2">
        <f>MIN(BB61,BD61)</f>
        <v/>
      </c>
      <c r="BF61" s="2">
        <f>MIN(BA61,BD61-BE61)</f>
        <v/>
      </c>
      <c r="BG61" s="2">
        <f>MIN(AZ61,BD61-BE61-BF61)</f>
        <v/>
      </c>
      <c r="BH61" s="2">
        <f>AZ61-BG61</f>
        <v/>
      </c>
      <c r="BI61" s="2">
        <f>BA61-BF61</f>
        <v/>
      </c>
      <c r="BJ61" s="2">
        <f>BB61-BE61</f>
        <v/>
      </c>
      <c r="BK61" s="7">
        <f>IF(BH61+BI61+BJ61&lt;0.005,1,0)</f>
        <v/>
      </c>
      <c r="BL61" s="2">
        <f>Q61-R61</f>
        <v/>
      </c>
      <c r="BM61" s="2">
        <f>IF(BK61=1,0,MIN(AU61,MAX(0,Inputs!$B$48-BL61)))</f>
        <v/>
      </c>
      <c r="BN61" s="2">
        <f>IF(BK61=1,BL61,0)</f>
        <v/>
      </c>
      <c r="BO61" s="2">
        <f>BL61+BM61-BN61</f>
        <v/>
      </c>
      <c r="BP61" s="2">
        <f>AU61-BM61</f>
        <v/>
      </c>
      <c r="BQ61" s="2">
        <f>BP61+Z61+BN61</f>
        <v/>
      </c>
      <c r="BR61" s="2">
        <f>W61+AW61</f>
        <v/>
      </c>
      <c r="BS61" s="2">
        <f>X61+AX61</f>
        <v/>
      </c>
      <c r="BT61" s="2">
        <f>Y61+AY61</f>
        <v/>
      </c>
      <c r="BU61" s="2">
        <f>AG61+AK61+AO61+BR61+BS61+BT61</f>
        <v/>
      </c>
      <c r="BV61" s="2">
        <f>K61-AG61</f>
        <v/>
      </c>
      <c r="BW61" s="2">
        <f>M61-AK61</f>
        <v/>
      </c>
      <c r="BX61" s="2">
        <f>O61-AO61</f>
        <v/>
      </c>
      <c r="BY61" s="2">
        <f>C61-AE61</f>
        <v/>
      </c>
      <c r="BZ61" s="8">
        <f>AE61+BU61+BQ61+(BO61-Q61)-Pool!BW61</f>
        <v/>
      </c>
    </row>
    <row r="62">
      <c r="A62" s="7" t="n">
        <v>57</v>
      </c>
      <c r="B62" s="2">
        <f>Inputs!$B$51/12*Pool!BK62</f>
        <v/>
      </c>
      <c r="C62" s="2">
        <f>B62+BY61</f>
        <v/>
      </c>
      <c r="D62" s="2">
        <f>BH61</f>
        <v/>
      </c>
      <c r="E62" s="2">
        <f>BI61</f>
        <v/>
      </c>
      <c r="F62" s="2">
        <f>BJ61</f>
        <v/>
      </c>
      <c r="G62" s="3">
        <f>MAX(0,Pool!B62+Inputs!$B$42)</f>
        <v/>
      </c>
      <c r="H62" s="3">
        <f>MAX(0,Pool!B62+Inputs!$B$43)</f>
        <v/>
      </c>
      <c r="I62" s="3">
        <f>Inputs!$B$44</f>
        <v/>
      </c>
      <c r="J62" s="2">
        <f>D62*G62/12</f>
        <v/>
      </c>
      <c r="K62" s="2">
        <f>J62+BV61</f>
        <v/>
      </c>
      <c r="L62" s="2">
        <f>E62*H62/12</f>
        <v/>
      </c>
      <c r="M62" s="2">
        <f>L62+BW61</f>
        <v/>
      </c>
      <c r="N62" s="2">
        <f>F62*I62/12</f>
        <v/>
      </c>
      <c r="O62" s="2">
        <f>N62+BX61</f>
        <v/>
      </c>
      <c r="P62" s="2">
        <f>Pool!BM62</f>
        <v/>
      </c>
      <c r="Q62" s="2">
        <f>BO61</f>
        <v/>
      </c>
      <c r="R62" s="2">
        <f>MIN(Q62,MAX(0,C62+K62+M62-P62))</f>
        <v/>
      </c>
      <c r="S62" s="2">
        <f>P62+R62</f>
        <v/>
      </c>
      <c r="T62" s="2">
        <f>Pool!BN62+Pool!BO62+Pool!BQ62</f>
        <v/>
      </c>
      <c r="U62" s="7">
        <f>IF(OR(Inputs!$B$53=1,Tests!M61=1),1,0)</f>
        <v/>
      </c>
      <c r="V62" s="2">
        <f>D62+E62+F62</f>
        <v/>
      </c>
      <c r="W62" s="2">
        <f>IF(U62=1,MIN(D62,T62),IF(V62&lt;=0,0,MIN(T62,V62)*D62/V62))</f>
        <v/>
      </c>
      <c r="X62" s="2">
        <f>IF(U62=1,MIN(E62,T62-W62),IF(V62&lt;=0,0,MIN(T62,V62)*E62/V62))</f>
        <v/>
      </c>
      <c r="Y62" s="2">
        <f>IF(U62=1,MIN(F62,T62-W62-X62),IF(V62&lt;=0,0,MIN(T62,V62)*F62/V62))</f>
        <v/>
      </c>
      <c r="Z62" s="2">
        <f>T62-W62-X62-Y62</f>
        <v/>
      </c>
      <c r="AA62" s="2">
        <f>D62-W62</f>
        <v/>
      </c>
      <c r="AB62" s="2">
        <f>E62-X62</f>
        <v/>
      </c>
      <c r="AC62" s="2">
        <f>F62-Y62</f>
        <v/>
      </c>
      <c r="AD62" s="2">
        <f>AA62+AB62+AC62</f>
        <v/>
      </c>
      <c r="AE62" s="2">
        <f>MIN(C62,S62)</f>
        <v/>
      </c>
      <c r="AF62" s="2">
        <f>S62-AE62</f>
        <v/>
      </c>
      <c r="AG62" s="2">
        <f>MIN(K62,AF62)</f>
        <v/>
      </c>
      <c r="AH62" s="2">
        <f>AF62-AG62</f>
        <v/>
      </c>
      <c r="AI62" s="2">
        <f>IF(Tests!F62=1,MIN(AH62,AD62),0)</f>
        <v/>
      </c>
      <c r="AJ62" s="2">
        <f>AH62-AI62</f>
        <v/>
      </c>
      <c r="AK62" s="2">
        <f>MIN(M62,AJ62)</f>
        <v/>
      </c>
      <c r="AL62" s="2">
        <f>AJ62-AK62</f>
        <v/>
      </c>
      <c r="AM62" s="2">
        <f>IF(Tests!I62=1,MIN(AL62,AD62-AI62),0)</f>
        <v/>
      </c>
      <c r="AN62" s="2">
        <f>AL62-AM62</f>
        <v/>
      </c>
      <c r="AO62" s="2">
        <f>MIN(O62,AN62)</f>
        <v/>
      </c>
      <c r="AP62" s="2">
        <f>AN62-AO62</f>
        <v/>
      </c>
      <c r="AQ62" s="2">
        <f>IF(Tests!L62=1,MIN(AP62,AD62-AI62-AM62),0)</f>
        <v/>
      </c>
      <c r="AR62" s="2">
        <f>AP62-AQ62</f>
        <v/>
      </c>
      <c r="AS62" s="2">
        <f>MAX(0,AD62-AI62-AM62-AQ62-Pool!BV62)</f>
        <v/>
      </c>
      <c r="AT62" s="2">
        <f>MIN(AR62,AS62)</f>
        <v/>
      </c>
      <c r="AU62" s="2">
        <f>AR62-AT62</f>
        <v/>
      </c>
      <c r="AV62" s="2">
        <f>AI62+AM62+AQ62+AT62</f>
        <v/>
      </c>
      <c r="AW62" s="2">
        <f>MIN(AA62,AV62)</f>
        <v/>
      </c>
      <c r="AX62" s="2">
        <f>MIN(AB62,AV62-AW62)</f>
        <v/>
      </c>
      <c r="AY62" s="2">
        <f>MIN(AC62,AV62-AW62-AX62)</f>
        <v/>
      </c>
      <c r="AZ62" s="2">
        <f>AA62-AW62</f>
        <v/>
      </c>
      <c r="BA62" s="2">
        <f>AB62-AX62</f>
        <v/>
      </c>
      <c r="BB62" s="2">
        <f>AC62-AY62</f>
        <v/>
      </c>
      <c r="BC62" s="2">
        <f>AZ62+BA62+BB62</f>
        <v/>
      </c>
      <c r="BD62" s="2">
        <f>MAX(0,BC62-Pool!BV62)</f>
        <v/>
      </c>
      <c r="BE62" s="2">
        <f>MIN(BB62,BD62)</f>
        <v/>
      </c>
      <c r="BF62" s="2">
        <f>MIN(BA62,BD62-BE62)</f>
        <v/>
      </c>
      <c r="BG62" s="2">
        <f>MIN(AZ62,BD62-BE62-BF62)</f>
        <v/>
      </c>
      <c r="BH62" s="2">
        <f>AZ62-BG62</f>
        <v/>
      </c>
      <c r="BI62" s="2">
        <f>BA62-BF62</f>
        <v/>
      </c>
      <c r="BJ62" s="2">
        <f>BB62-BE62</f>
        <v/>
      </c>
      <c r="BK62" s="7">
        <f>IF(BH62+BI62+BJ62&lt;0.005,1,0)</f>
        <v/>
      </c>
      <c r="BL62" s="2">
        <f>Q62-R62</f>
        <v/>
      </c>
      <c r="BM62" s="2">
        <f>IF(BK62=1,0,MIN(AU62,MAX(0,Inputs!$B$48-BL62)))</f>
        <v/>
      </c>
      <c r="BN62" s="2">
        <f>IF(BK62=1,BL62,0)</f>
        <v/>
      </c>
      <c r="BO62" s="2">
        <f>BL62+BM62-BN62</f>
        <v/>
      </c>
      <c r="BP62" s="2">
        <f>AU62-BM62</f>
        <v/>
      </c>
      <c r="BQ62" s="2">
        <f>BP62+Z62+BN62</f>
        <v/>
      </c>
      <c r="BR62" s="2">
        <f>W62+AW62</f>
        <v/>
      </c>
      <c r="BS62" s="2">
        <f>X62+AX62</f>
        <v/>
      </c>
      <c r="BT62" s="2">
        <f>Y62+AY62</f>
        <v/>
      </c>
      <c r="BU62" s="2">
        <f>AG62+AK62+AO62+BR62+BS62+BT62</f>
        <v/>
      </c>
      <c r="BV62" s="2">
        <f>K62-AG62</f>
        <v/>
      </c>
      <c r="BW62" s="2">
        <f>M62-AK62</f>
        <v/>
      </c>
      <c r="BX62" s="2">
        <f>O62-AO62</f>
        <v/>
      </c>
      <c r="BY62" s="2">
        <f>C62-AE62</f>
        <v/>
      </c>
      <c r="BZ62" s="8">
        <f>AE62+BU62+BQ62+(BO62-Q62)-Pool!BW62</f>
        <v/>
      </c>
    </row>
    <row r="63">
      <c r="A63" s="7" t="n">
        <v>58</v>
      </c>
      <c r="B63" s="2">
        <f>Inputs!$B$51/12*Pool!BK63</f>
        <v/>
      </c>
      <c r="C63" s="2">
        <f>B63+BY62</f>
        <v/>
      </c>
      <c r="D63" s="2">
        <f>BH62</f>
        <v/>
      </c>
      <c r="E63" s="2">
        <f>BI62</f>
        <v/>
      </c>
      <c r="F63" s="2">
        <f>BJ62</f>
        <v/>
      </c>
      <c r="G63" s="3">
        <f>MAX(0,Pool!B63+Inputs!$B$42)</f>
        <v/>
      </c>
      <c r="H63" s="3">
        <f>MAX(0,Pool!B63+Inputs!$B$43)</f>
        <v/>
      </c>
      <c r="I63" s="3">
        <f>Inputs!$B$44</f>
        <v/>
      </c>
      <c r="J63" s="2">
        <f>D63*G63/12</f>
        <v/>
      </c>
      <c r="K63" s="2">
        <f>J63+BV62</f>
        <v/>
      </c>
      <c r="L63" s="2">
        <f>E63*H63/12</f>
        <v/>
      </c>
      <c r="M63" s="2">
        <f>L63+BW62</f>
        <v/>
      </c>
      <c r="N63" s="2">
        <f>F63*I63/12</f>
        <v/>
      </c>
      <c r="O63" s="2">
        <f>N63+BX62</f>
        <v/>
      </c>
      <c r="P63" s="2">
        <f>Pool!BM63</f>
        <v/>
      </c>
      <c r="Q63" s="2">
        <f>BO62</f>
        <v/>
      </c>
      <c r="R63" s="2">
        <f>MIN(Q63,MAX(0,C63+K63+M63-P63))</f>
        <v/>
      </c>
      <c r="S63" s="2">
        <f>P63+R63</f>
        <v/>
      </c>
      <c r="T63" s="2">
        <f>Pool!BN63+Pool!BO63+Pool!BQ63</f>
        <v/>
      </c>
      <c r="U63" s="7">
        <f>IF(OR(Inputs!$B$53=1,Tests!M62=1),1,0)</f>
        <v/>
      </c>
      <c r="V63" s="2">
        <f>D63+E63+F63</f>
        <v/>
      </c>
      <c r="W63" s="2">
        <f>IF(U63=1,MIN(D63,T63),IF(V63&lt;=0,0,MIN(T63,V63)*D63/V63))</f>
        <v/>
      </c>
      <c r="X63" s="2">
        <f>IF(U63=1,MIN(E63,T63-W63),IF(V63&lt;=0,0,MIN(T63,V63)*E63/V63))</f>
        <v/>
      </c>
      <c r="Y63" s="2">
        <f>IF(U63=1,MIN(F63,T63-W63-X63),IF(V63&lt;=0,0,MIN(T63,V63)*F63/V63))</f>
        <v/>
      </c>
      <c r="Z63" s="2">
        <f>T63-W63-X63-Y63</f>
        <v/>
      </c>
      <c r="AA63" s="2">
        <f>D63-W63</f>
        <v/>
      </c>
      <c r="AB63" s="2">
        <f>E63-X63</f>
        <v/>
      </c>
      <c r="AC63" s="2">
        <f>F63-Y63</f>
        <v/>
      </c>
      <c r="AD63" s="2">
        <f>AA63+AB63+AC63</f>
        <v/>
      </c>
      <c r="AE63" s="2">
        <f>MIN(C63,S63)</f>
        <v/>
      </c>
      <c r="AF63" s="2">
        <f>S63-AE63</f>
        <v/>
      </c>
      <c r="AG63" s="2">
        <f>MIN(K63,AF63)</f>
        <v/>
      </c>
      <c r="AH63" s="2">
        <f>AF63-AG63</f>
        <v/>
      </c>
      <c r="AI63" s="2">
        <f>IF(Tests!F63=1,MIN(AH63,AD63),0)</f>
        <v/>
      </c>
      <c r="AJ63" s="2">
        <f>AH63-AI63</f>
        <v/>
      </c>
      <c r="AK63" s="2">
        <f>MIN(M63,AJ63)</f>
        <v/>
      </c>
      <c r="AL63" s="2">
        <f>AJ63-AK63</f>
        <v/>
      </c>
      <c r="AM63" s="2">
        <f>IF(Tests!I63=1,MIN(AL63,AD63-AI63),0)</f>
        <v/>
      </c>
      <c r="AN63" s="2">
        <f>AL63-AM63</f>
        <v/>
      </c>
      <c r="AO63" s="2">
        <f>MIN(O63,AN63)</f>
        <v/>
      </c>
      <c r="AP63" s="2">
        <f>AN63-AO63</f>
        <v/>
      </c>
      <c r="AQ63" s="2">
        <f>IF(Tests!L63=1,MIN(AP63,AD63-AI63-AM63),0)</f>
        <v/>
      </c>
      <c r="AR63" s="2">
        <f>AP63-AQ63</f>
        <v/>
      </c>
      <c r="AS63" s="2">
        <f>MAX(0,AD63-AI63-AM63-AQ63-Pool!BV63)</f>
        <v/>
      </c>
      <c r="AT63" s="2">
        <f>MIN(AR63,AS63)</f>
        <v/>
      </c>
      <c r="AU63" s="2">
        <f>AR63-AT63</f>
        <v/>
      </c>
      <c r="AV63" s="2">
        <f>AI63+AM63+AQ63+AT63</f>
        <v/>
      </c>
      <c r="AW63" s="2">
        <f>MIN(AA63,AV63)</f>
        <v/>
      </c>
      <c r="AX63" s="2">
        <f>MIN(AB63,AV63-AW63)</f>
        <v/>
      </c>
      <c r="AY63" s="2">
        <f>MIN(AC63,AV63-AW63-AX63)</f>
        <v/>
      </c>
      <c r="AZ63" s="2">
        <f>AA63-AW63</f>
        <v/>
      </c>
      <c r="BA63" s="2">
        <f>AB63-AX63</f>
        <v/>
      </c>
      <c r="BB63" s="2">
        <f>AC63-AY63</f>
        <v/>
      </c>
      <c r="BC63" s="2">
        <f>AZ63+BA63+BB63</f>
        <v/>
      </c>
      <c r="BD63" s="2">
        <f>MAX(0,BC63-Pool!BV63)</f>
        <v/>
      </c>
      <c r="BE63" s="2">
        <f>MIN(BB63,BD63)</f>
        <v/>
      </c>
      <c r="BF63" s="2">
        <f>MIN(BA63,BD63-BE63)</f>
        <v/>
      </c>
      <c r="BG63" s="2">
        <f>MIN(AZ63,BD63-BE63-BF63)</f>
        <v/>
      </c>
      <c r="BH63" s="2">
        <f>AZ63-BG63</f>
        <v/>
      </c>
      <c r="BI63" s="2">
        <f>BA63-BF63</f>
        <v/>
      </c>
      <c r="BJ63" s="2">
        <f>BB63-BE63</f>
        <v/>
      </c>
      <c r="BK63" s="7">
        <f>IF(BH63+BI63+BJ63&lt;0.005,1,0)</f>
        <v/>
      </c>
      <c r="BL63" s="2">
        <f>Q63-R63</f>
        <v/>
      </c>
      <c r="BM63" s="2">
        <f>IF(BK63=1,0,MIN(AU63,MAX(0,Inputs!$B$48-BL63)))</f>
        <v/>
      </c>
      <c r="BN63" s="2">
        <f>IF(BK63=1,BL63,0)</f>
        <v/>
      </c>
      <c r="BO63" s="2">
        <f>BL63+BM63-BN63</f>
        <v/>
      </c>
      <c r="BP63" s="2">
        <f>AU63-BM63</f>
        <v/>
      </c>
      <c r="BQ63" s="2">
        <f>BP63+Z63+BN63</f>
        <v/>
      </c>
      <c r="BR63" s="2">
        <f>W63+AW63</f>
        <v/>
      </c>
      <c r="BS63" s="2">
        <f>X63+AX63</f>
        <v/>
      </c>
      <c r="BT63" s="2">
        <f>Y63+AY63</f>
        <v/>
      </c>
      <c r="BU63" s="2">
        <f>AG63+AK63+AO63+BR63+BS63+BT63</f>
        <v/>
      </c>
      <c r="BV63" s="2">
        <f>K63-AG63</f>
        <v/>
      </c>
      <c r="BW63" s="2">
        <f>M63-AK63</f>
        <v/>
      </c>
      <c r="BX63" s="2">
        <f>O63-AO63</f>
        <v/>
      </c>
      <c r="BY63" s="2">
        <f>C63-AE63</f>
        <v/>
      </c>
      <c r="BZ63" s="8">
        <f>AE63+BU63+BQ63+(BO63-Q63)-Pool!BW63</f>
        <v/>
      </c>
    </row>
    <row r="64">
      <c r="A64" s="7" t="n">
        <v>59</v>
      </c>
      <c r="B64" s="2">
        <f>Inputs!$B$51/12*Pool!BK64</f>
        <v/>
      </c>
      <c r="C64" s="2">
        <f>B64+BY63</f>
        <v/>
      </c>
      <c r="D64" s="2">
        <f>BH63</f>
        <v/>
      </c>
      <c r="E64" s="2">
        <f>BI63</f>
        <v/>
      </c>
      <c r="F64" s="2">
        <f>BJ63</f>
        <v/>
      </c>
      <c r="G64" s="3">
        <f>MAX(0,Pool!B64+Inputs!$B$42)</f>
        <v/>
      </c>
      <c r="H64" s="3">
        <f>MAX(0,Pool!B64+Inputs!$B$43)</f>
        <v/>
      </c>
      <c r="I64" s="3">
        <f>Inputs!$B$44</f>
        <v/>
      </c>
      <c r="J64" s="2">
        <f>D64*G64/12</f>
        <v/>
      </c>
      <c r="K64" s="2">
        <f>J64+BV63</f>
        <v/>
      </c>
      <c r="L64" s="2">
        <f>E64*H64/12</f>
        <v/>
      </c>
      <c r="M64" s="2">
        <f>L64+BW63</f>
        <v/>
      </c>
      <c r="N64" s="2">
        <f>F64*I64/12</f>
        <v/>
      </c>
      <c r="O64" s="2">
        <f>N64+BX63</f>
        <v/>
      </c>
      <c r="P64" s="2">
        <f>Pool!BM64</f>
        <v/>
      </c>
      <c r="Q64" s="2">
        <f>BO63</f>
        <v/>
      </c>
      <c r="R64" s="2">
        <f>MIN(Q64,MAX(0,C64+K64+M64-P64))</f>
        <v/>
      </c>
      <c r="S64" s="2">
        <f>P64+R64</f>
        <v/>
      </c>
      <c r="T64" s="2">
        <f>Pool!BN64+Pool!BO64+Pool!BQ64</f>
        <v/>
      </c>
      <c r="U64" s="7">
        <f>IF(OR(Inputs!$B$53=1,Tests!M63=1),1,0)</f>
        <v/>
      </c>
      <c r="V64" s="2">
        <f>D64+E64+F64</f>
        <v/>
      </c>
      <c r="W64" s="2">
        <f>IF(U64=1,MIN(D64,T64),IF(V64&lt;=0,0,MIN(T64,V64)*D64/V64))</f>
        <v/>
      </c>
      <c r="X64" s="2">
        <f>IF(U64=1,MIN(E64,T64-W64),IF(V64&lt;=0,0,MIN(T64,V64)*E64/V64))</f>
        <v/>
      </c>
      <c r="Y64" s="2">
        <f>IF(U64=1,MIN(F64,T64-W64-X64),IF(V64&lt;=0,0,MIN(T64,V64)*F64/V64))</f>
        <v/>
      </c>
      <c r="Z64" s="2">
        <f>T64-W64-X64-Y64</f>
        <v/>
      </c>
      <c r="AA64" s="2">
        <f>D64-W64</f>
        <v/>
      </c>
      <c r="AB64" s="2">
        <f>E64-X64</f>
        <v/>
      </c>
      <c r="AC64" s="2">
        <f>F64-Y64</f>
        <v/>
      </c>
      <c r="AD64" s="2">
        <f>AA64+AB64+AC64</f>
        <v/>
      </c>
      <c r="AE64" s="2">
        <f>MIN(C64,S64)</f>
        <v/>
      </c>
      <c r="AF64" s="2">
        <f>S64-AE64</f>
        <v/>
      </c>
      <c r="AG64" s="2">
        <f>MIN(K64,AF64)</f>
        <v/>
      </c>
      <c r="AH64" s="2">
        <f>AF64-AG64</f>
        <v/>
      </c>
      <c r="AI64" s="2">
        <f>IF(Tests!F64=1,MIN(AH64,AD64),0)</f>
        <v/>
      </c>
      <c r="AJ64" s="2">
        <f>AH64-AI64</f>
        <v/>
      </c>
      <c r="AK64" s="2">
        <f>MIN(M64,AJ64)</f>
        <v/>
      </c>
      <c r="AL64" s="2">
        <f>AJ64-AK64</f>
        <v/>
      </c>
      <c r="AM64" s="2">
        <f>IF(Tests!I64=1,MIN(AL64,AD64-AI64),0)</f>
        <v/>
      </c>
      <c r="AN64" s="2">
        <f>AL64-AM64</f>
        <v/>
      </c>
      <c r="AO64" s="2">
        <f>MIN(O64,AN64)</f>
        <v/>
      </c>
      <c r="AP64" s="2">
        <f>AN64-AO64</f>
        <v/>
      </c>
      <c r="AQ64" s="2">
        <f>IF(Tests!L64=1,MIN(AP64,AD64-AI64-AM64),0)</f>
        <v/>
      </c>
      <c r="AR64" s="2">
        <f>AP64-AQ64</f>
        <v/>
      </c>
      <c r="AS64" s="2">
        <f>MAX(0,AD64-AI64-AM64-AQ64-Pool!BV64)</f>
        <v/>
      </c>
      <c r="AT64" s="2">
        <f>MIN(AR64,AS64)</f>
        <v/>
      </c>
      <c r="AU64" s="2">
        <f>AR64-AT64</f>
        <v/>
      </c>
      <c r="AV64" s="2">
        <f>AI64+AM64+AQ64+AT64</f>
        <v/>
      </c>
      <c r="AW64" s="2">
        <f>MIN(AA64,AV64)</f>
        <v/>
      </c>
      <c r="AX64" s="2">
        <f>MIN(AB64,AV64-AW64)</f>
        <v/>
      </c>
      <c r="AY64" s="2">
        <f>MIN(AC64,AV64-AW64-AX64)</f>
        <v/>
      </c>
      <c r="AZ64" s="2">
        <f>AA64-AW64</f>
        <v/>
      </c>
      <c r="BA64" s="2">
        <f>AB64-AX64</f>
        <v/>
      </c>
      <c r="BB64" s="2">
        <f>AC64-AY64</f>
        <v/>
      </c>
      <c r="BC64" s="2">
        <f>AZ64+BA64+BB64</f>
        <v/>
      </c>
      <c r="BD64" s="2">
        <f>MAX(0,BC64-Pool!BV64)</f>
        <v/>
      </c>
      <c r="BE64" s="2">
        <f>MIN(BB64,BD64)</f>
        <v/>
      </c>
      <c r="BF64" s="2">
        <f>MIN(BA64,BD64-BE64)</f>
        <v/>
      </c>
      <c r="BG64" s="2">
        <f>MIN(AZ64,BD64-BE64-BF64)</f>
        <v/>
      </c>
      <c r="BH64" s="2">
        <f>AZ64-BG64</f>
        <v/>
      </c>
      <c r="BI64" s="2">
        <f>BA64-BF64</f>
        <v/>
      </c>
      <c r="BJ64" s="2">
        <f>BB64-BE64</f>
        <v/>
      </c>
      <c r="BK64" s="7">
        <f>IF(BH64+BI64+BJ64&lt;0.005,1,0)</f>
        <v/>
      </c>
      <c r="BL64" s="2">
        <f>Q64-R64</f>
        <v/>
      </c>
      <c r="BM64" s="2">
        <f>IF(BK64=1,0,MIN(AU64,MAX(0,Inputs!$B$48-BL64)))</f>
        <v/>
      </c>
      <c r="BN64" s="2">
        <f>IF(BK64=1,BL64,0)</f>
        <v/>
      </c>
      <c r="BO64" s="2">
        <f>BL64+BM64-BN64</f>
        <v/>
      </c>
      <c r="BP64" s="2">
        <f>AU64-BM64</f>
        <v/>
      </c>
      <c r="BQ64" s="2">
        <f>BP64+Z64+BN64</f>
        <v/>
      </c>
      <c r="BR64" s="2">
        <f>W64+AW64</f>
        <v/>
      </c>
      <c r="BS64" s="2">
        <f>X64+AX64</f>
        <v/>
      </c>
      <c r="BT64" s="2">
        <f>Y64+AY64</f>
        <v/>
      </c>
      <c r="BU64" s="2">
        <f>AG64+AK64+AO64+BR64+BS64+BT64</f>
        <v/>
      </c>
      <c r="BV64" s="2">
        <f>K64-AG64</f>
        <v/>
      </c>
      <c r="BW64" s="2">
        <f>M64-AK64</f>
        <v/>
      </c>
      <c r="BX64" s="2">
        <f>O64-AO64</f>
        <v/>
      </c>
      <c r="BY64" s="2">
        <f>C64-AE64</f>
        <v/>
      </c>
      <c r="BZ64" s="8">
        <f>AE64+BU64+BQ64+(BO64-Q64)-Pool!BW64</f>
        <v/>
      </c>
    </row>
    <row r="65">
      <c r="A65" s="7" t="n">
        <v>60</v>
      </c>
      <c r="B65" s="2">
        <f>Inputs!$B$51/12*Pool!BK65</f>
        <v/>
      </c>
      <c r="C65" s="2">
        <f>B65+BY64</f>
        <v/>
      </c>
      <c r="D65" s="2">
        <f>BH64</f>
        <v/>
      </c>
      <c r="E65" s="2">
        <f>BI64</f>
        <v/>
      </c>
      <c r="F65" s="2">
        <f>BJ64</f>
        <v/>
      </c>
      <c r="G65" s="3">
        <f>MAX(0,Pool!B65+Inputs!$B$42)</f>
        <v/>
      </c>
      <c r="H65" s="3">
        <f>MAX(0,Pool!B65+Inputs!$B$43)</f>
        <v/>
      </c>
      <c r="I65" s="3">
        <f>Inputs!$B$44</f>
        <v/>
      </c>
      <c r="J65" s="2">
        <f>D65*G65/12</f>
        <v/>
      </c>
      <c r="K65" s="2">
        <f>J65+BV64</f>
        <v/>
      </c>
      <c r="L65" s="2">
        <f>E65*H65/12</f>
        <v/>
      </c>
      <c r="M65" s="2">
        <f>L65+BW64</f>
        <v/>
      </c>
      <c r="N65" s="2">
        <f>F65*I65/12</f>
        <v/>
      </c>
      <c r="O65" s="2">
        <f>N65+BX64</f>
        <v/>
      </c>
      <c r="P65" s="2">
        <f>Pool!BM65</f>
        <v/>
      </c>
      <c r="Q65" s="2">
        <f>BO64</f>
        <v/>
      </c>
      <c r="R65" s="2">
        <f>MIN(Q65,MAX(0,C65+K65+M65-P65))</f>
        <v/>
      </c>
      <c r="S65" s="2">
        <f>P65+R65</f>
        <v/>
      </c>
      <c r="T65" s="2">
        <f>Pool!BN65+Pool!BO65+Pool!BQ65</f>
        <v/>
      </c>
      <c r="U65" s="7">
        <f>IF(OR(Inputs!$B$53=1,Tests!M64=1),1,0)</f>
        <v/>
      </c>
      <c r="V65" s="2">
        <f>D65+E65+F65</f>
        <v/>
      </c>
      <c r="W65" s="2">
        <f>IF(U65=1,MIN(D65,T65),IF(V65&lt;=0,0,MIN(T65,V65)*D65/V65))</f>
        <v/>
      </c>
      <c r="X65" s="2">
        <f>IF(U65=1,MIN(E65,T65-W65),IF(V65&lt;=0,0,MIN(T65,V65)*E65/V65))</f>
        <v/>
      </c>
      <c r="Y65" s="2">
        <f>IF(U65=1,MIN(F65,T65-W65-X65),IF(V65&lt;=0,0,MIN(T65,V65)*F65/V65))</f>
        <v/>
      </c>
      <c r="Z65" s="2">
        <f>T65-W65-X65-Y65</f>
        <v/>
      </c>
      <c r="AA65" s="2">
        <f>D65-W65</f>
        <v/>
      </c>
      <c r="AB65" s="2">
        <f>E65-X65</f>
        <v/>
      </c>
      <c r="AC65" s="2">
        <f>F65-Y65</f>
        <v/>
      </c>
      <c r="AD65" s="2">
        <f>AA65+AB65+AC65</f>
        <v/>
      </c>
      <c r="AE65" s="2">
        <f>MIN(C65,S65)</f>
        <v/>
      </c>
      <c r="AF65" s="2">
        <f>S65-AE65</f>
        <v/>
      </c>
      <c r="AG65" s="2">
        <f>MIN(K65,AF65)</f>
        <v/>
      </c>
      <c r="AH65" s="2">
        <f>AF65-AG65</f>
        <v/>
      </c>
      <c r="AI65" s="2">
        <f>IF(Tests!F65=1,MIN(AH65,AD65),0)</f>
        <v/>
      </c>
      <c r="AJ65" s="2">
        <f>AH65-AI65</f>
        <v/>
      </c>
      <c r="AK65" s="2">
        <f>MIN(M65,AJ65)</f>
        <v/>
      </c>
      <c r="AL65" s="2">
        <f>AJ65-AK65</f>
        <v/>
      </c>
      <c r="AM65" s="2">
        <f>IF(Tests!I65=1,MIN(AL65,AD65-AI65),0)</f>
        <v/>
      </c>
      <c r="AN65" s="2">
        <f>AL65-AM65</f>
        <v/>
      </c>
      <c r="AO65" s="2">
        <f>MIN(O65,AN65)</f>
        <v/>
      </c>
      <c r="AP65" s="2">
        <f>AN65-AO65</f>
        <v/>
      </c>
      <c r="AQ65" s="2">
        <f>IF(Tests!L65=1,MIN(AP65,AD65-AI65-AM65),0)</f>
        <v/>
      </c>
      <c r="AR65" s="2">
        <f>AP65-AQ65</f>
        <v/>
      </c>
      <c r="AS65" s="2">
        <f>MAX(0,AD65-AI65-AM65-AQ65-Pool!BV65)</f>
        <v/>
      </c>
      <c r="AT65" s="2">
        <f>MIN(AR65,AS65)</f>
        <v/>
      </c>
      <c r="AU65" s="2">
        <f>AR65-AT65</f>
        <v/>
      </c>
      <c r="AV65" s="2">
        <f>AI65+AM65+AQ65+AT65</f>
        <v/>
      </c>
      <c r="AW65" s="2">
        <f>MIN(AA65,AV65)</f>
        <v/>
      </c>
      <c r="AX65" s="2">
        <f>MIN(AB65,AV65-AW65)</f>
        <v/>
      </c>
      <c r="AY65" s="2">
        <f>MIN(AC65,AV65-AW65-AX65)</f>
        <v/>
      </c>
      <c r="AZ65" s="2">
        <f>AA65-AW65</f>
        <v/>
      </c>
      <c r="BA65" s="2">
        <f>AB65-AX65</f>
        <v/>
      </c>
      <c r="BB65" s="2">
        <f>AC65-AY65</f>
        <v/>
      </c>
      <c r="BC65" s="2">
        <f>AZ65+BA65+BB65</f>
        <v/>
      </c>
      <c r="BD65" s="2">
        <f>MAX(0,BC65-Pool!BV65)</f>
        <v/>
      </c>
      <c r="BE65" s="2">
        <f>MIN(BB65,BD65)</f>
        <v/>
      </c>
      <c r="BF65" s="2">
        <f>MIN(BA65,BD65-BE65)</f>
        <v/>
      </c>
      <c r="BG65" s="2">
        <f>MIN(AZ65,BD65-BE65-BF65)</f>
        <v/>
      </c>
      <c r="BH65" s="2">
        <f>AZ65-BG65</f>
        <v/>
      </c>
      <c r="BI65" s="2">
        <f>BA65-BF65</f>
        <v/>
      </c>
      <c r="BJ65" s="2">
        <f>BB65-BE65</f>
        <v/>
      </c>
      <c r="BK65" s="7">
        <f>IF(BH65+BI65+BJ65&lt;0.005,1,0)</f>
        <v/>
      </c>
      <c r="BL65" s="2">
        <f>Q65-R65</f>
        <v/>
      </c>
      <c r="BM65" s="2">
        <f>IF(BK65=1,0,MIN(AU65,MAX(0,Inputs!$B$48-BL65)))</f>
        <v/>
      </c>
      <c r="BN65" s="2">
        <f>IF(BK65=1,BL65,0)</f>
        <v/>
      </c>
      <c r="BO65" s="2">
        <f>BL65+BM65-BN65</f>
        <v/>
      </c>
      <c r="BP65" s="2">
        <f>AU65-BM65</f>
        <v/>
      </c>
      <c r="BQ65" s="2">
        <f>BP65+Z65+BN65</f>
        <v/>
      </c>
      <c r="BR65" s="2">
        <f>W65+AW65</f>
        <v/>
      </c>
      <c r="BS65" s="2">
        <f>X65+AX65</f>
        <v/>
      </c>
      <c r="BT65" s="2">
        <f>Y65+AY65</f>
        <v/>
      </c>
      <c r="BU65" s="2">
        <f>AG65+AK65+AO65+BR65+BS65+BT65</f>
        <v/>
      </c>
      <c r="BV65" s="2">
        <f>K65-AG65</f>
        <v/>
      </c>
      <c r="BW65" s="2">
        <f>M65-AK65</f>
        <v/>
      </c>
      <c r="BX65" s="2">
        <f>O65-AO65</f>
        <v/>
      </c>
      <c r="BY65" s="2">
        <f>C65-AE65</f>
        <v/>
      </c>
      <c r="BZ65" s="8">
        <f>AE65+BU65+BQ65+(BO65-Q65)-Pool!BW65</f>
        <v/>
      </c>
    </row>
    <row r="66">
      <c r="A66" s="7" t="n">
        <v>61</v>
      </c>
      <c r="B66" s="2">
        <f>Inputs!$B$51/12*Pool!BK66</f>
        <v/>
      </c>
      <c r="C66" s="2">
        <f>B66+BY65</f>
        <v/>
      </c>
      <c r="D66" s="2">
        <f>BH65</f>
        <v/>
      </c>
      <c r="E66" s="2">
        <f>BI65</f>
        <v/>
      </c>
      <c r="F66" s="2">
        <f>BJ65</f>
        <v/>
      </c>
      <c r="G66" s="3">
        <f>MAX(0,Pool!B66+Inputs!$B$42)</f>
        <v/>
      </c>
      <c r="H66" s="3">
        <f>MAX(0,Pool!B66+Inputs!$B$43)</f>
        <v/>
      </c>
      <c r="I66" s="3">
        <f>Inputs!$B$44</f>
        <v/>
      </c>
      <c r="J66" s="2">
        <f>D66*G66/12</f>
        <v/>
      </c>
      <c r="K66" s="2">
        <f>J66+BV65</f>
        <v/>
      </c>
      <c r="L66" s="2">
        <f>E66*H66/12</f>
        <v/>
      </c>
      <c r="M66" s="2">
        <f>L66+BW65</f>
        <v/>
      </c>
      <c r="N66" s="2">
        <f>F66*I66/12</f>
        <v/>
      </c>
      <c r="O66" s="2">
        <f>N66+BX65</f>
        <v/>
      </c>
      <c r="P66" s="2">
        <f>Pool!BM66</f>
        <v/>
      </c>
      <c r="Q66" s="2">
        <f>BO65</f>
        <v/>
      </c>
      <c r="R66" s="2">
        <f>MIN(Q66,MAX(0,C66+K66+M66-P66))</f>
        <v/>
      </c>
      <c r="S66" s="2">
        <f>P66+R66</f>
        <v/>
      </c>
      <c r="T66" s="2">
        <f>Pool!BN66+Pool!BO66+Pool!BQ66</f>
        <v/>
      </c>
      <c r="U66" s="7">
        <f>IF(OR(Inputs!$B$53=1,Tests!M65=1),1,0)</f>
        <v/>
      </c>
      <c r="V66" s="2">
        <f>D66+E66+F66</f>
        <v/>
      </c>
      <c r="W66" s="2">
        <f>IF(U66=1,MIN(D66,T66),IF(V66&lt;=0,0,MIN(T66,V66)*D66/V66))</f>
        <v/>
      </c>
      <c r="X66" s="2">
        <f>IF(U66=1,MIN(E66,T66-W66),IF(V66&lt;=0,0,MIN(T66,V66)*E66/V66))</f>
        <v/>
      </c>
      <c r="Y66" s="2">
        <f>IF(U66=1,MIN(F66,T66-W66-X66),IF(V66&lt;=0,0,MIN(T66,V66)*F66/V66))</f>
        <v/>
      </c>
      <c r="Z66" s="2">
        <f>T66-W66-X66-Y66</f>
        <v/>
      </c>
      <c r="AA66" s="2">
        <f>D66-W66</f>
        <v/>
      </c>
      <c r="AB66" s="2">
        <f>E66-X66</f>
        <v/>
      </c>
      <c r="AC66" s="2">
        <f>F66-Y66</f>
        <v/>
      </c>
      <c r="AD66" s="2">
        <f>AA66+AB66+AC66</f>
        <v/>
      </c>
      <c r="AE66" s="2">
        <f>MIN(C66,S66)</f>
        <v/>
      </c>
      <c r="AF66" s="2">
        <f>S66-AE66</f>
        <v/>
      </c>
      <c r="AG66" s="2">
        <f>MIN(K66,AF66)</f>
        <v/>
      </c>
      <c r="AH66" s="2">
        <f>AF66-AG66</f>
        <v/>
      </c>
      <c r="AI66" s="2">
        <f>IF(Tests!F66=1,MIN(AH66,AD66),0)</f>
        <v/>
      </c>
      <c r="AJ66" s="2">
        <f>AH66-AI66</f>
        <v/>
      </c>
      <c r="AK66" s="2">
        <f>MIN(M66,AJ66)</f>
        <v/>
      </c>
      <c r="AL66" s="2">
        <f>AJ66-AK66</f>
        <v/>
      </c>
      <c r="AM66" s="2">
        <f>IF(Tests!I66=1,MIN(AL66,AD66-AI66),0)</f>
        <v/>
      </c>
      <c r="AN66" s="2">
        <f>AL66-AM66</f>
        <v/>
      </c>
      <c r="AO66" s="2">
        <f>MIN(O66,AN66)</f>
        <v/>
      </c>
      <c r="AP66" s="2">
        <f>AN66-AO66</f>
        <v/>
      </c>
      <c r="AQ66" s="2">
        <f>IF(Tests!L66=1,MIN(AP66,AD66-AI66-AM66),0)</f>
        <v/>
      </c>
      <c r="AR66" s="2">
        <f>AP66-AQ66</f>
        <v/>
      </c>
      <c r="AS66" s="2">
        <f>MAX(0,AD66-AI66-AM66-AQ66-Pool!BV66)</f>
        <v/>
      </c>
      <c r="AT66" s="2">
        <f>MIN(AR66,AS66)</f>
        <v/>
      </c>
      <c r="AU66" s="2">
        <f>AR66-AT66</f>
        <v/>
      </c>
      <c r="AV66" s="2">
        <f>AI66+AM66+AQ66+AT66</f>
        <v/>
      </c>
      <c r="AW66" s="2">
        <f>MIN(AA66,AV66)</f>
        <v/>
      </c>
      <c r="AX66" s="2">
        <f>MIN(AB66,AV66-AW66)</f>
        <v/>
      </c>
      <c r="AY66" s="2">
        <f>MIN(AC66,AV66-AW66-AX66)</f>
        <v/>
      </c>
      <c r="AZ66" s="2">
        <f>AA66-AW66</f>
        <v/>
      </c>
      <c r="BA66" s="2">
        <f>AB66-AX66</f>
        <v/>
      </c>
      <c r="BB66" s="2">
        <f>AC66-AY66</f>
        <v/>
      </c>
      <c r="BC66" s="2">
        <f>AZ66+BA66+BB66</f>
        <v/>
      </c>
      <c r="BD66" s="2">
        <f>MAX(0,BC66-Pool!BV66)</f>
        <v/>
      </c>
      <c r="BE66" s="2">
        <f>MIN(BB66,BD66)</f>
        <v/>
      </c>
      <c r="BF66" s="2">
        <f>MIN(BA66,BD66-BE66)</f>
        <v/>
      </c>
      <c r="BG66" s="2">
        <f>MIN(AZ66,BD66-BE66-BF66)</f>
        <v/>
      </c>
      <c r="BH66" s="2">
        <f>AZ66-BG66</f>
        <v/>
      </c>
      <c r="BI66" s="2">
        <f>BA66-BF66</f>
        <v/>
      </c>
      <c r="BJ66" s="2">
        <f>BB66-BE66</f>
        <v/>
      </c>
      <c r="BK66" s="7">
        <f>IF(BH66+BI66+BJ66&lt;0.005,1,0)</f>
        <v/>
      </c>
      <c r="BL66" s="2">
        <f>Q66-R66</f>
        <v/>
      </c>
      <c r="BM66" s="2">
        <f>IF(BK66=1,0,MIN(AU66,MAX(0,Inputs!$B$48-BL66)))</f>
        <v/>
      </c>
      <c r="BN66" s="2">
        <f>IF(BK66=1,BL66,0)</f>
        <v/>
      </c>
      <c r="BO66" s="2">
        <f>BL66+BM66-BN66</f>
        <v/>
      </c>
      <c r="BP66" s="2">
        <f>AU66-BM66</f>
        <v/>
      </c>
      <c r="BQ66" s="2">
        <f>BP66+Z66+BN66</f>
        <v/>
      </c>
      <c r="BR66" s="2">
        <f>W66+AW66</f>
        <v/>
      </c>
      <c r="BS66" s="2">
        <f>X66+AX66</f>
        <v/>
      </c>
      <c r="BT66" s="2">
        <f>Y66+AY66</f>
        <v/>
      </c>
      <c r="BU66" s="2">
        <f>AG66+AK66+AO66+BR66+BS66+BT66</f>
        <v/>
      </c>
      <c r="BV66" s="2">
        <f>K66-AG66</f>
        <v/>
      </c>
      <c r="BW66" s="2">
        <f>M66-AK66</f>
        <v/>
      </c>
      <c r="BX66" s="2">
        <f>O66-AO66</f>
        <v/>
      </c>
      <c r="BY66" s="2">
        <f>C66-AE66</f>
        <v/>
      </c>
      <c r="BZ66" s="8">
        <f>AE66+BU66+BQ66+(BO66-Q66)-Pool!BW66</f>
        <v/>
      </c>
    </row>
    <row r="67">
      <c r="A67" s="7" t="n">
        <v>62</v>
      </c>
      <c r="B67" s="2">
        <f>Inputs!$B$51/12*Pool!BK67</f>
        <v/>
      </c>
      <c r="C67" s="2">
        <f>B67+BY66</f>
        <v/>
      </c>
      <c r="D67" s="2">
        <f>BH66</f>
        <v/>
      </c>
      <c r="E67" s="2">
        <f>BI66</f>
        <v/>
      </c>
      <c r="F67" s="2">
        <f>BJ66</f>
        <v/>
      </c>
      <c r="G67" s="3">
        <f>MAX(0,Pool!B67+Inputs!$B$42)</f>
        <v/>
      </c>
      <c r="H67" s="3">
        <f>MAX(0,Pool!B67+Inputs!$B$43)</f>
        <v/>
      </c>
      <c r="I67" s="3">
        <f>Inputs!$B$44</f>
        <v/>
      </c>
      <c r="J67" s="2">
        <f>D67*G67/12</f>
        <v/>
      </c>
      <c r="K67" s="2">
        <f>J67+BV66</f>
        <v/>
      </c>
      <c r="L67" s="2">
        <f>E67*H67/12</f>
        <v/>
      </c>
      <c r="M67" s="2">
        <f>L67+BW66</f>
        <v/>
      </c>
      <c r="N67" s="2">
        <f>F67*I67/12</f>
        <v/>
      </c>
      <c r="O67" s="2">
        <f>N67+BX66</f>
        <v/>
      </c>
      <c r="P67" s="2">
        <f>Pool!BM67</f>
        <v/>
      </c>
      <c r="Q67" s="2">
        <f>BO66</f>
        <v/>
      </c>
      <c r="R67" s="2">
        <f>MIN(Q67,MAX(0,C67+K67+M67-P67))</f>
        <v/>
      </c>
      <c r="S67" s="2">
        <f>P67+R67</f>
        <v/>
      </c>
      <c r="T67" s="2">
        <f>Pool!BN67+Pool!BO67+Pool!BQ67</f>
        <v/>
      </c>
      <c r="U67" s="7">
        <f>IF(OR(Inputs!$B$53=1,Tests!M66=1),1,0)</f>
        <v/>
      </c>
      <c r="V67" s="2">
        <f>D67+E67+F67</f>
        <v/>
      </c>
      <c r="W67" s="2">
        <f>IF(U67=1,MIN(D67,T67),IF(V67&lt;=0,0,MIN(T67,V67)*D67/V67))</f>
        <v/>
      </c>
      <c r="X67" s="2">
        <f>IF(U67=1,MIN(E67,T67-W67),IF(V67&lt;=0,0,MIN(T67,V67)*E67/V67))</f>
        <v/>
      </c>
      <c r="Y67" s="2">
        <f>IF(U67=1,MIN(F67,T67-W67-X67),IF(V67&lt;=0,0,MIN(T67,V67)*F67/V67))</f>
        <v/>
      </c>
      <c r="Z67" s="2">
        <f>T67-W67-X67-Y67</f>
        <v/>
      </c>
      <c r="AA67" s="2">
        <f>D67-W67</f>
        <v/>
      </c>
      <c r="AB67" s="2">
        <f>E67-X67</f>
        <v/>
      </c>
      <c r="AC67" s="2">
        <f>F67-Y67</f>
        <v/>
      </c>
      <c r="AD67" s="2">
        <f>AA67+AB67+AC67</f>
        <v/>
      </c>
      <c r="AE67" s="2">
        <f>MIN(C67,S67)</f>
        <v/>
      </c>
      <c r="AF67" s="2">
        <f>S67-AE67</f>
        <v/>
      </c>
      <c r="AG67" s="2">
        <f>MIN(K67,AF67)</f>
        <v/>
      </c>
      <c r="AH67" s="2">
        <f>AF67-AG67</f>
        <v/>
      </c>
      <c r="AI67" s="2">
        <f>IF(Tests!F67=1,MIN(AH67,AD67),0)</f>
        <v/>
      </c>
      <c r="AJ67" s="2">
        <f>AH67-AI67</f>
        <v/>
      </c>
      <c r="AK67" s="2">
        <f>MIN(M67,AJ67)</f>
        <v/>
      </c>
      <c r="AL67" s="2">
        <f>AJ67-AK67</f>
        <v/>
      </c>
      <c r="AM67" s="2">
        <f>IF(Tests!I67=1,MIN(AL67,AD67-AI67),0)</f>
        <v/>
      </c>
      <c r="AN67" s="2">
        <f>AL67-AM67</f>
        <v/>
      </c>
      <c r="AO67" s="2">
        <f>MIN(O67,AN67)</f>
        <v/>
      </c>
      <c r="AP67" s="2">
        <f>AN67-AO67</f>
        <v/>
      </c>
      <c r="AQ67" s="2">
        <f>IF(Tests!L67=1,MIN(AP67,AD67-AI67-AM67),0)</f>
        <v/>
      </c>
      <c r="AR67" s="2">
        <f>AP67-AQ67</f>
        <v/>
      </c>
      <c r="AS67" s="2">
        <f>MAX(0,AD67-AI67-AM67-AQ67-Pool!BV67)</f>
        <v/>
      </c>
      <c r="AT67" s="2">
        <f>MIN(AR67,AS67)</f>
        <v/>
      </c>
      <c r="AU67" s="2">
        <f>AR67-AT67</f>
        <v/>
      </c>
      <c r="AV67" s="2">
        <f>AI67+AM67+AQ67+AT67</f>
        <v/>
      </c>
      <c r="AW67" s="2">
        <f>MIN(AA67,AV67)</f>
        <v/>
      </c>
      <c r="AX67" s="2">
        <f>MIN(AB67,AV67-AW67)</f>
        <v/>
      </c>
      <c r="AY67" s="2">
        <f>MIN(AC67,AV67-AW67-AX67)</f>
        <v/>
      </c>
      <c r="AZ67" s="2">
        <f>AA67-AW67</f>
        <v/>
      </c>
      <c r="BA67" s="2">
        <f>AB67-AX67</f>
        <v/>
      </c>
      <c r="BB67" s="2">
        <f>AC67-AY67</f>
        <v/>
      </c>
      <c r="BC67" s="2">
        <f>AZ67+BA67+BB67</f>
        <v/>
      </c>
      <c r="BD67" s="2">
        <f>MAX(0,BC67-Pool!BV67)</f>
        <v/>
      </c>
      <c r="BE67" s="2">
        <f>MIN(BB67,BD67)</f>
        <v/>
      </c>
      <c r="BF67" s="2">
        <f>MIN(BA67,BD67-BE67)</f>
        <v/>
      </c>
      <c r="BG67" s="2">
        <f>MIN(AZ67,BD67-BE67-BF67)</f>
        <v/>
      </c>
      <c r="BH67" s="2">
        <f>AZ67-BG67</f>
        <v/>
      </c>
      <c r="BI67" s="2">
        <f>BA67-BF67</f>
        <v/>
      </c>
      <c r="BJ67" s="2">
        <f>BB67-BE67</f>
        <v/>
      </c>
      <c r="BK67" s="7">
        <f>IF(BH67+BI67+BJ67&lt;0.005,1,0)</f>
        <v/>
      </c>
      <c r="BL67" s="2">
        <f>Q67-R67</f>
        <v/>
      </c>
      <c r="BM67" s="2">
        <f>IF(BK67=1,0,MIN(AU67,MAX(0,Inputs!$B$48-BL67)))</f>
        <v/>
      </c>
      <c r="BN67" s="2">
        <f>IF(BK67=1,BL67,0)</f>
        <v/>
      </c>
      <c r="BO67" s="2">
        <f>BL67+BM67-BN67</f>
        <v/>
      </c>
      <c r="BP67" s="2">
        <f>AU67-BM67</f>
        <v/>
      </c>
      <c r="BQ67" s="2">
        <f>BP67+Z67+BN67</f>
        <v/>
      </c>
      <c r="BR67" s="2">
        <f>W67+AW67</f>
        <v/>
      </c>
      <c r="BS67" s="2">
        <f>X67+AX67</f>
        <v/>
      </c>
      <c r="BT67" s="2">
        <f>Y67+AY67</f>
        <v/>
      </c>
      <c r="BU67" s="2">
        <f>AG67+AK67+AO67+BR67+BS67+BT67</f>
        <v/>
      </c>
      <c r="BV67" s="2">
        <f>K67-AG67</f>
        <v/>
      </c>
      <c r="BW67" s="2">
        <f>M67-AK67</f>
        <v/>
      </c>
      <c r="BX67" s="2">
        <f>O67-AO67</f>
        <v/>
      </c>
      <c r="BY67" s="2">
        <f>C67-AE67</f>
        <v/>
      </c>
      <c r="BZ67" s="8">
        <f>AE67+BU67+BQ67+(BO67-Q67)-Pool!BW67</f>
        <v/>
      </c>
    </row>
    <row r="68">
      <c r="A68" s="7" t="n">
        <v>63</v>
      </c>
      <c r="B68" s="2">
        <f>Inputs!$B$51/12*Pool!BK68</f>
        <v/>
      </c>
      <c r="C68" s="2">
        <f>B68+BY67</f>
        <v/>
      </c>
      <c r="D68" s="2">
        <f>BH67</f>
        <v/>
      </c>
      <c r="E68" s="2">
        <f>BI67</f>
        <v/>
      </c>
      <c r="F68" s="2">
        <f>BJ67</f>
        <v/>
      </c>
      <c r="G68" s="3">
        <f>MAX(0,Pool!B68+Inputs!$B$42)</f>
        <v/>
      </c>
      <c r="H68" s="3">
        <f>MAX(0,Pool!B68+Inputs!$B$43)</f>
        <v/>
      </c>
      <c r="I68" s="3">
        <f>Inputs!$B$44</f>
        <v/>
      </c>
      <c r="J68" s="2">
        <f>D68*G68/12</f>
        <v/>
      </c>
      <c r="K68" s="2">
        <f>J68+BV67</f>
        <v/>
      </c>
      <c r="L68" s="2">
        <f>E68*H68/12</f>
        <v/>
      </c>
      <c r="M68" s="2">
        <f>L68+BW67</f>
        <v/>
      </c>
      <c r="N68" s="2">
        <f>F68*I68/12</f>
        <v/>
      </c>
      <c r="O68" s="2">
        <f>N68+BX67</f>
        <v/>
      </c>
      <c r="P68" s="2">
        <f>Pool!BM68</f>
        <v/>
      </c>
      <c r="Q68" s="2">
        <f>BO67</f>
        <v/>
      </c>
      <c r="R68" s="2">
        <f>MIN(Q68,MAX(0,C68+K68+M68-P68))</f>
        <v/>
      </c>
      <c r="S68" s="2">
        <f>P68+R68</f>
        <v/>
      </c>
      <c r="T68" s="2">
        <f>Pool!BN68+Pool!BO68+Pool!BQ68</f>
        <v/>
      </c>
      <c r="U68" s="7">
        <f>IF(OR(Inputs!$B$53=1,Tests!M67=1),1,0)</f>
        <v/>
      </c>
      <c r="V68" s="2">
        <f>D68+E68+F68</f>
        <v/>
      </c>
      <c r="W68" s="2">
        <f>IF(U68=1,MIN(D68,T68),IF(V68&lt;=0,0,MIN(T68,V68)*D68/V68))</f>
        <v/>
      </c>
      <c r="X68" s="2">
        <f>IF(U68=1,MIN(E68,T68-W68),IF(V68&lt;=0,0,MIN(T68,V68)*E68/V68))</f>
        <v/>
      </c>
      <c r="Y68" s="2">
        <f>IF(U68=1,MIN(F68,T68-W68-X68),IF(V68&lt;=0,0,MIN(T68,V68)*F68/V68))</f>
        <v/>
      </c>
      <c r="Z68" s="2">
        <f>T68-W68-X68-Y68</f>
        <v/>
      </c>
      <c r="AA68" s="2">
        <f>D68-W68</f>
        <v/>
      </c>
      <c r="AB68" s="2">
        <f>E68-X68</f>
        <v/>
      </c>
      <c r="AC68" s="2">
        <f>F68-Y68</f>
        <v/>
      </c>
      <c r="AD68" s="2">
        <f>AA68+AB68+AC68</f>
        <v/>
      </c>
      <c r="AE68" s="2">
        <f>MIN(C68,S68)</f>
        <v/>
      </c>
      <c r="AF68" s="2">
        <f>S68-AE68</f>
        <v/>
      </c>
      <c r="AG68" s="2">
        <f>MIN(K68,AF68)</f>
        <v/>
      </c>
      <c r="AH68" s="2">
        <f>AF68-AG68</f>
        <v/>
      </c>
      <c r="AI68" s="2">
        <f>IF(Tests!F68=1,MIN(AH68,AD68),0)</f>
        <v/>
      </c>
      <c r="AJ68" s="2">
        <f>AH68-AI68</f>
        <v/>
      </c>
      <c r="AK68" s="2">
        <f>MIN(M68,AJ68)</f>
        <v/>
      </c>
      <c r="AL68" s="2">
        <f>AJ68-AK68</f>
        <v/>
      </c>
      <c r="AM68" s="2">
        <f>IF(Tests!I68=1,MIN(AL68,AD68-AI68),0)</f>
        <v/>
      </c>
      <c r="AN68" s="2">
        <f>AL68-AM68</f>
        <v/>
      </c>
      <c r="AO68" s="2">
        <f>MIN(O68,AN68)</f>
        <v/>
      </c>
      <c r="AP68" s="2">
        <f>AN68-AO68</f>
        <v/>
      </c>
      <c r="AQ68" s="2">
        <f>IF(Tests!L68=1,MIN(AP68,AD68-AI68-AM68),0)</f>
        <v/>
      </c>
      <c r="AR68" s="2">
        <f>AP68-AQ68</f>
        <v/>
      </c>
      <c r="AS68" s="2">
        <f>MAX(0,AD68-AI68-AM68-AQ68-Pool!BV68)</f>
        <v/>
      </c>
      <c r="AT68" s="2">
        <f>MIN(AR68,AS68)</f>
        <v/>
      </c>
      <c r="AU68" s="2">
        <f>AR68-AT68</f>
        <v/>
      </c>
      <c r="AV68" s="2">
        <f>AI68+AM68+AQ68+AT68</f>
        <v/>
      </c>
      <c r="AW68" s="2">
        <f>MIN(AA68,AV68)</f>
        <v/>
      </c>
      <c r="AX68" s="2">
        <f>MIN(AB68,AV68-AW68)</f>
        <v/>
      </c>
      <c r="AY68" s="2">
        <f>MIN(AC68,AV68-AW68-AX68)</f>
        <v/>
      </c>
      <c r="AZ68" s="2">
        <f>AA68-AW68</f>
        <v/>
      </c>
      <c r="BA68" s="2">
        <f>AB68-AX68</f>
        <v/>
      </c>
      <c r="BB68" s="2">
        <f>AC68-AY68</f>
        <v/>
      </c>
      <c r="BC68" s="2">
        <f>AZ68+BA68+BB68</f>
        <v/>
      </c>
      <c r="BD68" s="2">
        <f>MAX(0,BC68-Pool!BV68)</f>
        <v/>
      </c>
      <c r="BE68" s="2">
        <f>MIN(BB68,BD68)</f>
        <v/>
      </c>
      <c r="BF68" s="2">
        <f>MIN(BA68,BD68-BE68)</f>
        <v/>
      </c>
      <c r="BG68" s="2">
        <f>MIN(AZ68,BD68-BE68-BF68)</f>
        <v/>
      </c>
      <c r="BH68" s="2">
        <f>AZ68-BG68</f>
        <v/>
      </c>
      <c r="BI68" s="2">
        <f>BA68-BF68</f>
        <v/>
      </c>
      <c r="BJ68" s="2">
        <f>BB68-BE68</f>
        <v/>
      </c>
      <c r="BK68" s="7">
        <f>IF(BH68+BI68+BJ68&lt;0.005,1,0)</f>
        <v/>
      </c>
      <c r="BL68" s="2">
        <f>Q68-R68</f>
        <v/>
      </c>
      <c r="BM68" s="2">
        <f>IF(BK68=1,0,MIN(AU68,MAX(0,Inputs!$B$48-BL68)))</f>
        <v/>
      </c>
      <c r="BN68" s="2">
        <f>IF(BK68=1,BL68,0)</f>
        <v/>
      </c>
      <c r="BO68" s="2">
        <f>BL68+BM68-BN68</f>
        <v/>
      </c>
      <c r="BP68" s="2">
        <f>AU68-BM68</f>
        <v/>
      </c>
      <c r="BQ68" s="2">
        <f>BP68+Z68+BN68</f>
        <v/>
      </c>
      <c r="BR68" s="2">
        <f>W68+AW68</f>
        <v/>
      </c>
      <c r="BS68" s="2">
        <f>X68+AX68</f>
        <v/>
      </c>
      <c r="BT68" s="2">
        <f>Y68+AY68</f>
        <v/>
      </c>
      <c r="BU68" s="2">
        <f>AG68+AK68+AO68+BR68+BS68+BT68</f>
        <v/>
      </c>
      <c r="BV68" s="2">
        <f>K68-AG68</f>
        <v/>
      </c>
      <c r="BW68" s="2">
        <f>M68-AK68</f>
        <v/>
      </c>
      <c r="BX68" s="2">
        <f>O68-AO68</f>
        <v/>
      </c>
      <c r="BY68" s="2">
        <f>C68-AE68</f>
        <v/>
      </c>
      <c r="BZ68" s="8">
        <f>AE68+BU68+BQ68+(BO68-Q68)-Pool!BW68</f>
        <v/>
      </c>
    </row>
    <row r="69">
      <c r="A69" s="7" t="n">
        <v>64</v>
      </c>
      <c r="B69" s="2">
        <f>Inputs!$B$51/12*Pool!BK69</f>
        <v/>
      </c>
      <c r="C69" s="2">
        <f>B69+BY68</f>
        <v/>
      </c>
      <c r="D69" s="2">
        <f>BH68</f>
        <v/>
      </c>
      <c r="E69" s="2">
        <f>BI68</f>
        <v/>
      </c>
      <c r="F69" s="2">
        <f>BJ68</f>
        <v/>
      </c>
      <c r="G69" s="3">
        <f>MAX(0,Pool!B69+Inputs!$B$42)</f>
        <v/>
      </c>
      <c r="H69" s="3">
        <f>MAX(0,Pool!B69+Inputs!$B$43)</f>
        <v/>
      </c>
      <c r="I69" s="3">
        <f>Inputs!$B$44</f>
        <v/>
      </c>
      <c r="J69" s="2">
        <f>D69*G69/12</f>
        <v/>
      </c>
      <c r="K69" s="2">
        <f>J69+BV68</f>
        <v/>
      </c>
      <c r="L69" s="2">
        <f>E69*H69/12</f>
        <v/>
      </c>
      <c r="M69" s="2">
        <f>L69+BW68</f>
        <v/>
      </c>
      <c r="N69" s="2">
        <f>F69*I69/12</f>
        <v/>
      </c>
      <c r="O69" s="2">
        <f>N69+BX68</f>
        <v/>
      </c>
      <c r="P69" s="2">
        <f>Pool!BM69</f>
        <v/>
      </c>
      <c r="Q69" s="2">
        <f>BO68</f>
        <v/>
      </c>
      <c r="R69" s="2">
        <f>MIN(Q69,MAX(0,C69+K69+M69-P69))</f>
        <v/>
      </c>
      <c r="S69" s="2">
        <f>P69+R69</f>
        <v/>
      </c>
      <c r="T69" s="2">
        <f>Pool!BN69+Pool!BO69+Pool!BQ69</f>
        <v/>
      </c>
      <c r="U69" s="7">
        <f>IF(OR(Inputs!$B$53=1,Tests!M68=1),1,0)</f>
        <v/>
      </c>
      <c r="V69" s="2">
        <f>D69+E69+F69</f>
        <v/>
      </c>
      <c r="W69" s="2">
        <f>IF(U69=1,MIN(D69,T69),IF(V69&lt;=0,0,MIN(T69,V69)*D69/V69))</f>
        <v/>
      </c>
      <c r="X69" s="2">
        <f>IF(U69=1,MIN(E69,T69-W69),IF(V69&lt;=0,0,MIN(T69,V69)*E69/V69))</f>
        <v/>
      </c>
      <c r="Y69" s="2">
        <f>IF(U69=1,MIN(F69,T69-W69-X69),IF(V69&lt;=0,0,MIN(T69,V69)*F69/V69))</f>
        <v/>
      </c>
      <c r="Z69" s="2">
        <f>T69-W69-X69-Y69</f>
        <v/>
      </c>
      <c r="AA69" s="2">
        <f>D69-W69</f>
        <v/>
      </c>
      <c r="AB69" s="2">
        <f>E69-X69</f>
        <v/>
      </c>
      <c r="AC69" s="2">
        <f>F69-Y69</f>
        <v/>
      </c>
      <c r="AD69" s="2">
        <f>AA69+AB69+AC69</f>
        <v/>
      </c>
      <c r="AE69" s="2">
        <f>MIN(C69,S69)</f>
        <v/>
      </c>
      <c r="AF69" s="2">
        <f>S69-AE69</f>
        <v/>
      </c>
      <c r="AG69" s="2">
        <f>MIN(K69,AF69)</f>
        <v/>
      </c>
      <c r="AH69" s="2">
        <f>AF69-AG69</f>
        <v/>
      </c>
      <c r="AI69" s="2">
        <f>IF(Tests!F69=1,MIN(AH69,AD69),0)</f>
        <v/>
      </c>
      <c r="AJ69" s="2">
        <f>AH69-AI69</f>
        <v/>
      </c>
      <c r="AK69" s="2">
        <f>MIN(M69,AJ69)</f>
        <v/>
      </c>
      <c r="AL69" s="2">
        <f>AJ69-AK69</f>
        <v/>
      </c>
      <c r="AM69" s="2">
        <f>IF(Tests!I69=1,MIN(AL69,AD69-AI69),0)</f>
        <v/>
      </c>
      <c r="AN69" s="2">
        <f>AL69-AM69</f>
        <v/>
      </c>
      <c r="AO69" s="2">
        <f>MIN(O69,AN69)</f>
        <v/>
      </c>
      <c r="AP69" s="2">
        <f>AN69-AO69</f>
        <v/>
      </c>
      <c r="AQ69" s="2">
        <f>IF(Tests!L69=1,MIN(AP69,AD69-AI69-AM69),0)</f>
        <v/>
      </c>
      <c r="AR69" s="2">
        <f>AP69-AQ69</f>
        <v/>
      </c>
      <c r="AS69" s="2">
        <f>MAX(0,AD69-AI69-AM69-AQ69-Pool!BV69)</f>
        <v/>
      </c>
      <c r="AT69" s="2">
        <f>MIN(AR69,AS69)</f>
        <v/>
      </c>
      <c r="AU69" s="2">
        <f>AR69-AT69</f>
        <v/>
      </c>
      <c r="AV69" s="2">
        <f>AI69+AM69+AQ69+AT69</f>
        <v/>
      </c>
      <c r="AW69" s="2">
        <f>MIN(AA69,AV69)</f>
        <v/>
      </c>
      <c r="AX69" s="2">
        <f>MIN(AB69,AV69-AW69)</f>
        <v/>
      </c>
      <c r="AY69" s="2">
        <f>MIN(AC69,AV69-AW69-AX69)</f>
        <v/>
      </c>
      <c r="AZ69" s="2">
        <f>AA69-AW69</f>
        <v/>
      </c>
      <c r="BA69" s="2">
        <f>AB69-AX69</f>
        <v/>
      </c>
      <c r="BB69" s="2">
        <f>AC69-AY69</f>
        <v/>
      </c>
      <c r="BC69" s="2">
        <f>AZ69+BA69+BB69</f>
        <v/>
      </c>
      <c r="BD69" s="2">
        <f>MAX(0,BC69-Pool!BV69)</f>
        <v/>
      </c>
      <c r="BE69" s="2">
        <f>MIN(BB69,BD69)</f>
        <v/>
      </c>
      <c r="BF69" s="2">
        <f>MIN(BA69,BD69-BE69)</f>
        <v/>
      </c>
      <c r="BG69" s="2">
        <f>MIN(AZ69,BD69-BE69-BF69)</f>
        <v/>
      </c>
      <c r="BH69" s="2">
        <f>AZ69-BG69</f>
        <v/>
      </c>
      <c r="BI69" s="2">
        <f>BA69-BF69</f>
        <v/>
      </c>
      <c r="BJ69" s="2">
        <f>BB69-BE69</f>
        <v/>
      </c>
      <c r="BK69" s="7">
        <f>IF(BH69+BI69+BJ69&lt;0.005,1,0)</f>
        <v/>
      </c>
      <c r="BL69" s="2">
        <f>Q69-R69</f>
        <v/>
      </c>
      <c r="BM69" s="2">
        <f>IF(BK69=1,0,MIN(AU69,MAX(0,Inputs!$B$48-BL69)))</f>
        <v/>
      </c>
      <c r="BN69" s="2">
        <f>IF(BK69=1,BL69,0)</f>
        <v/>
      </c>
      <c r="BO69" s="2">
        <f>BL69+BM69-BN69</f>
        <v/>
      </c>
      <c r="BP69" s="2">
        <f>AU69-BM69</f>
        <v/>
      </c>
      <c r="BQ69" s="2">
        <f>BP69+Z69+BN69</f>
        <v/>
      </c>
      <c r="BR69" s="2">
        <f>W69+AW69</f>
        <v/>
      </c>
      <c r="BS69" s="2">
        <f>X69+AX69</f>
        <v/>
      </c>
      <c r="BT69" s="2">
        <f>Y69+AY69</f>
        <v/>
      </c>
      <c r="BU69" s="2">
        <f>AG69+AK69+AO69+BR69+BS69+BT69</f>
        <v/>
      </c>
      <c r="BV69" s="2">
        <f>K69-AG69</f>
        <v/>
      </c>
      <c r="BW69" s="2">
        <f>M69-AK69</f>
        <v/>
      </c>
      <c r="BX69" s="2">
        <f>O69-AO69</f>
        <v/>
      </c>
      <c r="BY69" s="2">
        <f>C69-AE69</f>
        <v/>
      </c>
      <c r="BZ69" s="8">
        <f>AE69+BU69+BQ69+(BO69-Q69)-Pool!BW69</f>
        <v/>
      </c>
    </row>
    <row r="70">
      <c r="A70" s="7" t="n">
        <v>65</v>
      </c>
      <c r="B70" s="2">
        <f>Inputs!$B$51/12*Pool!BK70</f>
        <v/>
      </c>
      <c r="C70" s="2">
        <f>B70+BY69</f>
        <v/>
      </c>
      <c r="D70" s="2">
        <f>BH69</f>
        <v/>
      </c>
      <c r="E70" s="2">
        <f>BI69</f>
        <v/>
      </c>
      <c r="F70" s="2">
        <f>BJ69</f>
        <v/>
      </c>
      <c r="G70" s="3">
        <f>MAX(0,Pool!B70+Inputs!$B$42)</f>
        <v/>
      </c>
      <c r="H70" s="3">
        <f>MAX(0,Pool!B70+Inputs!$B$43)</f>
        <v/>
      </c>
      <c r="I70" s="3">
        <f>Inputs!$B$44</f>
        <v/>
      </c>
      <c r="J70" s="2">
        <f>D70*G70/12</f>
        <v/>
      </c>
      <c r="K70" s="2">
        <f>J70+BV69</f>
        <v/>
      </c>
      <c r="L70" s="2">
        <f>E70*H70/12</f>
        <v/>
      </c>
      <c r="M70" s="2">
        <f>L70+BW69</f>
        <v/>
      </c>
      <c r="N70" s="2">
        <f>F70*I70/12</f>
        <v/>
      </c>
      <c r="O70" s="2">
        <f>N70+BX69</f>
        <v/>
      </c>
      <c r="P70" s="2">
        <f>Pool!BM70</f>
        <v/>
      </c>
      <c r="Q70" s="2">
        <f>BO69</f>
        <v/>
      </c>
      <c r="R70" s="2">
        <f>MIN(Q70,MAX(0,C70+K70+M70-P70))</f>
        <v/>
      </c>
      <c r="S70" s="2">
        <f>P70+R70</f>
        <v/>
      </c>
      <c r="T70" s="2">
        <f>Pool!BN70+Pool!BO70+Pool!BQ70</f>
        <v/>
      </c>
      <c r="U70" s="7">
        <f>IF(OR(Inputs!$B$53=1,Tests!M69=1),1,0)</f>
        <v/>
      </c>
      <c r="V70" s="2">
        <f>D70+E70+F70</f>
        <v/>
      </c>
      <c r="W70" s="2">
        <f>IF(U70=1,MIN(D70,T70),IF(V70&lt;=0,0,MIN(T70,V70)*D70/V70))</f>
        <v/>
      </c>
      <c r="X70" s="2">
        <f>IF(U70=1,MIN(E70,T70-W70),IF(V70&lt;=0,0,MIN(T70,V70)*E70/V70))</f>
        <v/>
      </c>
      <c r="Y70" s="2">
        <f>IF(U70=1,MIN(F70,T70-W70-X70),IF(V70&lt;=0,0,MIN(T70,V70)*F70/V70))</f>
        <v/>
      </c>
      <c r="Z70" s="2">
        <f>T70-W70-X70-Y70</f>
        <v/>
      </c>
      <c r="AA70" s="2">
        <f>D70-W70</f>
        <v/>
      </c>
      <c r="AB70" s="2">
        <f>E70-X70</f>
        <v/>
      </c>
      <c r="AC70" s="2">
        <f>F70-Y70</f>
        <v/>
      </c>
      <c r="AD70" s="2">
        <f>AA70+AB70+AC70</f>
        <v/>
      </c>
      <c r="AE70" s="2">
        <f>MIN(C70,S70)</f>
        <v/>
      </c>
      <c r="AF70" s="2">
        <f>S70-AE70</f>
        <v/>
      </c>
      <c r="AG70" s="2">
        <f>MIN(K70,AF70)</f>
        <v/>
      </c>
      <c r="AH70" s="2">
        <f>AF70-AG70</f>
        <v/>
      </c>
      <c r="AI70" s="2">
        <f>IF(Tests!F70=1,MIN(AH70,AD70),0)</f>
        <v/>
      </c>
      <c r="AJ70" s="2">
        <f>AH70-AI70</f>
        <v/>
      </c>
      <c r="AK70" s="2">
        <f>MIN(M70,AJ70)</f>
        <v/>
      </c>
      <c r="AL70" s="2">
        <f>AJ70-AK70</f>
        <v/>
      </c>
      <c r="AM70" s="2">
        <f>IF(Tests!I70=1,MIN(AL70,AD70-AI70),0)</f>
        <v/>
      </c>
      <c r="AN70" s="2">
        <f>AL70-AM70</f>
        <v/>
      </c>
      <c r="AO70" s="2">
        <f>MIN(O70,AN70)</f>
        <v/>
      </c>
      <c r="AP70" s="2">
        <f>AN70-AO70</f>
        <v/>
      </c>
      <c r="AQ70" s="2">
        <f>IF(Tests!L70=1,MIN(AP70,AD70-AI70-AM70),0)</f>
        <v/>
      </c>
      <c r="AR70" s="2">
        <f>AP70-AQ70</f>
        <v/>
      </c>
      <c r="AS70" s="2">
        <f>MAX(0,AD70-AI70-AM70-AQ70-Pool!BV70)</f>
        <v/>
      </c>
      <c r="AT70" s="2">
        <f>MIN(AR70,AS70)</f>
        <v/>
      </c>
      <c r="AU70" s="2">
        <f>AR70-AT70</f>
        <v/>
      </c>
      <c r="AV70" s="2">
        <f>AI70+AM70+AQ70+AT70</f>
        <v/>
      </c>
      <c r="AW70" s="2">
        <f>MIN(AA70,AV70)</f>
        <v/>
      </c>
      <c r="AX70" s="2">
        <f>MIN(AB70,AV70-AW70)</f>
        <v/>
      </c>
      <c r="AY70" s="2">
        <f>MIN(AC70,AV70-AW70-AX70)</f>
        <v/>
      </c>
      <c r="AZ70" s="2">
        <f>AA70-AW70</f>
        <v/>
      </c>
      <c r="BA70" s="2">
        <f>AB70-AX70</f>
        <v/>
      </c>
      <c r="BB70" s="2">
        <f>AC70-AY70</f>
        <v/>
      </c>
      <c r="BC70" s="2">
        <f>AZ70+BA70+BB70</f>
        <v/>
      </c>
      <c r="BD70" s="2">
        <f>MAX(0,BC70-Pool!BV70)</f>
        <v/>
      </c>
      <c r="BE70" s="2">
        <f>MIN(BB70,BD70)</f>
        <v/>
      </c>
      <c r="BF70" s="2">
        <f>MIN(BA70,BD70-BE70)</f>
        <v/>
      </c>
      <c r="BG70" s="2">
        <f>MIN(AZ70,BD70-BE70-BF70)</f>
        <v/>
      </c>
      <c r="BH70" s="2">
        <f>AZ70-BG70</f>
        <v/>
      </c>
      <c r="BI70" s="2">
        <f>BA70-BF70</f>
        <v/>
      </c>
      <c r="BJ70" s="2">
        <f>BB70-BE70</f>
        <v/>
      </c>
      <c r="BK70" s="7">
        <f>IF(BH70+BI70+BJ70&lt;0.005,1,0)</f>
        <v/>
      </c>
      <c r="BL70" s="2">
        <f>Q70-R70</f>
        <v/>
      </c>
      <c r="BM70" s="2">
        <f>IF(BK70=1,0,MIN(AU70,MAX(0,Inputs!$B$48-BL70)))</f>
        <v/>
      </c>
      <c r="BN70" s="2">
        <f>IF(BK70=1,BL70,0)</f>
        <v/>
      </c>
      <c r="BO70" s="2">
        <f>BL70+BM70-BN70</f>
        <v/>
      </c>
      <c r="BP70" s="2">
        <f>AU70-BM70</f>
        <v/>
      </c>
      <c r="BQ70" s="2">
        <f>BP70+Z70+BN70</f>
        <v/>
      </c>
      <c r="BR70" s="2">
        <f>W70+AW70</f>
        <v/>
      </c>
      <c r="BS70" s="2">
        <f>X70+AX70</f>
        <v/>
      </c>
      <c r="BT70" s="2">
        <f>Y70+AY70</f>
        <v/>
      </c>
      <c r="BU70" s="2">
        <f>AG70+AK70+AO70+BR70+BS70+BT70</f>
        <v/>
      </c>
      <c r="BV70" s="2">
        <f>K70-AG70</f>
        <v/>
      </c>
      <c r="BW70" s="2">
        <f>M70-AK70</f>
        <v/>
      </c>
      <c r="BX70" s="2">
        <f>O70-AO70</f>
        <v/>
      </c>
      <c r="BY70" s="2">
        <f>C70-AE70</f>
        <v/>
      </c>
      <c r="BZ70" s="8">
        <f>AE70+BU70+BQ70+(BO70-Q70)-Pool!BW70</f>
        <v/>
      </c>
    </row>
    <row r="71">
      <c r="A71" s="7" t="n">
        <v>66</v>
      </c>
      <c r="B71" s="2">
        <f>Inputs!$B$51/12*Pool!BK71</f>
        <v/>
      </c>
      <c r="C71" s="2">
        <f>B71+BY70</f>
        <v/>
      </c>
      <c r="D71" s="2">
        <f>BH70</f>
        <v/>
      </c>
      <c r="E71" s="2">
        <f>BI70</f>
        <v/>
      </c>
      <c r="F71" s="2">
        <f>BJ70</f>
        <v/>
      </c>
      <c r="G71" s="3">
        <f>MAX(0,Pool!B71+Inputs!$B$42)</f>
        <v/>
      </c>
      <c r="H71" s="3">
        <f>MAX(0,Pool!B71+Inputs!$B$43)</f>
        <v/>
      </c>
      <c r="I71" s="3">
        <f>Inputs!$B$44</f>
        <v/>
      </c>
      <c r="J71" s="2">
        <f>D71*G71/12</f>
        <v/>
      </c>
      <c r="K71" s="2">
        <f>J71+BV70</f>
        <v/>
      </c>
      <c r="L71" s="2">
        <f>E71*H71/12</f>
        <v/>
      </c>
      <c r="M71" s="2">
        <f>L71+BW70</f>
        <v/>
      </c>
      <c r="N71" s="2">
        <f>F71*I71/12</f>
        <v/>
      </c>
      <c r="O71" s="2">
        <f>N71+BX70</f>
        <v/>
      </c>
      <c r="P71" s="2">
        <f>Pool!BM71</f>
        <v/>
      </c>
      <c r="Q71" s="2">
        <f>BO70</f>
        <v/>
      </c>
      <c r="R71" s="2">
        <f>MIN(Q71,MAX(0,C71+K71+M71-P71))</f>
        <v/>
      </c>
      <c r="S71" s="2">
        <f>P71+R71</f>
        <v/>
      </c>
      <c r="T71" s="2">
        <f>Pool!BN71+Pool!BO71+Pool!BQ71</f>
        <v/>
      </c>
      <c r="U71" s="7">
        <f>IF(OR(Inputs!$B$53=1,Tests!M70=1),1,0)</f>
        <v/>
      </c>
      <c r="V71" s="2">
        <f>D71+E71+F71</f>
        <v/>
      </c>
      <c r="W71" s="2">
        <f>IF(U71=1,MIN(D71,T71),IF(V71&lt;=0,0,MIN(T71,V71)*D71/V71))</f>
        <v/>
      </c>
      <c r="X71" s="2">
        <f>IF(U71=1,MIN(E71,T71-W71),IF(V71&lt;=0,0,MIN(T71,V71)*E71/V71))</f>
        <v/>
      </c>
      <c r="Y71" s="2">
        <f>IF(U71=1,MIN(F71,T71-W71-X71),IF(V71&lt;=0,0,MIN(T71,V71)*F71/V71))</f>
        <v/>
      </c>
      <c r="Z71" s="2">
        <f>T71-W71-X71-Y71</f>
        <v/>
      </c>
      <c r="AA71" s="2">
        <f>D71-W71</f>
        <v/>
      </c>
      <c r="AB71" s="2">
        <f>E71-X71</f>
        <v/>
      </c>
      <c r="AC71" s="2">
        <f>F71-Y71</f>
        <v/>
      </c>
      <c r="AD71" s="2">
        <f>AA71+AB71+AC71</f>
        <v/>
      </c>
      <c r="AE71" s="2">
        <f>MIN(C71,S71)</f>
        <v/>
      </c>
      <c r="AF71" s="2">
        <f>S71-AE71</f>
        <v/>
      </c>
      <c r="AG71" s="2">
        <f>MIN(K71,AF71)</f>
        <v/>
      </c>
      <c r="AH71" s="2">
        <f>AF71-AG71</f>
        <v/>
      </c>
      <c r="AI71" s="2">
        <f>IF(Tests!F71=1,MIN(AH71,AD71),0)</f>
        <v/>
      </c>
      <c r="AJ71" s="2">
        <f>AH71-AI71</f>
        <v/>
      </c>
      <c r="AK71" s="2">
        <f>MIN(M71,AJ71)</f>
        <v/>
      </c>
      <c r="AL71" s="2">
        <f>AJ71-AK71</f>
        <v/>
      </c>
      <c r="AM71" s="2">
        <f>IF(Tests!I71=1,MIN(AL71,AD71-AI71),0)</f>
        <v/>
      </c>
      <c r="AN71" s="2">
        <f>AL71-AM71</f>
        <v/>
      </c>
      <c r="AO71" s="2">
        <f>MIN(O71,AN71)</f>
        <v/>
      </c>
      <c r="AP71" s="2">
        <f>AN71-AO71</f>
        <v/>
      </c>
      <c r="AQ71" s="2">
        <f>IF(Tests!L71=1,MIN(AP71,AD71-AI71-AM71),0)</f>
        <v/>
      </c>
      <c r="AR71" s="2">
        <f>AP71-AQ71</f>
        <v/>
      </c>
      <c r="AS71" s="2">
        <f>MAX(0,AD71-AI71-AM71-AQ71-Pool!BV71)</f>
        <v/>
      </c>
      <c r="AT71" s="2">
        <f>MIN(AR71,AS71)</f>
        <v/>
      </c>
      <c r="AU71" s="2">
        <f>AR71-AT71</f>
        <v/>
      </c>
      <c r="AV71" s="2">
        <f>AI71+AM71+AQ71+AT71</f>
        <v/>
      </c>
      <c r="AW71" s="2">
        <f>MIN(AA71,AV71)</f>
        <v/>
      </c>
      <c r="AX71" s="2">
        <f>MIN(AB71,AV71-AW71)</f>
        <v/>
      </c>
      <c r="AY71" s="2">
        <f>MIN(AC71,AV71-AW71-AX71)</f>
        <v/>
      </c>
      <c r="AZ71" s="2">
        <f>AA71-AW71</f>
        <v/>
      </c>
      <c r="BA71" s="2">
        <f>AB71-AX71</f>
        <v/>
      </c>
      <c r="BB71" s="2">
        <f>AC71-AY71</f>
        <v/>
      </c>
      <c r="BC71" s="2">
        <f>AZ71+BA71+BB71</f>
        <v/>
      </c>
      <c r="BD71" s="2">
        <f>MAX(0,BC71-Pool!BV71)</f>
        <v/>
      </c>
      <c r="BE71" s="2">
        <f>MIN(BB71,BD71)</f>
        <v/>
      </c>
      <c r="BF71" s="2">
        <f>MIN(BA71,BD71-BE71)</f>
        <v/>
      </c>
      <c r="BG71" s="2">
        <f>MIN(AZ71,BD71-BE71-BF71)</f>
        <v/>
      </c>
      <c r="BH71" s="2">
        <f>AZ71-BG71</f>
        <v/>
      </c>
      <c r="BI71" s="2">
        <f>BA71-BF71</f>
        <v/>
      </c>
      <c r="BJ71" s="2">
        <f>BB71-BE71</f>
        <v/>
      </c>
      <c r="BK71" s="7">
        <f>IF(BH71+BI71+BJ71&lt;0.005,1,0)</f>
        <v/>
      </c>
      <c r="BL71" s="2">
        <f>Q71-R71</f>
        <v/>
      </c>
      <c r="BM71" s="2">
        <f>IF(BK71=1,0,MIN(AU71,MAX(0,Inputs!$B$48-BL71)))</f>
        <v/>
      </c>
      <c r="BN71" s="2">
        <f>IF(BK71=1,BL71,0)</f>
        <v/>
      </c>
      <c r="BO71" s="2">
        <f>BL71+BM71-BN71</f>
        <v/>
      </c>
      <c r="BP71" s="2">
        <f>AU71-BM71</f>
        <v/>
      </c>
      <c r="BQ71" s="2">
        <f>BP71+Z71+BN71</f>
        <v/>
      </c>
      <c r="BR71" s="2">
        <f>W71+AW71</f>
        <v/>
      </c>
      <c r="BS71" s="2">
        <f>X71+AX71</f>
        <v/>
      </c>
      <c r="BT71" s="2">
        <f>Y71+AY71</f>
        <v/>
      </c>
      <c r="BU71" s="2">
        <f>AG71+AK71+AO71+BR71+BS71+BT71</f>
        <v/>
      </c>
      <c r="BV71" s="2">
        <f>K71-AG71</f>
        <v/>
      </c>
      <c r="BW71" s="2">
        <f>M71-AK71</f>
        <v/>
      </c>
      <c r="BX71" s="2">
        <f>O71-AO71</f>
        <v/>
      </c>
      <c r="BY71" s="2">
        <f>C71-AE71</f>
        <v/>
      </c>
      <c r="BZ71" s="8">
        <f>AE71+BU71+BQ71+(BO71-Q71)-Pool!BW71</f>
        <v/>
      </c>
    </row>
    <row r="72">
      <c r="A72" s="7" t="n">
        <v>67</v>
      </c>
      <c r="B72" s="2">
        <f>Inputs!$B$51/12*Pool!BK72</f>
        <v/>
      </c>
      <c r="C72" s="2">
        <f>B72+BY71</f>
        <v/>
      </c>
      <c r="D72" s="2">
        <f>BH71</f>
        <v/>
      </c>
      <c r="E72" s="2">
        <f>BI71</f>
        <v/>
      </c>
      <c r="F72" s="2">
        <f>BJ71</f>
        <v/>
      </c>
      <c r="G72" s="3">
        <f>MAX(0,Pool!B72+Inputs!$B$42)</f>
        <v/>
      </c>
      <c r="H72" s="3">
        <f>MAX(0,Pool!B72+Inputs!$B$43)</f>
        <v/>
      </c>
      <c r="I72" s="3">
        <f>Inputs!$B$44</f>
        <v/>
      </c>
      <c r="J72" s="2">
        <f>D72*G72/12</f>
        <v/>
      </c>
      <c r="K72" s="2">
        <f>J72+BV71</f>
        <v/>
      </c>
      <c r="L72" s="2">
        <f>E72*H72/12</f>
        <v/>
      </c>
      <c r="M72" s="2">
        <f>L72+BW71</f>
        <v/>
      </c>
      <c r="N72" s="2">
        <f>F72*I72/12</f>
        <v/>
      </c>
      <c r="O72" s="2">
        <f>N72+BX71</f>
        <v/>
      </c>
      <c r="P72" s="2">
        <f>Pool!BM72</f>
        <v/>
      </c>
      <c r="Q72" s="2">
        <f>BO71</f>
        <v/>
      </c>
      <c r="R72" s="2">
        <f>MIN(Q72,MAX(0,C72+K72+M72-P72))</f>
        <v/>
      </c>
      <c r="S72" s="2">
        <f>P72+R72</f>
        <v/>
      </c>
      <c r="T72" s="2">
        <f>Pool!BN72+Pool!BO72+Pool!BQ72</f>
        <v/>
      </c>
      <c r="U72" s="7">
        <f>IF(OR(Inputs!$B$53=1,Tests!M71=1),1,0)</f>
        <v/>
      </c>
      <c r="V72" s="2">
        <f>D72+E72+F72</f>
        <v/>
      </c>
      <c r="W72" s="2">
        <f>IF(U72=1,MIN(D72,T72),IF(V72&lt;=0,0,MIN(T72,V72)*D72/V72))</f>
        <v/>
      </c>
      <c r="X72" s="2">
        <f>IF(U72=1,MIN(E72,T72-W72),IF(V72&lt;=0,0,MIN(T72,V72)*E72/V72))</f>
        <v/>
      </c>
      <c r="Y72" s="2">
        <f>IF(U72=1,MIN(F72,T72-W72-X72),IF(V72&lt;=0,0,MIN(T72,V72)*F72/V72))</f>
        <v/>
      </c>
      <c r="Z72" s="2">
        <f>T72-W72-X72-Y72</f>
        <v/>
      </c>
      <c r="AA72" s="2">
        <f>D72-W72</f>
        <v/>
      </c>
      <c r="AB72" s="2">
        <f>E72-X72</f>
        <v/>
      </c>
      <c r="AC72" s="2">
        <f>F72-Y72</f>
        <v/>
      </c>
      <c r="AD72" s="2">
        <f>AA72+AB72+AC72</f>
        <v/>
      </c>
      <c r="AE72" s="2">
        <f>MIN(C72,S72)</f>
        <v/>
      </c>
      <c r="AF72" s="2">
        <f>S72-AE72</f>
        <v/>
      </c>
      <c r="AG72" s="2">
        <f>MIN(K72,AF72)</f>
        <v/>
      </c>
      <c r="AH72" s="2">
        <f>AF72-AG72</f>
        <v/>
      </c>
      <c r="AI72" s="2">
        <f>IF(Tests!F72=1,MIN(AH72,AD72),0)</f>
        <v/>
      </c>
      <c r="AJ72" s="2">
        <f>AH72-AI72</f>
        <v/>
      </c>
      <c r="AK72" s="2">
        <f>MIN(M72,AJ72)</f>
        <v/>
      </c>
      <c r="AL72" s="2">
        <f>AJ72-AK72</f>
        <v/>
      </c>
      <c r="AM72" s="2">
        <f>IF(Tests!I72=1,MIN(AL72,AD72-AI72),0)</f>
        <v/>
      </c>
      <c r="AN72" s="2">
        <f>AL72-AM72</f>
        <v/>
      </c>
      <c r="AO72" s="2">
        <f>MIN(O72,AN72)</f>
        <v/>
      </c>
      <c r="AP72" s="2">
        <f>AN72-AO72</f>
        <v/>
      </c>
      <c r="AQ72" s="2">
        <f>IF(Tests!L72=1,MIN(AP72,AD72-AI72-AM72),0)</f>
        <v/>
      </c>
      <c r="AR72" s="2">
        <f>AP72-AQ72</f>
        <v/>
      </c>
      <c r="AS72" s="2">
        <f>MAX(0,AD72-AI72-AM72-AQ72-Pool!BV72)</f>
        <v/>
      </c>
      <c r="AT72" s="2">
        <f>MIN(AR72,AS72)</f>
        <v/>
      </c>
      <c r="AU72" s="2">
        <f>AR72-AT72</f>
        <v/>
      </c>
      <c r="AV72" s="2">
        <f>AI72+AM72+AQ72+AT72</f>
        <v/>
      </c>
      <c r="AW72" s="2">
        <f>MIN(AA72,AV72)</f>
        <v/>
      </c>
      <c r="AX72" s="2">
        <f>MIN(AB72,AV72-AW72)</f>
        <v/>
      </c>
      <c r="AY72" s="2">
        <f>MIN(AC72,AV72-AW72-AX72)</f>
        <v/>
      </c>
      <c r="AZ72" s="2">
        <f>AA72-AW72</f>
        <v/>
      </c>
      <c r="BA72" s="2">
        <f>AB72-AX72</f>
        <v/>
      </c>
      <c r="BB72" s="2">
        <f>AC72-AY72</f>
        <v/>
      </c>
      <c r="BC72" s="2">
        <f>AZ72+BA72+BB72</f>
        <v/>
      </c>
      <c r="BD72" s="2">
        <f>MAX(0,BC72-Pool!BV72)</f>
        <v/>
      </c>
      <c r="BE72" s="2">
        <f>MIN(BB72,BD72)</f>
        <v/>
      </c>
      <c r="BF72" s="2">
        <f>MIN(BA72,BD72-BE72)</f>
        <v/>
      </c>
      <c r="BG72" s="2">
        <f>MIN(AZ72,BD72-BE72-BF72)</f>
        <v/>
      </c>
      <c r="BH72" s="2">
        <f>AZ72-BG72</f>
        <v/>
      </c>
      <c r="BI72" s="2">
        <f>BA72-BF72</f>
        <v/>
      </c>
      <c r="BJ72" s="2">
        <f>BB72-BE72</f>
        <v/>
      </c>
      <c r="BK72" s="7">
        <f>IF(BH72+BI72+BJ72&lt;0.005,1,0)</f>
        <v/>
      </c>
      <c r="BL72" s="2">
        <f>Q72-R72</f>
        <v/>
      </c>
      <c r="BM72" s="2">
        <f>IF(BK72=1,0,MIN(AU72,MAX(0,Inputs!$B$48-BL72)))</f>
        <v/>
      </c>
      <c r="BN72" s="2">
        <f>IF(BK72=1,BL72,0)</f>
        <v/>
      </c>
      <c r="BO72" s="2">
        <f>BL72+BM72-BN72</f>
        <v/>
      </c>
      <c r="BP72" s="2">
        <f>AU72-BM72</f>
        <v/>
      </c>
      <c r="BQ72" s="2">
        <f>BP72+Z72+BN72</f>
        <v/>
      </c>
      <c r="BR72" s="2">
        <f>W72+AW72</f>
        <v/>
      </c>
      <c r="BS72" s="2">
        <f>X72+AX72</f>
        <v/>
      </c>
      <c r="BT72" s="2">
        <f>Y72+AY72</f>
        <v/>
      </c>
      <c r="BU72" s="2">
        <f>AG72+AK72+AO72+BR72+BS72+BT72</f>
        <v/>
      </c>
      <c r="BV72" s="2">
        <f>K72-AG72</f>
        <v/>
      </c>
      <c r="BW72" s="2">
        <f>M72-AK72</f>
        <v/>
      </c>
      <c r="BX72" s="2">
        <f>O72-AO72</f>
        <v/>
      </c>
      <c r="BY72" s="2">
        <f>C72-AE72</f>
        <v/>
      </c>
      <c r="BZ72" s="8">
        <f>AE72+BU72+BQ72+(BO72-Q72)-Pool!BW72</f>
        <v/>
      </c>
    </row>
    <row r="73">
      <c r="A73" s="7" t="n">
        <v>68</v>
      </c>
      <c r="B73" s="2">
        <f>Inputs!$B$51/12*Pool!BK73</f>
        <v/>
      </c>
      <c r="C73" s="2">
        <f>B73+BY72</f>
        <v/>
      </c>
      <c r="D73" s="2">
        <f>BH72</f>
        <v/>
      </c>
      <c r="E73" s="2">
        <f>BI72</f>
        <v/>
      </c>
      <c r="F73" s="2">
        <f>BJ72</f>
        <v/>
      </c>
      <c r="G73" s="3">
        <f>MAX(0,Pool!B73+Inputs!$B$42)</f>
        <v/>
      </c>
      <c r="H73" s="3">
        <f>MAX(0,Pool!B73+Inputs!$B$43)</f>
        <v/>
      </c>
      <c r="I73" s="3">
        <f>Inputs!$B$44</f>
        <v/>
      </c>
      <c r="J73" s="2">
        <f>D73*G73/12</f>
        <v/>
      </c>
      <c r="K73" s="2">
        <f>J73+BV72</f>
        <v/>
      </c>
      <c r="L73" s="2">
        <f>E73*H73/12</f>
        <v/>
      </c>
      <c r="M73" s="2">
        <f>L73+BW72</f>
        <v/>
      </c>
      <c r="N73" s="2">
        <f>F73*I73/12</f>
        <v/>
      </c>
      <c r="O73" s="2">
        <f>N73+BX72</f>
        <v/>
      </c>
      <c r="P73" s="2">
        <f>Pool!BM73</f>
        <v/>
      </c>
      <c r="Q73" s="2">
        <f>BO72</f>
        <v/>
      </c>
      <c r="R73" s="2">
        <f>MIN(Q73,MAX(0,C73+K73+M73-P73))</f>
        <v/>
      </c>
      <c r="S73" s="2">
        <f>P73+R73</f>
        <v/>
      </c>
      <c r="T73" s="2">
        <f>Pool!BN73+Pool!BO73+Pool!BQ73</f>
        <v/>
      </c>
      <c r="U73" s="7">
        <f>IF(OR(Inputs!$B$53=1,Tests!M72=1),1,0)</f>
        <v/>
      </c>
      <c r="V73" s="2">
        <f>D73+E73+F73</f>
        <v/>
      </c>
      <c r="W73" s="2">
        <f>IF(U73=1,MIN(D73,T73),IF(V73&lt;=0,0,MIN(T73,V73)*D73/V73))</f>
        <v/>
      </c>
      <c r="X73" s="2">
        <f>IF(U73=1,MIN(E73,T73-W73),IF(V73&lt;=0,0,MIN(T73,V73)*E73/V73))</f>
        <v/>
      </c>
      <c r="Y73" s="2">
        <f>IF(U73=1,MIN(F73,T73-W73-X73),IF(V73&lt;=0,0,MIN(T73,V73)*F73/V73))</f>
        <v/>
      </c>
      <c r="Z73" s="2">
        <f>T73-W73-X73-Y73</f>
        <v/>
      </c>
      <c r="AA73" s="2">
        <f>D73-W73</f>
        <v/>
      </c>
      <c r="AB73" s="2">
        <f>E73-X73</f>
        <v/>
      </c>
      <c r="AC73" s="2">
        <f>F73-Y73</f>
        <v/>
      </c>
      <c r="AD73" s="2">
        <f>AA73+AB73+AC73</f>
        <v/>
      </c>
      <c r="AE73" s="2">
        <f>MIN(C73,S73)</f>
        <v/>
      </c>
      <c r="AF73" s="2">
        <f>S73-AE73</f>
        <v/>
      </c>
      <c r="AG73" s="2">
        <f>MIN(K73,AF73)</f>
        <v/>
      </c>
      <c r="AH73" s="2">
        <f>AF73-AG73</f>
        <v/>
      </c>
      <c r="AI73" s="2">
        <f>IF(Tests!F73=1,MIN(AH73,AD73),0)</f>
        <v/>
      </c>
      <c r="AJ73" s="2">
        <f>AH73-AI73</f>
        <v/>
      </c>
      <c r="AK73" s="2">
        <f>MIN(M73,AJ73)</f>
        <v/>
      </c>
      <c r="AL73" s="2">
        <f>AJ73-AK73</f>
        <v/>
      </c>
      <c r="AM73" s="2">
        <f>IF(Tests!I73=1,MIN(AL73,AD73-AI73),0)</f>
        <v/>
      </c>
      <c r="AN73" s="2">
        <f>AL73-AM73</f>
        <v/>
      </c>
      <c r="AO73" s="2">
        <f>MIN(O73,AN73)</f>
        <v/>
      </c>
      <c r="AP73" s="2">
        <f>AN73-AO73</f>
        <v/>
      </c>
      <c r="AQ73" s="2">
        <f>IF(Tests!L73=1,MIN(AP73,AD73-AI73-AM73),0)</f>
        <v/>
      </c>
      <c r="AR73" s="2">
        <f>AP73-AQ73</f>
        <v/>
      </c>
      <c r="AS73" s="2">
        <f>MAX(0,AD73-AI73-AM73-AQ73-Pool!BV73)</f>
        <v/>
      </c>
      <c r="AT73" s="2">
        <f>MIN(AR73,AS73)</f>
        <v/>
      </c>
      <c r="AU73" s="2">
        <f>AR73-AT73</f>
        <v/>
      </c>
      <c r="AV73" s="2">
        <f>AI73+AM73+AQ73+AT73</f>
        <v/>
      </c>
      <c r="AW73" s="2">
        <f>MIN(AA73,AV73)</f>
        <v/>
      </c>
      <c r="AX73" s="2">
        <f>MIN(AB73,AV73-AW73)</f>
        <v/>
      </c>
      <c r="AY73" s="2">
        <f>MIN(AC73,AV73-AW73-AX73)</f>
        <v/>
      </c>
      <c r="AZ73" s="2">
        <f>AA73-AW73</f>
        <v/>
      </c>
      <c r="BA73" s="2">
        <f>AB73-AX73</f>
        <v/>
      </c>
      <c r="BB73" s="2">
        <f>AC73-AY73</f>
        <v/>
      </c>
      <c r="BC73" s="2">
        <f>AZ73+BA73+BB73</f>
        <v/>
      </c>
      <c r="BD73" s="2">
        <f>MAX(0,BC73-Pool!BV73)</f>
        <v/>
      </c>
      <c r="BE73" s="2">
        <f>MIN(BB73,BD73)</f>
        <v/>
      </c>
      <c r="BF73" s="2">
        <f>MIN(BA73,BD73-BE73)</f>
        <v/>
      </c>
      <c r="BG73" s="2">
        <f>MIN(AZ73,BD73-BE73-BF73)</f>
        <v/>
      </c>
      <c r="BH73" s="2">
        <f>AZ73-BG73</f>
        <v/>
      </c>
      <c r="BI73" s="2">
        <f>BA73-BF73</f>
        <v/>
      </c>
      <c r="BJ73" s="2">
        <f>BB73-BE73</f>
        <v/>
      </c>
      <c r="BK73" s="7">
        <f>IF(BH73+BI73+BJ73&lt;0.005,1,0)</f>
        <v/>
      </c>
      <c r="BL73" s="2">
        <f>Q73-R73</f>
        <v/>
      </c>
      <c r="BM73" s="2">
        <f>IF(BK73=1,0,MIN(AU73,MAX(0,Inputs!$B$48-BL73)))</f>
        <v/>
      </c>
      <c r="BN73" s="2">
        <f>IF(BK73=1,BL73,0)</f>
        <v/>
      </c>
      <c r="BO73" s="2">
        <f>BL73+BM73-BN73</f>
        <v/>
      </c>
      <c r="BP73" s="2">
        <f>AU73-BM73</f>
        <v/>
      </c>
      <c r="BQ73" s="2">
        <f>BP73+Z73+BN73</f>
        <v/>
      </c>
      <c r="BR73" s="2">
        <f>W73+AW73</f>
        <v/>
      </c>
      <c r="BS73" s="2">
        <f>X73+AX73</f>
        <v/>
      </c>
      <c r="BT73" s="2">
        <f>Y73+AY73</f>
        <v/>
      </c>
      <c r="BU73" s="2">
        <f>AG73+AK73+AO73+BR73+BS73+BT73</f>
        <v/>
      </c>
      <c r="BV73" s="2">
        <f>K73-AG73</f>
        <v/>
      </c>
      <c r="BW73" s="2">
        <f>M73-AK73</f>
        <v/>
      </c>
      <c r="BX73" s="2">
        <f>O73-AO73</f>
        <v/>
      </c>
      <c r="BY73" s="2">
        <f>C73-AE73</f>
        <v/>
      </c>
      <c r="BZ73" s="8">
        <f>AE73+BU73+BQ73+(BO73-Q73)-Pool!BW73</f>
        <v/>
      </c>
    </row>
    <row r="74">
      <c r="A74" s="7" t="n">
        <v>69</v>
      </c>
      <c r="B74" s="2">
        <f>Inputs!$B$51/12*Pool!BK74</f>
        <v/>
      </c>
      <c r="C74" s="2">
        <f>B74+BY73</f>
        <v/>
      </c>
      <c r="D74" s="2">
        <f>BH73</f>
        <v/>
      </c>
      <c r="E74" s="2">
        <f>BI73</f>
        <v/>
      </c>
      <c r="F74" s="2">
        <f>BJ73</f>
        <v/>
      </c>
      <c r="G74" s="3">
        <f>MAX(0,Pool!B74+Inputs!$B$42)</f>
        <v/>
      </c>
      <c r="H74" s="3">
        <f>MAX(0,Pool!B74+Inputs!$B$43)</f>
        <v/>
      </c>
      <c r="I74" s="3">
        <f>Inputs!$B$44</f>
        <v/>
      </c>
      <c r="J74" s="2">
        <f>D74*G74/12</f>
        <v/>
      </c>
      <c r="K74" s="2">
        <f>J74+BV73</f>
        <v/>
      </c>
      <c r="L74" s="2">
        <f>E74*H74/12</f>
        <v/>
      </c>
      <c r="M74" s="2">
        <f>L74+BW73</f>
        <v/>
      </c>
      <c r="N74" s="2">
        <f>F74*I74/12</f>
        <v/>
      </c>
      <c r="O74" s="2">
        <f>N74+BX73</f>
        <v/>
      </c>
      <c r="P74" s="2">
        <f>Pool!BM74</f>
        <v/>
      </c>
      <c r="Q74" s="2">
        <f>BO73</f>
        <v/>
      </c>
      <c r="R74" s="2">
        <f>MIN(Q74,MAX(0,C74+K74+M74-P74))</f>
        <v/>
      </c>
      <c r="S74" s="2">
        <f>P74+R74</f>
        <v/>
      </c>
      <c r="T74" s="2">
        <f>Pool!BN74+Pool!BO74+Pool!BQ74</f>
        <v/>
      </c>
      <c r="U74" s="7">
        <f>IF(OR(Inputs!$B$53=1,Tests!M73=1),1,0)</f>
        <v/>
      </c>
      <c r="V74" s="2">
        <f>D74+E74+F74</f>
        <v/>
      </c>
      <c r="W74" s="2">
        <f>IF(U74=1,MIN(D74,T74),IF(V74&lt;=0,0,MIN(T74,V74)*D74/V74))</f>
        <v/>
      </c>
      <c r="X74" s="2">
        <f>IF(U74=1,MIN(E74,T74-W74),IF(V74&lt;=0,0,MIN(T74,V74)*E74/V74))</f>
        <v/>
      </c>
      <c r="Y74" s="2">
        <f>IF(U74=1,MIN(F74,T74-W74-X74),IF(V74&lt;=0,0,MIN(T74,V74)*F74/V74))</f>
        <v/>
      </c>
      <c r="Z74" s="2">
        <f>T74-W74-X74-Y74</f>
        <v/>
      </c>
      <c r="AA74" s="2">
        <f>D74-W74</f>
        <v/>
      </c>
      <c r="AB74" s="2">
        <f>E74-X74</f>
        <v/>
      </c>
      <c r="AC74" s="2">
        <f>F74-Y74</f>
        <v/>
      </c>
      <c r="AD74" s="2">
        <f>AA74+AB74+AC74</f>
        <v/>
      </c>
      <c r="AE74" s="2">
        <f>MIN(C74,S74)</f>
        <v/>
      </c>
      <c r="AF74" s="2">
        <f>S74-AE74</f>
        <v/>
      </c>
      <c r="AG74" s="2">
        <f>MIN(K74,AF74)</f>
        <v/>
      </c>
      <c r="AH74" s="2">
        <f>AF74-AG74</f>
        <v/>
      </c>
      <c r="AI74" s="2">
        <f>IF(Tests!F74=1,MIN(AH74,AD74),0)</f>
        <v/>
      </c>
      <c r="AJ74" s="2">
        <f>AH74-AI74</f>
        <v/>
      </c>
      <c r="AK74" s="2">
        <f>MIN(M74,AJ74)</f>
        <v/>
      </c>
      <c r="AL74" s="2">
        <f>AJ74-AK74</f>
        <v/>
      </c>
      <c r="AM74" s="2">
        <f>IF(Tests!I74=1,MIN(AL74,AD74-AI74),0)</f>
        <v/>
      </c>
      <c r="AN74" s="2">
        <f>AL74-AM74</f>
        <v/>
      </c>
      <c r="AO74" s="2">
        <f>MIN(O74,AN74)</f>
        <v/>
      </c>
      <c r="AP74" s="2">
        <f>AN74-AO74</f>
        <v/>
      </c>
      <c r="AQ74" s="2">
        <f>IF(Tests!L74=1,MIN(AP74,AD74-AI74-AM74),0)</f>
        <v/>
      </c>
      <c r="AR74" s="2">
        <f>AP74-AQ74</f>
        <v/>
      </c>
      <c r="AS74" s="2">
        <f>MAX(0,AD74-AI74-AM74-AQ74-Pool!BV74)</f>
        <v/>
      </c>
      <c r="AT74" s="2">
        <f>MIN(AR74,AS74)</f>
        <v/>
      </c>
      <c r="AU74" s="2">
        <f>AR74-AT74</f>
        <v/>
      </c>
      <c r="AV74" s="2">
        <f>AI74+AM74+AQ74+AT74</f>
        <v/>
      </c>
      <c r="AW74" s="2">
        <f>MIN(AA74,AV74)</f>
        <v/>
      </c>
      <c r="AX74" s="2">
        <f>MIN(AB74,AV74-AW74)</f>
        <v/>
      </c>
      <c r="AY74" s="2">
        <f>MIN(AC74,AV74-AW74-AX74)</f>
        <v/>
      </c>
      <c r="AZ74" s="2">
        <f>AA74-AW74</f>
        <v/>
      </c>
      <c r="BA74" s="2">
        <f>AB74-AX74</f>
        <v/>
      </c>
      <c r="BB74" s="2">
        <f>AC74-AY74</f>
        <v/>
      </c>
      <c r="BC74" s="2">
        <f>AZ74+BA74+BB74</f>
        <v/>
      </c>
      <c r="BD74" s="2">
        <f>MAX(0,BC74-Pool!BV74)</f>
        <v/>
      </c>
      <c r="BE74" s="2">
        <f>MIN(BB74,BD74)</f>
        <v/>
      </c>
      <c r="BF74" s="2">
        <f>MIN(BA74,BD74-BE74)</f>
        <v/>
      </c>
      <c r="BG74" s="2">
        <f>MIN(AZ74,BD74-BE74-BF74)</f>
        <v/>
      </c>
      <c r="BH74" s="2">
        <f>AZ74-BG74</f>
        <v/>
      </c>
      <c r="BI74" s="2">
        <f>BA74-BF74</f>
        <v/>
      </c>
      <c r="BJ74" s="2">
        <f>BB74-BE74</f>
        <v/>
      </c>
      <c r="BK74" s="7">
        <f>IF(BH74+BI74+BJ74&lt;0.005,1,0)</f>
        <v/>
      </c>
      <c r="BL74" s="2">
        <f>Q74-R74</f>
        <v/>
      </c>
      <c r="BM74" s="2">
        <f>IF(BK74=1,0,MIN(AU74,MAX(0,Inputs!$B$48-BL74)))</f>
        <v/>
      </c>
      <c r="BN74" s="2">
        <f>IF(BK74=1,BL74,0)</f>
        <v/>
      </c>
      <c r="BO74" s="2">
        <f>BL74+BM74-BN74</f>
        <v/>
      </c>
      <c r="BP74" s="2">
        <f>AU74-BM74</f>
        <v/>
      </c>
      <c r="BQ74" s="2">
        <f>BP74+Z74+BN74</f>
        <v/>
      </c>
      <c r="BR74" s="2">
        <f>W74+AW74</f>
        <v/>
      </c>
      <c r="BS74" s="2">
        <f>X74+AX74</f>
        <v/>
      </c>
      <c r="BT74" s="2">
        <f>Y74+AY74</f>
        <v/>
      </c>
      <c r="BU74" s="2">
        <f>AG74+AK74+AO74+BR74+BS74+BT74</f>
        <v/>
      </c>
      <c r="BV74" s="2">
        <f>K74-AG74</f>
        <v/>
      </c>
      <c r="BW74" s="2">
        <f>M74-AK74</f>
        <v/>
      </c>
      <c r="BX74" s="2">
        <f>O74-AO74</f>
        <v/>
      </c>
      <c r="BY74" s="2">
        <f>C74-AE74</f>
        <v/>
      </c>
      <c r="BZ74" s="8">
        <f>AE74+BU74+BQ74+(BO74-Q74)-Pool!BW74</f>
        <v/>
      </c>
    </row>
    <row r="75">
      <c r="A75" s="7" t="n">
        <v>70</v>
      </c>
      <c r="B75" s="2">
        <f>Inputs!$B$51/12*Pool!BK75</f>
        <v/>
      </c>
      <c r="C75" s="2">
        <f>B75+BY74</f>
        <v/>
      </c>
      <c r="D75" s="2">
        <f>BH74</f>
        <v/>
      </c>
      <c r="E75" s="2">
        <f>BI74</f>
        <v/>
      </c>
      <c r="F75" s="2">
        <f>BJ74</f>
        <v/>
      </c>
      <c r="G75" s="3">
        <f>MAX(0,Pool!B75+Inputs!$B$42)</f>
        <v/>
      </c>
      <c r="H75" s="3">
        <f>MAX(0,Pool!B75+Inputs!$B$43)</f>
        <v/>
      </c>
      <c r="I75" s="3">
        <f>Inputs!$B$44</f>
        <v/>
      </c>
      <c r="J75" s="2">
        <f>D75*G75/12</f>
        <v/>
      </c>
      <c r="K75" s="2">
        <f>J75+BV74</f>
        <v/>
      </c>
      <c r="L75" s="2">
        <f>E75*H75/12</f>
        <v/>
      </c>
      <c r="M75" s="2">
        <f>L75+BW74</f>
        <v/>
      </c>
      <c r="N75" s="2">
        <f>F75*I75/12</f>
        <v/>
      </c>
      <c r="O75" s="2">
        <f>N75+BX74</f>
        <v/>
      </c>
      <c r="P75" s="2">
        <f>Pool!BM75</f>
        <v/>
      </c>
      <c r="Q75" s="2">
        <f>BO74</f>
        <v/>
      </c>
      <c r="R75" s="2">
        <f>MIN(Q75,MAX(0,C75+K75+M75-P75))</f>
        <v/>
      </c>
      <c r="S75" s="2">
        <f>P75+R75</f>
        <v/>
      </c>
      <c r="T75" s="2">
        <f>Pool!BN75+Pool!BO75+Pool!BQ75</f>
        <v/>
      </c>
      <c r="U75" s="7">
        <f>IF(OR(Inputs!$B$53=1,Tests!M74=1),1,0)</f>
        <v/>
      </c>
      <c r="V75" s="2">
        <f>D75+E75+F75</f>
        <v/>
      </c>
      <c r="W75" s="2">
        <f>IF(U75=1,MIN(D75,T75),IF(V75&lt;=0,0,MIN(T75,V75)*D75/V75))</f>
        <v/>
      </c>
      <c r="X75" s="2">
        <f>IF(U75=1,MIN(E75,T75-W75),IF(V75&lt;=0,0,MIN(T75,V75)*E75/V75))</f>
        <v/>
      </c>
      <c r="Y75" s="2">
        <f>IF(U75=1,MIN(F75,T75-W75-X75),IF(V75&lt;=0,0,MIN(T75,V75)*F75/V75))</f>
        <v/>
      </c>
      <c r="Z75" s="2">
        <f>T75-W75-X75-Y75</f>
        <v/>
      </c>
      <c r="AA75" s="2">
        <f>D75-W75</f>
        <v/>
      </c>
      <c r="AB75" s="2">
        <f>E75-X75</f>
        <v/>
      </c>
      <c r="AC75" s="2">
        <f>F75-Y75</f>
        <v/>
      </c>
      <c r="AD75" s="2">
        <f>AA75+AB75+AC75</f>
        <v/>
      </c>
      <c r="AE75" s="2">
        <f>MIN(C75,S75)</f>
        <v/>
      </c>
      <c r="AF75" s="2">
        <f>S75-AE75</f>
        <v/>
      </c>
      <c r="AG75" s="2">
        <f>MIN(K75,AF75)</f>
        <v/>
      </c>
      <c r="AH75" s="2">
        <f>AF75-AG75</f>
        <v/>
      </c>
      <c r="AI75" s="2">
        <f>IF(Tests!F75=1,MIN(AH75,AD75),0)</f>
        <v/>
      </c>
      <c r="AJ75" s="2">
        <f>AH75-AI75</f>
        <v/>
      </c>
      <c r="AK75" s="2">
        <f>MIN(M75,AJ75)</f>
        <v/>
      </c>
      <c r="AL75" s="2">
        <f>AJ75-AK75</f>
        <v/>
      </c>
      <c r="AM75" s="2">
        <f>IF(Tests!I75=1,MIN(AL75,AD75-AI75),0)</f>
        <v/>
      </c>
      <c r="AN75" s="2">
        <f>AL75-AM75</f>
        <v/>
      </c>
      <c r="AO75" s="2">
        <f>MIN(O75,AN75)</f>
        <v/>
      </c>
      <c r="AP75" s="2">
        <f>AN75-AO75</f>
        <v/>
      </c>
      <c r="AQ75" s="2">
        <f>IF(Tests!L75=1,MIN(AP75,AD75-AI75-AM75),0)</f>
        <v/>
      </c>
      <c r="AR75" s="2">
        <f>AP75-AQ75</f>
        <v/>
      </c>
      <c r="AS75" s="2">
        <f>MAX(0,AD75-AI75-AM75-AQ75-Pool!BV75)</f>
        <v/>
      </c>
      <c r="AT75" s="2">
        <f>MIN(AR75,AS75)</f>
        <v/>
      </c>
      <c r="AU75" s="2">
        <f>AR75-AT75</f>
        <v/>
      </c>
      <c r="AV75" s="2">
        <f>AI75+AM75+AQ75+AT75</f>
        <v/>
      </c>
      <c r="AW75" s="2">
        <f>MIN(AA75,AV75)</f>
        <v/>
      </c>
      <c r="AX75" s="2">
        <f>MIN(AB75,AV75-AW75)</f>
        <v/>
      </c>
      <c r="AY75" s="2">
        <f>MIN(AC75,AV75-AW75-AX75)</f>
        <v/>
      </c>
      <c r="AZ75" s="2">
        <f>AA75-AW75</f>
        <v/>
      </c>
      <c r="BA75" s="2">
        <f>AB75-AX75</f>
        <v/>
      </c>
      <c r="BB75" s="2">
        <f>AC75-AY75</f>
        <v/>
      </c>
      <c r="BC75" s="2">
        <f>AZ75+BA75+BB75</f>
        <v/>
      </c>
      <c r="BD75" s="2">
        <f>MAX(0,BC75-Pool!BV75)</f>
        <v/>
      </c>
      <c r="BE75" s="2">
        <f>MIN(BB75,BD75)</f>
        <v/>
      </c>
      <c r="BF75" s="2">
        <f>MIN(BA75,BD75-BE75)</f>
        <v/>
      </c>
      <c r="BG75" s="2">
        <f>MIN(AZ75,BD75-BE75-BF75)</f>
        <v/>
      </c>
      <c r="BH75" s="2">
        <f>AZ75-BG75</f>
        <v/>
      </c>
      <c r="BI75" s="2">
        <f>BA75-BF75</f>
        <v/>
      </c>
      <c r="BJ75" s="2">
        <f>BB75-BE75</f>
        <v/>
      </c>
      <c r="BK75" s="7">
        <f>IF(BH75+BI75+BJ75&lt;0.005,1,0)</f>
        <v/>
      </c>
      <c r="BL75" s="2">
        <f>Q75-R75</f>
        <v/>
      </c>
      <c r="BM75" s="2">
        <f>IF(BK75=1,0,MIN(AU75,MAX(0,Inputs!$B$48-BL75)))</f>
        <v/>
      </c>
      <c r="BN75" s="2">
        <f>IF(BK75=1,BL75,0)</f>
        <v/>
      </c>
      <c r="BO75" s="2">
        <f>BL75+BM75-BN75</f>
        <v/>
      </c>
      <c r="BP75" s="2">
        <f>AU75-BM75</f>
        <v/>
      </c>
      <c r="BQ75" s="2">
        <f>BP75+Z75+BN75</f>
        <v/>
      </c>
      <c r="BR75" s="2">
        <f>W75+AW75</f>
        <v/>
      </c>
      <c r="BS75" s="2">
        <f>X75+AX75</f>
        <v/>
      </c>
      <c r="BT75" s="2">
        <f>Y75+AY75</f>
        <v/>
      </c>
      <c r="BU75" s="2">
        <f>AG75+AK75+AO75+BR75+BS75+BT75</f>
        <v/>
      </c>
      <c r="BV75" s="2">
        <f>K75-AG75</f>
        <v/>
      </c>
      <c r="BW75" s="2">
        <f>M75-AK75</f>
        <v/>
      </c>
      <c r="BX75" s="2">
        <f>O75-AO75</f>
        <v/>
      </c>
      <c r="BY75" s="2">
        <f>C75-AE75</f>
        <v/>
      </c>
      <c r="BZ75" s="8">
        <f>AE75+BU75+BQ75+(BO75-Q75)-Pool!BW75</f>
        <v/>
      </c>
    </row>
    <row r="76">
      <c r="A76" s="7" t="n">
        <v>71</v>
      </c>
      <c r="B76" s="2">
        <f>Inputs!$B$51/12*Pool!BK76</f>
        <v/>
      </c>
      <c r="C76" s="2">
        <f>B76+BY75</f>
        <v/>
      </c>
      <c r="D76" s="2">
        <f>BH75</f>
        <v/>
      </c>
      <c r="E76" s="2">
        <f>BI75</f>
        <v/>
      </c>
      <c r="F76" s="2">
        <f>BJ75</f>
        <v/>
      </c>
      <c r="G76" s="3">
        <f>MAX(0,Pool!B76+Inputs!$B$42)</f>
        <v/>
      </c>
      <c r="H76" s="3">
        <f>MAX(0,Pool!B76+Inputs!$B$43)</f>
        <v/>
      </c>
      <c r="I76" s="3">
        <f>Inputs!$B$44</f>
        <v/>
      </c>
      <c r="J76" s="2">
        <f>D76*G76/12</f>
        <v/>
      </c>
      <c r="K76" s="2">
        <f>J76+BV75</f>
        <v/>
      </c>
      <c r="L76" s="2">
        <f>E76*H76/12</f>
        <v/>
      </c>
      <c r="M76" s="2">
        <f>L76+BW75</f>
        <v/>
      </c>
      <c r="N76" s="2">
        <f>F76*I76/12</f>
        <v/>
      </c>
      <c r="O76" s="2">
        <f>N76+BX75</f>
        <v/>
      </c>
      <c r="P76" s="2">
        <f>Pool!BM76</f>
        <v/>
      </c>
      <c r="Q76" s="2">
        <f>BO75</f>
        <v/>
      </c>
      <c r="R76" s="2">
        <f>MIN(Q76,MAX(0,C76+K76+M76-P76))</f>
        <v/>
      </c>
      <c r="S76" s="2">
        <f>P76+R76</f>
        <v/>
      </c>
      <c r="T76" s="2">
        <f>Pool!BN76+Pool!BO76+Pool!BQ76</f>
        <v/>
      </c>
      <c r="U76" s="7">
        <f>IF(OR(Inputs!$B$53=1,Tests!M75=1),1,0)</f>
        <v/>
      </c>
      <c r="V76" s="2">
        <f>D76+E76+F76</f>
        <v/>
      </c>
      <c r="W76" s="2">
        <f>IF(U76=1,MIN(D76,T76),IF(V76&lt;=0,0,MIN(T76,V76)*D76/V76))</f>
        <v/>
      </c>
      <c r="X76" s="2">
        <f>IF(U76=1,MIN(E76,T76-W76),IF(V76&lt;=0,0,MIN(T76,V76)*E76/V76))</f>
        <v/>
      </c>
      <c r="Y76" s="2">
        <f>IF(U76=1,MIN(F76,T76-W76-X76),IF(V76&lt;=0,0,MIN(T76,V76)*F76/V76))</f>
        <v/>
      </c>
      <c r="Z76" s="2">
        <f>T76-W76-X76-Y76</f>
        <v/>
      </c>
      <c r="AA76" s="2">
        <f>D76-W76</f>
        <v/>
      </c>
      <c r="AB76" s="2">
        <f>E76-X76</f>
        <v/>
      </c>
      <c r="AC76" s="2">
        <f>F76-Y76</f>
        <v/>
      </c>
      <c r="AD76" s="2">
        <f>AA76+AB76+AC76</f>
        <v/>
      </c>
      <c r="AE76" s="2">
        <f>MIN(C76,S76)</f>
        <v/>
      </c>
      <c r="AF76" s="2">
        <f>S76-AE76</f>
        <v/>
      </c>
      <c r="AG76" s="2">
        <f>MIN(K76,AF76)</f>
        <v/>
      </c>
      <c r="AH76" s="2">
        <f>AF76-AG76</f>
        <v/>
      </c>
      <c r="AI76" s="2">
        <f>IF(Tests!F76=1,MIN(AH76,AD76),0)</f>
        <v/>
      </c>
      <c r="AJ76" s="2">
        <f>AH76-AI76</f>
        <v/>
      </c>
      <c r="AK76" s="2">
        <f>MIN(M76,AJ76)</f>
        <v/>
      </c>
      <c r="AL76" s="2">
        <f>AJ76-AK76</f>
        <v/>
      </c>
      <c r="AM76" s="2">
        <f>IF(Tests!I76=1,MIN(AL76,AD76-AI76),0)</f>
        <v/>
      </c>
      <c r="AN76" s="2">
        <f>AL76-AM76</f>
        <v/>
      </c>
      <c r="AO76" s="2">
        <f>MIN(O76,AN76)</f>
        <v/>
      </c>
      <c r="AP76" s="2">
        <f>AN76-AO76</f>
        <v/>
      </c>
      <c r="AQ76" s="2">
        <f>IF(Tests!L76=1,MIN(AP76,AD76-AI76-AM76),0)</f>
        <v/>
      </c>
      <c r="AR76" s="2">
        <f>AP76-AQ76</f>
        <v/>
      </c>
      <c r="AS76" s="2">
        <f>MAX(0,AD76-AI76-AM76-AQ76-Pool!BV76)</f>
        <v/>
      </c>
      <c r="AT76" s="2">
        <f>MIN(AR76,AS76)</f>
        <v/>
      </c>
      <c r="AU76" s="2">
        <f>AR76-AT76</f>
        <v/>
      </c>
      <c r="AV76" s="2">
        <f>AI76+AM76+AQ76+AT76</f>
        <v/>
      </c>
      <c r="AW76" s="2">
        <f>MIN(AA76,AV76)</f>
        <v/>
      </c>
      <c r="AX76" s="2">
        <f>MIN(AB76,AV76-AW76)</f>
        <v/>
      </c>
      <c r="AY76" s="2">
        <f>MIN(AC76,AV76-AW76-AX76)</f>
        <v/>
      </c>
      <c r="AZ76" s="2">
        <f>AA76-AW76</f>
        <v/>
      </c>
      <c r="BA76" s="2">
        <f>AB76-AX76</f>
        <v/>
      </c>
      <c r="BB76" s="2">
        <f>AC76-AY76</f>
        <v/>
      </c>
      <c r="BC76" s="2">
        <f>AZ76+BA76+BB76</f>
        <v/>
      </c>
      <c r="BD76" s="2">
        <f>MAX(0,BC76-Pool!BV76)</f>
        <v/>
      </c>
      <c r="BE76" s="2">
        <f>MIN(BB76,BD76)</f>
        <v/>
      </c>
      <c r="BF76" s="2">
        <f>MIN(BA76,BD76-BE76)</f>
        <v/>
      </c>
      <c r="BG76" s="2">
        <f>MIN(AZ76,BD76-BE76-BF76)</f>
        <v/>
      </c>
      <c r="BH76" s="2">
        <f>AZ76-BG76</f>
        <v/>
      </c>
      <c r="BI76" s="2">
        <f>BA76-BF76</f>
        <v/>
      </c>
      <c r="BJ76" s="2">
        <f>BB76-BE76</f>
        <v/>
      </c>
      <c r="BK76" s="7">
        <f>IF(BH76+BI76+BJ76&lt;0.005,1,0)</f>
        <v/>
      </c>
      <c r="BL76" s="2">
        <f>Q76-R76</f>
        <v/>
      </c>
      <c r="BM76" s="2">
        <f>IF(BK76=1,0,MIN(AU76,MAX(0,Inputs!$B$48-BL76)))</f>
        <v/>
      </c>
      <c r="BN76" s="2">
        <f>IF(BK76=1,BL76,0)</f>
        <v/>
      </c>
      <c r="BO76" s="2">
        <f>BL76+BM76-BN76</f>
        <v/>
      </c>
      <c r="BP76" s="2">
        <f>AU76-BM76</f>
        <v/>
      </c>
      <c r="BQ76" s="2">
        <f>BP76+Z76+BN76</f>
        <v/>
      </c>
      <c r="BR76" s="2">
        <f>W76+AW76</f>
        <v/>
      </c>
      <c r="BS76" s="2">
        <f>X76+AX76</f>
        <v/>
      </c>
      <c r="BT76" s="2">
        <f>Y76+AY76</f>
        <v/>
      </c>
      <c r="BU76" s="2">
        <f>AG76+AK76+AO76+BR76+BS76+BT76</f>
        <v/>
      </c>
      <c r="BV76" s="2">
        <f>K76-AG76</f>
        <v/>
      </c>
      <c r="BW76" s="2">
        <f>M76-AK76</f>
        <v/>
      </c>
      <c r="BX76" s="2">
        <f>O76-AO76</f>
        <v/>
      </c>
      <c r="BY76" s="2">
        <f>C76-AE76</f>
        <v/>
      </c>
      <c r="BZ76" s="8">
        <f>AE76+BU76+BQ76+(BO76-Q76)-Pool!BW76</f>
        <v/>
      </c>
    </row>
    <row r="77">
      <c r="A77" s="7" t="n">
        <v>72</v>
      </c>
      <c r="B77" s="2">
        <f>Inputs!$B$51/12*Pool!BK77</f>
        <v/>
      </c>
      <c r="C77" s="2">
        <f>B77+BY76</f>
        <v/>
      </c>
      <c r="D77" s="2">
        <f>BH76</f>
        <v/>
      </c>
      <c r="E77" s="2">
        <f>BI76</f>
        <v/>
      </c>
      <c r="F77" s="2">
        <f>BJ76</f>
        <v/>
      </c>
      <c r="G77" s="3">
        <f>MAX(0,Pool!B77+Inputs!$B$42)</f>
        <v/>
      </c>
      <c r="H77" s="3">
        <f>MAX(0,Pool!B77+Inputs!$B$43)</f>
        <v/>
      </c>
      <c r="I77" s="3">
        <f>Inputs!$B$44</f>
        <v/>
      </c>
      <c r="J77" s="2">
        <f>D77*G77/12</f>
        <v/>
      </c>
      <c r="K77" s="2">
        <f>J77+BV76</f>
        <v/>
      </c>
      <c r="L77" s="2">
        <f>E77*H77/12</f>
        <v/>
      </c>
      <c r="M77" s="2">
        <f>L77+BW76</f>
        <v/>
      </c>
      <c r="N77" s="2">
        <f>F77*I77/12</f>
        <v/>
      </c>
      <c r="O77" s="2">
        <f>N77+BX76</f>
        <v/>
      </c>
      <c r="P77" s="2">
        <f>Pool!BM77</f>
        <v/>
      </c>
      <c r="Q77" s="2">
        <f>BO76</f>
        <v/>
      </c>
      <c r="R77" s="2">
        <f>MIN(Q77,MAX(0,C77+K77+M77-P77))</f>
        <v/>
      </c>
      <c r="S77" s="2">
        <f>P77+R77</f>
        <v/>
      </c>
      <c r="T77" s="2">
        <f>Pool!BN77+Pool!BO77+Pool!BQ77</f>
        <v/>
      </c>
      <c r="U77" s="7">
        <f>IF(OR(Inputs!$B$53=1,Tests!M76=1),1,0)</f>
        <v/>
      </c>
      <c r="V77" s="2">
        <f>D77+E77+F77</f>
        <v/>
      </c>
      <c r="W77" s="2">
        <f>IF(U77=1,MIN(D77,T77),IF(V77&lt;=0,0,MIN(T77,V77)*D77/V77))</f>
        <v/>
      </c>
      <c r="X77" s="2">
        <f>IF(U77=1,MIN(E77,T77-W77),IF(V77&lt;=0,0,MIN(T77,V77)*E77/V77))</f>
        <v/>
      </c>
      <c r="Y77" s="2">
        <f>IF(U77=1,MIN(F77,T77-W77-X77),IF(V77&lt;=0,0,MIN(T77,V77)*F77/V77))</f>
        <v/>
      </c>
      <c r="Z77" s="2">
        <f>T77-W77-X77-Y77</f>
        <v/>
      </c>
      <c r="AA77" s="2">
        <f>D77-W77</f>
        <v/>
      </c>
      <c r="AB77" s="2">
        <f>E77-X77</f>
        <v/>
      </c>
      <c r="AC77" s="2">
        <f>F77-Y77</f>
        <v/>
      </c>
      <c r="AD77" s="2">
        <f>AA77+AB77+AC77</f>
        <v/>
      </c>
      <c r="AE77" s="2">
        <f>MIN(C77,S77)</f>
        <v/>
      </c>
      <c r="AF77" s="2">
        <f>S77-AE77</f>
        <v/>
      </c>
      <c r="AG77" s="2">
        <f>MIN(K77,AF77)</f>
        <v/>
      </c>
      <c r="AH77" s="2">
        <f>AF77-AG77</f>
        <v/>
      </c>
      <c r="AI77" s="2">
        <f>IF(Tests!F77=1,MIN(AH77,AD77),0)</f>
        <v/>
      </c>
      <c r="AJ77" s="2">
        <f>AH77-AI77</f>
        <v/>
      </c>
      <c r="AK77" s="2">
        <f>MIN(M77,AJ77)</f>
        <v/>
      </c>
      <c r="AL77" s="2">
        <f>AJ77-AK77</f>
        <v/>
      </c>
      <c r="AM77" s="2">
        <f>IF(Tests!I77=1,MIN(AL77,AD77-AI77),0)</f>
        <v/>
      </c>
      <c r="AN77" s="2">
        <f>AL77-AM77</f>
        <v/>
      </c>
      <c r="AO77" s="2">
        <f>MIN(O77,AN77)</f>
        <v/>
      </c>
      <c r="AP77" s="2">
        <f>AN77-AO77</f>
        <v/>
      </c>
      <c r="AQ77" s="2">
        <f>IF(Tests!L77=1,MIN(AP77,AD77-AI77-AM77),0)</f>
        <v/>
      </c>
      <c r="AR77" s="2">
        <f>AP77-AQ77</f>
        <v/>
      </c>
      <c r="AS77" s="2">
        <f>MAX(0,AD77-AI77-AM77-AQ77-Pool!BV77)</f>
        <v/>
      </c>
      <c r="AT77" s="2">
        <f>MIN(AR77,AS77)</f>
        <v/>
      </c>
      <c r="AU77" s="2">
        <f>AR77-AT77</f>
        <v/>
      </c>
      <c r="AV77" s="2">
        <f>AI77+AM77+AQ77+AT77</f>
        <v/>
      </c>
      <c r="AW77" s="2">
        <f>MIN(AA77,AV77)</f>
        <v/>
      </c>
      <c r="AX77" s="2">
        <f>MIN(AB77,AV77-AW77)</f>
        <v/>
      </c>
      <c r="AY77" s="2">
        <f>MIN(AC77,AV77-AW77-AX77)</f>
        <v/>
      </c>
      <c r="AZ77" s="2">
        <f>AA77-AW77</f>
        <v/>
      </c>
      <c r="BA77" s="2">
        <f>AB77-AX77</f>
        <v/>
      </c>
      <c r="BB77" s="2">
        <f>AC77-AY77</f>
        <v/>
      </c>
      <c r="BC77" s="2">
        <f>AZ77+BA77+BB77</f>
        <v/>
      </c>
      <c r="BD77" s="2">
        <f>MAX(0,BC77-Pool!BV77)</f>
        <v/>
      </c>
      <c r="BE77" s="2">
        <f>MIN(BB77,BD77)</f>
        <v/>
      </c>
      <c r="BF77" s="2">
        <f>MIN(BA77,BD77-BE77)</f>
        <v/>
      </c>
      <c r="BG77" s="2">
        <f>MIN(AZ77,BD77-BE77-BF77)</f>
        <v/>
      </c>
      <c r="BH77" s="2">
        <f>AZ77-BG77</f>
        <v/>
      </c>
      <c r="BI77" s="2">
        <f>BA77-BF77</f>
        <v/>
      </c>
      <c r="BJ77" s="2">
        <f>BB77-BE77</f>
        <v/>
      </c>
      <c r="BK77" s="7">
        <f>IF(BH77+BI77+BJ77&lt;0.005,1,0)</f>
        <v/>
      </c>
      <c r="BL77" s="2">
        <f>Q77-R77</f>
        <v/>
      </c>
      <c r="BM77" s="2">
        <f>IF(BK77=1,0,MIN(AU77,MAX(0,Inputs!$B$48-BL77)))</f>
        <v/>
      </c>
      <c r="BN77" s="2">
        <f>IF(BK77=1,BL77,0)</f>
        <v/>
      </c>
      <c r="BO77" s="2">
        <f>BL77+BM77-BN77</f>
        <v/>
      </c>
      <c r="BP77" s="2">
        <f>AU77-BM77</f>
        <v/>
      </c>
      <c r="BQ77" s="2">
        <f>BP77+Z77+BN77</f>
        <v/>
      </c>
      <c r="BR77" s="2">
        <f>W77+AW77</f>
        <v/>
      </c>
      <c r="BS77" s="2">
        <f>X77+AX77</f>
        <v/>
      </c>
      <c r="BT77" s="2">
        <f>Y77+AY77</f>
        <v/>
      </c>
      <c r="BU77" s="2">
        <f>AG77+AK77+AO77+BR77+BS77+BT77</f>
        <v/>
      </c>
      <c r="BV77" s="2">
        <f>K77-AG77</f>
        <v/>
      </c>
      <c r="BW77" s="2">
        <f>M77-AK77</f>
        <v/>
      </c>
      <c r="BX77" s="2">
        <f>O77-AO77</f>
        <v/>
      </c>
      <c r="BY77" s="2">
        <f>C77-AE77</f>
        <v/>
      </c>
      <c r="BZ77" s="8">
        <f>AE77+BU77+BQ77+(BO77-Q77)-Pool!BW77</f>
        <v/>
      </c>
    </row>
    <row r="78">
      <c r="A78" s="7" t="n">
        <v>73</v>
      </c>
      <c r="B78" s="2">
        <f>Inputs!$B$51/12*Pool!BK78</f>
        <v/>
      </c>
      <c r="C78" s="2">
        <f>B78+BY77</f>
        <v/>
      </c>
      <c r="D78" s="2">
        <f>BH77</f>
        <v/>
      </c>
      <c r="E78" s="2">
        <f>BI77</f>
        <v/>
      </c>
      <c r="F78" s="2">
        <f>BJ77</f>
        <v/>
      </c>
      <c r="G78" s="3">
        <f>MAX(0,Pool!B78+Inputs!$B$42)</f>
        <v/>
      </c>
      <c r="H78" s="3">
        <f>MAX(0,Pool!B78+Inputs!$B$43)</f>
        <v/>
      </c>
      <c r="I78" s="3">
        <f>Inputs!$B$44</f>
        <v/>
      </c>
      <c r="J78" s="2">
        <f>D78*G78/12</f>
        <v/>
      </c>
      <c r="K78" s="2">
        <f>J78+BV77</f>
        <v/>
      </c>
      <c r="L78" s="2">
        <f>E78*H78/12</f>
        <v/>
      </c>
      <c r="M78" s="2">
        <f>L78+BW77</f>
        <v/>
      </c>
      <c r="N78" s="2">
        <f>F78*I78/12</f>
        <v/>
      </c>
      <c r="O78" s="2">
        <f>N78+BX77</f>
        <v/>
      </c>
      <c r="P78" s="2">
        <f>Pool!BM78</f>
        <v/>
      </c>
      <c r="Q78" s="2">
        <f>BO77</f>
        <v/>
      </c>
      <c r="R78" s="2">
        <f>MIN(Q78,MAX(0,C78+K78+M78-P78))</f>
        <v/>
      </c>
      <c r="S78" s="2">
        <f>P78+R78</f>
        <v/>
      </c>
      <c r="T78" s="2">
        <f>Pool!BN78+Pool!BO78+Pool!BQ78</f>
        <v/>
      </c>
      <c r="U78" s="7">
        <f>IF(OR(Inputs!$B$53=1,Tests!M77=1),1,0)</f>
        <v/>
      </c>
      <c r="V78" s="2">
        <f>D78+E78+F78</f>
        <v/>
      </c>
      <c r="W78" s="2">
        <f>IF(U78=1,MIN(D78,T78),IF(V78&lt;=0,0,MIN(T78,V78)*D78/V78))</f>
        <v/>
      </c>
      <c r="X78" s="2">
        <f>IF(U78=1,MIN(E78,T78-W78),IF(V78&lt;=0,0,MIN(T78,V78)*E78/V78))</f>
        <v/>
      </c>
      <c r="Y78" s="2">
        <f>IF(U78=1,MIN(F78,T78-W78-X78),IF(V78&lt;=0,0,MIN(T78,V78)*F78/V78))</f>
        <v/>
      </c>
      <c r="Z78" s="2">
        <f>T78-W78-X78-Y78</f>
        <v/>
      </c>
      <c r="AA78" s="2">
        <f>D78-W78</f>
        <v/>
      </c>
      <c r="AB78" s="2">
        <f>E78-X78</f>
        <v/>
      </c>
      <c r="AC78" s="2">
        <f>F78-Y78</f>
        <v/>
      </c>
      <c r="AD78" s="2">
        <f>AA78+AB78+AC78</f>
        <v/>
      </c>
      <c r="AE78" s="2">
        <f>MIN(C78,S78)</f>
        <v/>
      </c>
      <c r="AF78" s="2">
        <f>S78-AE78</f>
        <v/>
      </c>
      <c r="AG78" s="2">
        <f>MIN(K78,AF78)</f>
        <v/>
      </c>
      <c r="AH78" s="2">
        <f>AF78-AG78</f>
        <v/>
      </c>
      <c r="AI78" s="2">
        <f>IF(Tests!F78=1,MIN(AH78,AD78),0)</f>
        <v/>
      </c>
      <c r="AJ78" s="2">
        <f>AH78-AI78</f>
        <v/>
      </c>
      <c r="AK78" s="2">
        <f>MIN(M78,AJ78)</f>
        <v/>
      </c>
      <c r="AL78" s="2">
        <f>AJ78-AK78</f>
        <v/>
      </c>
      <c r="AM78" s="2">
        <f>IF(Tests!I78=1,MIN(AL78,AD78-AI78),0)</f>
        <v/>
      </c>
      <c r="AN78" s="2">
        <f>AL78-AM78</f>
        <v/>
      </c>
      <c r="AO78" s="2">
        <f>MIN(O78,AN78)</f>
        <v/>
      </c>
      <c r="AP78" s="2">
        <f>AN78-AO78</f>
        <v/>
      </c>
      <c r="AQ78" s="2">
        <f>IF(Tests!L78=1,MIN(AP78,AD78-AI78-AM78),0)</f>
        <v/>
      </c>
      <c r="AR78" s="2">
        <f>AP78-AQ78</f>
        <v/>
      </c>
      <c r="AS78" s="2">
        <f>MAX(0,AD78-AI78-AM78-AQ78-Pool!BV78)</f>
        <v/>
      </c>
      <c r="AT78" s="2">
        <f>MIN(AR78,AS78)</f>
        <v/>
      </c>
      <c r="AU78" s="2">
        <f>AR78-AT78</f>
        <v/>
      </c>
      <c r="AV78" s="2">
        <f>AI78+AM78+AQ78+AT78</f>
        <v/>
      </c>
      <c r="AW78" s="2">
        <f>MIN(AA78,AV78)</f>
        <v/>
      </c>
      <c r="AX78" s="2">
        <f>MIN(AB78,AV78-AW78)</f>
        <v/>
      </c>
      <c r="AY78" s="2">
        <f>MIN(AC78,AV78-AW78-AX78)</f>
        <v/>
      </c>
      <c r="AZ78" s="2">
        <f>AA78-AW78</f>
        <v/>
      </c>
      <c r="BA78" s="2">
        <f>AB78-AX78</f>
        <v/>
      </c>
      <c r="BB78" s="2">
        <f>AC78-AY78</f>
        <v/>
      </c>
      <c r="BC78" s="2">
        <f>AZ78+BA78+BB78</f>
        <v/>
      </c>
      <c r="BD78" s="2">
        <f>MAX(0,BC78-Pool!BV78)</f>
        <v/>
      </c>
      <c r="BE78" s="2">
        <f>MIN(BB78,BD78)</f>
        <v/>
      </c>
      <c r="BF78" s="2">
        <f>MIN(BA78,BD78-BE78)</f>
        <v/>
      </c>
      <c r="BG78" s="2">
        <f>MIN(AZ78,BD78-BE78-BF78)</f>
        <v/>
      </c>
      <c r="BH78" s="2">
        <f>AZ78-BG78</f>
        <v/>
      </c>
      <c r="BI78" s="2">
        <f>BA78-BF78</f>
        <v/>
      </c>
      <c r="BJ78" s="2">
        <f>BB78-BE78</f>
        <v/>
      </c>
      <c r="BK78" s="7">
        <f>IF(BH78+BI78+BJ78&lt;0.005,1,0)</f>
        <v/>
      </c>
      <c r="BL78" s="2">
        <f>Q78-R78</f>
        <v/>
      </c>
      <c r="BM78" s="2">
        <f>IF(BK78=1,0,MIN(AU78,MAX(0,Inputs!$B$48-BL78)))</f>
        <v/>
      </c>
      <c r="BN78" s="2">
        <f>IF(BK78=1,BL78,0)</f>
        <v/>
      </c>
      <c r="BO78" s="2">
        <f>BL78+BM78-BN78</f>
        <v/>
      </c>
      <c r="BP78" s="2">
        <f>AU78-BM78</f>
        <v/>
      </c>
      <c r="BQ78" s="2">
        <f>BP78+Z78+BN78</f>
        <v/>
      </c>
      <c r="BR78" s="2">
        <f>W78+AW78</f>
        <v/>
      </c>
      <c r="BS78" s="2">
        <f>X78+AX78</f>
        <v/>
      </c>
      <c r="BT78" s="2">
        <f>Y78+AY78</f>
        <v/>
      </c>
      <c r="BU78" s="2">
        <f>AG78+AK78+AO78+BR78+BS78+BT78</f>
        <v/>
      </c>
      <c r="BV78" s="2">
        <f>K78-AG78</f>
        <v/>
      </c>
      <c r="BW78" s="2">
        <f>M78-AK78</f>
        <v/>
      </c>
      <c r="BX78" s="2">
        <f>O78-AO78</f>
        <v/>
      </c>
      <c r="BY78" s="2">
        <f>C78-AE78</f>
        <v/>
      </c>
      <c r="BZ78" s="8">
        <f>AE78+BU78+BQ78+(BO78-Q78)-Pool!BW78</f>
        <v/>
      </c>
    </row>
    <row r="79">
      <c r="A79" s="7" t="n">
        <v>74</v>
      </c>
      <c r="B79" s="2">
        <f>Inputs!$B$51/12*Pool!BK79</f>
        <v/>
      </c>
      <c r="C79" s="2">
        <f>B79+BY78</f>
        <v/>
      </c>
      <c r="D79" s="2">
        <f>BH78</f>
        <v/>
      </c>
      <c r="E79" s="2">
        <f>BI78</f>
        <v/>
      </c>
      <c r="F79" s="2">
        <f>BJ78</f>
        <v/>
      </c>
      <c r="G79" s="3">
        <f>MAX(0,Pool!B79+Inputs!$B$42)</f>
        <v/>
      </c>
      <c r="H79" s="3">
        <f>MAX(0,Pool!B79+Inputs!$B$43)</f>
        <v/>
      </c>
      <c r="I79" s="3">
        <f>Inputs!$B$44</f>
        <v/>
      </c>
      <c r="J79" s="2">
        <f>D79*G79/12</f>
        <v/>
      </c>
      <c r="K79" s="2">
        <f>J79+BV78</f>
        <v/>
      </c>
      <c r="L79" s="2">
        <f>E79*H79/12</f>
        <v/>
      </c>
      <c r="M79" s="2">
        <f>L79+BW78</f>
        <v/>
      </c>
      <c r="N79" s="2">
        <f>F79*I79/12</f>
        <v/>
      </c>
      <c r="O79" s="2">
        <f>N79+BX78</f>
        <v/>
      </c>
      <c r="P79" s="2">
        <f>Pool!BM79</f>
        <v/>
      </c>
      <c r="Q79" s="2">
        <f>BO78</f>
        <v/>
      </c>
      <c r="R79" s="2">
        <f>MIN(Q79,MAX(0,C79+K79+M79-P79))</f>
        <v/>
      </c>
      <c r="S79" s="2">
        <f>P79+R79</f>
        <v/>
      </c>
      <c r="T79" s="2">
        <f>Pool!BN79+Pool!BO79+Pool!BQ79</f>
        <v/>
      </c>
      <c r="U79" s="7">
        <f>IF(OR(Inputs!$B$53=1,Tests!M78=1),1,0)</f>
        <v/>
      </c>
      <c r="V79" s="2">
        <f>D79+E79+F79</f>
        <v/>
      </c>
      <c r="W79" s="2">
        <f>IF(U79=1,MIN(D79,T79),IF(V79&lt;=0,0,MIN(T79,V79)*D79/V79))</f>
        <v/>
      </c>
      <c r="X79" s="2">
        <f>IF(U79=1,MIN(E79,T79-W79),IF(V79&lt;=0,0,MIN(T79,V79)*E79/V79))</f>
        <v/>
      </c>
      <c r="Y79" s="2">
        <f>IF(U79=1,MIN(F79,T79-W79-X79),IF(V79&lt;=0,0,MIN(T79,V79)*F79/V79))</f>
        <v/>
      </c>
      <c r="Z79" s="2">
        <f>T79-W79-X79-Y79</f>
        <v/>
      </c>
      <c r="AA79" s="2">
        <f>D79-W79</f>
        <v/>
      </c>
      <c r="AB79" s="2">
        <f>E79-X79</f>
        <v/>
      </c>
      <c r="AC79" s="2">
        <f>F79-Y79</f>
        <v/>
      </c>
      <c r="AD79" s="2">
        <f>AA79+AB79+AC79</f>
        <v/>
      </c>
      <c r="AE79" s="2">
        <f>MIN(C79,S79)</f>
        <v/>
      </c>
      <c r="AF79" s="2">
        <f>S79-AE79</f>
        <v/>
      </c>
      <c r="AG79" s="2">
        <f>MIN(K79,AF79)</f>
        <v/>
      </c>
      <c r="AH79" s="2">
        <f>AF79-AG79</f>
        <v/>
      </c>
      <c r="AI79" s="2">
        <f>IF(Tests!F79=1,MIN(AH79,AD79),0)</f>
        <v/>
      </c>
      <c r="AJ79" s="2">
        <f>AH79-AI79</f>
        <v/>
      </c>
      <c r="AK79" s="2">
        <f>MIN(M79,AJ79)</f>
        <v/>
      </c>
      <c r="AL79" s="2">
        <f>AJ79-AK79</f>
        <v/>
      </c>
      <c r="AM79" s="2">
        <f>IF(Tests!I79=1,MIN(AL79,AD79-AI79),0)</f>
        <v/>
      </c>
      <c r="AN79" s="2">
        <f>AL79-AM79</f>
        <v/>
      </c>
      <c r="AO79" s="2">
        <f>MIN(O79,AN79)</f>
        <v/>
      </c>
      <c r="AP79" s="2">
        <f>AN79-AO79</f>
        <v/>
      </c>
      <c r="AQ79" s="2">
        <f>IF(Tests!L79=1,MIN(AP79,AD79-AI79-AM79),0)</f>
        <v/>
      </c>
      <c r="AR79" s="2">
        <f>AP79-AQ79</f>
        <v/>
      </c>
      <c r="AS79" s="2">
        <f>MAX(0,AD79-AI79-AM79-AQ79-Pool!BV79)</f>
        <v/>
      </c>
      <c r="AT79" s="2">
        <f>MIN(AR79,AS79)</f>
        <v/>
      </c>
      <c r="AU79" s="2">
        <f>AR79-AT79</f>
        <v/>
      </c>
      <c r="AV79" s="2">
        <f>AI79+AM79+AQ79+AT79</f>
        <v/>
      </c>
      <c r="AW79" s="2">
        <f>MIN(AA79,AV79)</f>
        <v/>
      </c>
      <c r="AX79" s="2">
        <f>MIN(AB79,AV79-AW79)</f>
        <v/>
      </c>
      <c r="AY79" s="2">
        <f>MIN(AC79,AV79-AW79-AX79)</f>
        <v/>
      </c>
      <c r="AZ79" s="2">
        <f>AA79-AW79</f>
        <v/>
      </c>
      <c r="BA79" s="2">
        <f>AB79-AX79</f>
        <v/>
      </c>
      <c r="BB79" s="2">
        <f>AC79-AY79</f>
        <v/>
      </c>
      <c r="BC79" s="2">
        <f>AZ79+BA79+BB79</f>
        <v/>
      </c>
      <c r="BD79" s="2">
        <f>MAX(0,BC79-Pool!BV79)</f>
        <v/>
      </c>
      <c r="BE79" s="2">
        <f>MIN(BB79,BD79)</f>
        <v/>
      </c>
      <c r="BF79" s="2">
        <f>MIN(BA79,BD79-BE79)</f>
        <v/>
      </c>
      <c r="BG79" s="2">
        <f>MIN(AZ79,BD79-BE79-BF79)</f>
        <v/>
      </c>
      <c r="BH79" s="2">
        <f>AZ79-BG79</f>
        <v/>
      </c>
      <c r="BI79" s="2">
        <f>BA79-BF79</f>
        <v/>
      </c>
      <c r="BJ79" s="2">
        <f>BB79-BE79</f>
        <v/>
      </c>
      <c r="BK79" s="7">
        <f>IF(BH79+BI79+BJ79&lt;0.005,1,0)</f>
        <v/>
      </c>
      <c r="BL79" s="2">
        <f>Q79-R79</f>
        <v/>
      </c>
      <c r="BM79" s="2">
        <f>IF(BK79=1,0,MIN(AU79,MAX(0,Inputs!$B$48-BL79)))</f>
        <v/>
      </c>
      <c r="BN79" s="2">
        <f>IF(BK79=1,BL79,0)</f>
        <v/>
      </c>
      <c r="BO79" s="2">
        <f>BL79+BM79-BN79</f>
        <v/>
      </c>
      <c r="BP79" s="2">
        <f>AU79-BM79</f>
        <v/>
      </c>
      <c r="BQ79" s="2">
        <f>BP79+Z79+BN79</f>
        <v/>
      </c>
      <c r="BR79" s="2">
        <f>W79+AW79</f>
        <v/>
      </c>
      <c r="BS79" s="2">
        <f>X79+AX79</f>
        <v/>
      </c>
      <c r="BT79" s="2">
        <f>Y79+AY79</f>
        <v/>
      </c>
      <c r="BU79" s="2">
        <f>AG79+AK79+AO79+BR79+BS79+BT79</f>
        <v/>
      </c>
      <c r="BV79" s="2">
        <f>K79-AG79</f>
        <v/>
      </c>
      <c r="BW79" s="2">
        <f>M79-AK79</f>
        <v/>
      </c>
      <c r="BX79" s="2">
        <f>O79-AO79</f>
        <v/>
      </c>
      <c r="BY79" s="2">
        <f>C79-AE79</f>
        <v/>
      </c>
      <c r="BZ79" s="8">
        <f>AE79+BU79+BQ79+(BO79-Q79)-Pool!BW79</f>
        <v/>
      </c>
    </row>
    <row r="80">
      <c r="A80" s="7" t="n">
        <v>75</v>
      </c>
      <c r="B80" s="2">
        <f>Inputs!$B$51/12*Pool!BK80</f>
        <v/>
      </c>
      <c r="C80" s="2">
        <f>B80+BY79</f>
        <v/>
      </c>
      <c r="D80" s="2">
        <f>BH79</f>
        <v/>
      </c>
      <c r="E80" s="2">
        <f>BI79</f>
        <v/>
      </c>
      <c r="F80" s="2">
        <f>BJ79</f>
        <v/>
      </c>
      <c r="G80" s="3">
        <f>MAX(0,Pool!B80+Inputs!$B$42)</f>
        <v/>
      </c>
      <c r="H80" s="3">
        <f>MAX(0,Pool!B80+Inputs!$B$43)</f>
        <v/>
      </c>
      <c r="I80" s="3">
        <f>Inputs!$B$44</f>
        <v/>
      </c>
      <c r="J80" s="2">
        <f>D80*G80/12</f>
        <v/>
      </c>
      <c r="K80" s="2">
        <f>J80+BV79</f>
        <v/>
      </c>
      <c r="L80" s="2">
        <f>E80*H80/12</f>
        <v/>
      </c>
      <c r="M80" s="2">
        <f>L80+BW79</f>
        <v/>
      </c>
      <c r="N80" s="2">
        <f>F80*I80/12</f>
        <v/>
      </c>
      <c r="O80" s="2">
        <f>N80+BX79</f>
        <v/>
      </c>
      <c r="P80" s="2">
        <f>Pool!BM80</f>
        <v/>
      </c>
      <c r="Q80" s="2">
        <f>BO79</f>
        <v/>
      </c>
      <c r="R80" s="2">
        <f>MIN(Q80,MAX(0,C80+K80+M80-P80))</f>
        <v/>
      </c>
      <c r="S80" s="2">
        <f>P80+R80</f>
        <v/>
      </c>
      <c r="T80" s="2">
        <f>Pool!BN80+Pool!BO80+Pool!BQ80</f>
        <v/>
      </c>
      <c r="U80" s="7">
        <f>IF(OR(Inputs!$B$53=1,Tests!M79=1),1,0)</f>
        <v/>
      </c>
      <c r="V80" s="2">
        <f>D80+E80+F80</f>
        <v/>
      </c>
      <c r="W80" s="2">
        <f>IF(U80=1,MIN(D80,T80),IF(V80&lt;=0,0,MIN(T80,V80)*D80/V80))</f>
        <v/>
      </c>
      <c r="X80" s="2">
        <f>IF(U80=1,MIN(E80,T80-W80),IF(V80&lt;=0,0,MIN(T80,V80)*E80/V80))</f>
        <v/>
      </c>
      <c r="Y80" s="2">
        <f>IF(U80=1,MIN(F80,T80-W80-X80),IF(V80&lt;=0,0,MIN(T80,V80)*F80/V80))</f>
        <v/>
      </c>
      <c r="Z80" s="2">
        <f>T80-W80-X80-Y80</f>
        <v/>
      </c>
      <c r="AA80" s="2">
        <f>D80-W80</f>
        <v/>
      </c>
      <c r="AB80" s="2">
        <f>E80-X80</f>
        <v/>
      </c>
      <c r="AC80" s="2">
        <f>F80-Y80</f>
        <v/>
      </c>
      <c r="AD80" s="2">
        <f>AA80+AB80+AC80</f>
        <v/>
      </c>
      <c r="AE80" s="2">
        <f>MIN(C80,S80)</f>
        <v/>
      </c>
      <c r="AF80" s="2">
        <f>S80-AE80</f>
        <v/>
      </c>
      <c r="AG80" s="2">
        <f>MIN(K80,AF80)</f>
        <v/>
      </c>
      <c r="AH80" s="2">
        <f>AF80-AG80</f>
        <v/>
      </c>
      <c r="AI80" s="2">
        <f>IF(Tests!F80=1,MIN(AH80,AD80),0)</f>
        <v/>
      </c>
      <c r="AJ80" s="2">
        <f>AH80-AI80</f>
        <v/>
      </c>
      <c r="AK80" s="2">
        <f>MIN(M80,AJ80)</f>
        <v/>
      </c>
      <c r="AL80" s="2">
        <f>AJ80-AK80</f>
        <v/>
      </c>
      <c r="AM80" s="2">
        <f>IF(Tests!I80=1,MIN(AL80,AD80-AI80),0)</f>
        <v/>
      </c>
      <c r="AN80" s="2">
        <f>AL80-AM80</f>
        <v/>
      </c>
      <c r="AO80" s="2">
        <f>MIN(O80,AN80)</f>
        <v/>
      </c>
      <c r="AP80" s="2">
        <f>AN80-AO80</f>
        <v/>
      </c>
      <c r="AQ80" s="2">
        <f>IF(Tests!L80=1,MIN(AP80,AD80-AI80-AM80),0)</f>
        <v/>
      </c>
      <c r="AR80" s="2">
        <f>AP80-AQ80</f>
        <v/>
      </c>
      <c r="AS80" s="2">
        <f>MAX(0,AD80-AI80-AM80-AQ80-Pool!BV80)</f>
        <v/>
      </c>
      <c r="AT80" s="2">
        <f>MIN(AR80,AS80)</f>
        <v/>
      </c>
      <c r="AU80" s="2">
        <f>AR80-AT80</f>
        <v/>
      </c>
      <c r="AV80" s="2">
        <f>AI80+AM80+AQ80+AT80</f>
        <v/>
      </c>
      <c r="AW80" s="2">
        <f>MIN(AA80,AV80)</f>
        <v/>
      </c>
      <c r="AX80" s="2">
        <f>MIN(AB80,AV80-AW80)</f>
        <v/>
      </c>
      <c r="AY80" s="2">
        <f>MIN(AC80,AV80-AW80-AX80)</f>
        <v/>
      </c>
      <c r="AZ80" s="2">
        <f>AA80-AW80</f>
        <v/>
      </c>
      <c r="BA80" s="2">
        <f>AB80-AX80</f>
        <v/>
      </c>
      <c r="BB80" s="2">
        <f>AC80-AY80</f>
        <v/>
      </c>
      <c r="BC80" s="2">
        <f>AZ80+BA80+BB80</f>
        <v/>
      </c>
      <c r="BD80" s="2">
        <f>MAX(0,BC80-Pool!BV80)</f>
        <v/>
      </c>
      <c r="BE80" s="2">
        <f>MIN(BB80,BD80)</f>
        <v/>
      </c>
      <c r="BF80" s="2">
        <f>MIN(BA80,BD80-BE80)</f>
        <v/>
      </c>
      <c r="BG80" s="2">
        <f>MIN(AZ80,BD80-BE80-BF80)</f>
        <v/>
      </c>
      <c r="BH80" s="2">
        <f>AZ80-BG80</f>
        <v/>
      </c>
      <c r="BI80" s="2">
        <f>BA80-BF80</f>
        <v/>
      </c>
      <c r="BJ80" s="2">
        <f>BB80-BE80</f>
        <v/>
      </c>
      <c r="BK80" s="7">
        <f>IF(BH80+BI80+BJ80&lt;0.005,1,0)</f>
        <v/>
      </c>
      <c r="BL80" s="2">
        <f>Q80-R80</f>
        <v/>
      </c>
      <c r="BM80" s="2">
        <f>IF(BK80=1,0,MIN(AU80,MAX(0,Inputs!$B$48-BL80)))</f>
        <v/>
      </c>
      <c r="BN80" s="2">
        <f>IF(BK80=1,BL80,0)</f>
        <v/>
      </c>
      <c r="BO80" s="2">
        <f>BL80+BM80-BN80</f>
        <v/>
      </c>
      <c r="BP80" s="2">
        <f>AU80-BM80</f>
        <v/>
      </c>
      <c r="BQ80" s="2">
        <f>BP80+Z80+BN80</f>
        <v/>
      </c>
      <c r="BR80" s="2">
        <f>W80+AW80</f>
        <v/>
      </c>
      <c r="BS80" s="2">
        <f>X80+AX80</f>
        <v/>
      </c>
      <c r="BT80" s="2">
        <f>Y80+AY80</f>
        <v/>
      </c>
      <c r="BU80" s="2">
        <f>AG80+AK80+AO80+BR80+BS80+BT80</f>
        <v/>
      </c>
      <c r="BV80" s="2">
        <f>K80-AG80</f>
        <v/>
      </c>
      <c r="BW80" s="2">
        <f>M80-AK80</f>
        <v/>
      </c>
      <c r="BX80" s="2">
        <f>O80-AO80</f>
        <v/>
      </c>
      <c r="BY80" s="2">
        <f>C80-AE80</f>
        <v/>
      </c>
      <c r="BZ80" s="8">
        <f>AE80+BU80+BQ80+(BO80-Q80)-Pool!BW80</f>
        <v/>
      </c>
    </row>
    <row r="81">
      <c r="A81" s="7" t="n">
        <v>76</v>
      </c>
      <c r="B81" s="2">
        <f>Inputs!$B$51/12*Pool!BK81</f>
        <v/>
      </c>
      <c r="C81" s="2">
        <f>B81+BY80</f>
        <v/>
      </c>
      <c r="D81" s="2">
        <f>BH80</f>
        <v/>
      </c>
      <c r="E81" s="2">
        <f>BI80</f>
        <v/>
      </c>
      <c r="F81" s="2">
        <f>BJ80</f>
        <v/>
      </c>
      <c r="G81" s="3">
        <f>MAX(0,Pool!B81+Inputs!$B$42)</f>
        <v/>
      </c>
      <c r="H81" s="3">
        <f>MAX(0,Pool!B81+Inputs!$B$43)</f>
        <v/>
      </c>
      <c r="I81" s="3">
        <f>Inputs!$B$44</f>
        <v/>
      </c>
      <c r="J81" s="2">
        <f>D81*G81/12</f>
        <v/>
      </c>
      <c r="K81" s="2">
        <f>J81+BV80</f>
        <v/>
      </c>
      <c r="L81" s="2">
        <f>E81*H81/12</f>
        <v/>
      </c>
      <c r="M81" s="2">
        <f>L81+BW80</f>
        <v/>
      </c>
      <c r="N81" s="2">
        <f>F81*I81/12</f>
        <v/>
      </c>
      <c r="O81" s="2">
        <f>N81+BX80</f>
        <v/>
      </c>
      <c r="P81" s="2">
        <f>Pool!BM81</f>
        <v/>
      </c>
      <c r="Q81" s="2">
        <f>BO80</f>
        <v/>
      </c>
      <c r="R81" s="2">
        <f>MIN(Q81,MAX(0,C81+K81+M81-P81))</f>
        <v/>
      </c>
      <c r="S81" s="2">
        <f>P81+R81</f>
        <v/>
      </c>
      <c r="T81" s="2">
        <f>Pool!BN81+Pool!BO81+Pool!BQ81</f>
        <v/>
      </c>
      <c r="U81" s="7">
        <f>IF(OR(Inputs!$B$53=1,Tests!M80=1),1,0)</f>
        <v/>
      </c>
      <c r="V81" s="2">
        <f>D81+E81+F81</f>
        <v/>
      </c>
      <c r="W81" s="2">
        <f>IF(U81=1,MIN(D81,T81),IF(V81&lt;=0,0,MIN(T81,V81)*D81/V81))</f>
        <v/>
      </c>
      <c r="X81" s="2">
        <f>IF(U81=1,MIN(E81,T81-W81),IF(V81&lt;=0,0,MIN(T81,V81)*E81/V81))</f>
        <v/>
      </c>
      <c r="Y81" s="2">
        <f>IF(U81=1,MIN(F81,T81-W81-X81),IF(V81&lt;=0,0,MIN(T81,V81)*F81/V81))</f>
        <v/>
      </c>
      <c r="Z81" s="2">
        <f>T81-W81-X81-Y81</f>
        <v/>
      </c>
      <c r="AA81" s="2">
        <f>D81-W81</f>
        <v/>
      </c>
      <c r="AB81" s="2">
        <f>E81-X81</f>
        <v/>
      </c>
      <c r="AC81" s="2">
        <f>F81-Y81</f>
        <v/>
      </c>
      <c r="AD81" s="2">
        <f>AA81+AB81+AC81</f>
        <v/>
      </c>
      <c r="AE81" s="2">
        <f>MIN(C81,S81)</f>
        <v/>
      </c>
      <c r="AF81" s="2">
        <f>S81-AE81</f>
        <v/>
      </c>
      <c r="AG81" s="2">
        <f>MIN(K81,AF81)</f>
        <v/>
      </c>
      <c r="AH81" s="2">
        <f>AF81-AG81</f>
        <v/>
      </c>
      <c r="AI81" s="2">
        <f>IF(Tests!F81=1,MIN(AH81,AD81),0)</f>
        <v/>
      </c>
      <c r="AJ81" s="2">
        <f>AH81-AI81</f>
        <v/>
      </c>
      <c r="AK81" s="2">
        <f>MIN(M81,AJ81)</f>
        <v/>
      </c>
      <c r="AL81" s="2">
        <f>AJ81-AK81</f>
        <v/>
      </c>
      <c r="AM81" s="2">
        <f>IF(Tests!I81=1,MIN(AL81,AD81-AI81),0)</f>
        <v/>
      </c>
      <c r="AN81" s="2">
        <f>AL81-AM81</f>
        <v/>
      </c>
      <c r="AO81" s="2">
        <f>MIN(O81,AN81)</f>
        <v/>
      </c>
      <c r="AP81" s="2">
        <f>AN81-AO81</f>
        <v/>
      </c>
      <c r="AQ81" s="2">
        <f>IF(Tests!L81=1,MIN(AP81,AD81-AI81-AM81),0)</f>
        <v/>
      </c>
      <c r="AR81" s="2">
        <f>AP81-AQ81</f>
        <v/>
      </c>
      <c r="AS81" s="2">
        <f>MAX(0,AD81-AI81-AM81-AQ81-Pool!BV81)</f>
        <v/>
      </c>
      <c r="AT81" s="2">
        <f>MIN(AR81,AS81)</f>
        <v/>
      </c>
      <c r="AU81" s="2">
        <f>AR81-AT81</f>
        <v/>
      </c>
      <c r="AV81" s="2">
        <f>AI81+AM81+AQ81+AT81</f>
        <v/>
      </c>
      <c r="AW81" s="2">
        <f>MIN(AA81,AV81)</f>
        <v/>
      </c>
      <c r="AX81" s="2">
        <f>MIN(AB81,AV81-AW81)</f>
        <v/>
      </c>
      <c r="AY81" s="2">
        <f>MIN(AC81,AV81-AW81-AX81)</f>
        <v/>
      </c>
      <c r="AZ81" s="2">
        <f>AA81-AW81</f>
        <v/>
      </c>
      <c r="BA81" s="2">
        <f>AB81-AX81</f>
        <v/>
      </c>
      <c r="BB81" s="2">
        <f>AC81-AY81</f>
        <v/>
      </c>
      <c r="BC81" s="2">
        <f>AZ81+BA81+BB81</f>
        <v/>
      </c>
      <c r="BD81" s="2">
        <f>MAX(0,BC81-Pool!BV81)</f>
        <v/>
      </c>
      <c r="BE81" s="2">
        <f>MIN(BB81,BD81)</f>
        <v/>
      </c>
      <c r="BF81" s="2">
        <f>MIN(BA81,BD81-BE81)</f>
        <v/>
      </c>
      <c r="BG81" s="2">
        <f>MIN(AZ81,BD81-BE81-BF81)</f>
        <v/>
      </c>
      <c r="BH81" s="2">
        <f>AZ81-BG81</f>
        <v/>
      </c>
      <c r="BI81" s="2">
        <f>BA81-BF81</f>
        <v/>
      </c>
      <c r="BJ81" s="2">
        <f>BB81-BE81</f>
        <v/>
      </c>
      <c r="BK81" s="7">
        <f>IF(BH81+BI81+BJ81&lt;0.005,1,0)</f>
        <v/>
      </c>
      <c r="BL81" s="2">
        <f>Q81-R81</f>
        <v/>
      </c>
      <c r="BM81" s="2">
        <f>IF(BK81=1,0,MIN(AU81,MAX(0,Inputs!$B$48-BL81)))</f>
        <v/>
      </c>
      <c r="BN81" s="2">
        <f>IF(BK81=1,BL81,0)</f>
        <v/>
      </c>
      <c r="BO81" s="2">
        <f>BL81+BM81-BN81</f>
        <v/>
      </c>
      <c r="BP81" s="2">
        <f>AU81-BM81</f>
        <v/>
      </c>
      <c r="BQ81" s="2">
        <f>BP81+Z81+BN81</f>
        <v/>
      </c>
      <c r="BR81" s="2">
        <f>W81+AW81</f>
        <v/>
      </c>
      <c r="BS81" s="2">
        <f>X81+AX81</f>
        <v/>
      </c>
      <c r="BT81" s="2">
        <f>Y81+AY81</f>
        <v/>
      </c>
      <c r="BU81" s="2">
        <f>AG81+AK81+AO81+BR81+BS81+BT81</f>
        <v/>
      </c>
      <c r="BV81" s="2">
        <f>K81-AG81</f>
        <v/>
      </c>
      <c r="BW81" s="2">
        <f>M81-AK81</f>
        <v/>
      </c>
      <c r="BX81" s="2">
        <f>O81-AO81</f>
        <v/>
      </c>
      <c r="BY81" s="2">
        <f>C81-AE81</f>
        <v/>
      </c>
      <c r="BZ81" s="8">
        <f>AE81+BU81+BQ81+(BO81-Q81)-Pool!BW81</f>
        <v/>
      </c>
    </row>
    <row r="82">
      <c r="A82" s="7" t="n">
        <v>77</v>
      </c>
      <c r="B82" s="2">
        <f>Inputs!$B$51/12*Pool!BK82</f>
        <v/>
      </c>
      <c r="C82" s="2">
        <f>B82+BY81</f>
        <v/>
      </c>
      <c r="D82" s="2">
        <f>BH81</f>
        <v/>
      </c>
      <c r="E82" s="2">
        <f>BI81</f>
        <v/>
      </c>
      <c r="F82" s="2">
        <f>BJ81</f>
        <v/>
      </c>
      <c r="G82" s="3">
        <f>MAX(0,Pool!B82+Inputs!$B$42)</f>
        <v/>
      </c>
      <c r="H82" s="3">
        <f>MAX(0,Pool!B82+Inputs!$B$43)</f>
        <v/>
      </c>
      <c r="I82" s="3">
        <f>Inputs!$B$44</f>
        <v/>
      </c>
      <c r="J82" s="2">
        <f>D82*G82/12</f>
        <v/>
      </c>
      <c r="K82" s="2">
        <f>J82+BV81</f>
        <v/>
      </c>
      <c r="L82" s="2">
        <f>E82*H82/12</f>
        <v/>
      </c>
      <c r="M82" s="2">
        <f>L82+BW81</f>
        <v/>
      </c>
      <c r="N82" s="2">
        <f>F82*I82/12</f>
        <v/>
      </c>
      <c r="O82" s="2">
        <f>N82+BX81</f>
        <v/>
      </c>
      <c r="P82" s="2">
        <f>Pool!BM82</f>
        <v/>
      </c>
      <c r="Q82" s="2">
        <f>BO81</f>
        <v/>
      </c>
      <c r="R82" s="2">
        <f>MIN(Q82,MAX(0,C82+K82+M82-P82))</f>
        <v/>
      </c>
      <c r="S82" s="2">
        <f>P82+R82</f>
        <v/>
      </c>
      <c r="T82" s="2">
        <f>Pool!BN82+Pool!BO82+Pool!BQ82</f>
        <v/>
      </c>
      <c r="U82" s="7">
        <f>IF(OR(Inputs!$B$53=1,Tests!M81=1),1,0)</f>
        <v/>
      </c>
      <c r="V82" s="2">
        <f>D82+E82+F82</f>
        <v/>
      </c>
      <c r="W82" s="2">
        <f>IF(U82=1,MIN(D82,T82),IF(V82&lt;=0,0,MIN(T82,V82)*D82/V82))</f>
        <v/>
      </c>
      <c r="X82" s="2">
        <f>IF(U82=1,MIN(E82,T82-W82),IF(V82&lt;=0,0,MIN(T82,V82)*E82/V82))</f>
        <v/>
      </c>
      <c r="Y82" s="2">
        <f>IF(U82=1,MIN(F82,T82-W82-X82),IF(V82&lt;=0,0,MIN(T82,V82)*F82/V82))</f>
        <v/>
      </c>
      <c r="Z82" s="2">
        <f>T82-W82-X82-Y82</f>
        <v/>
      </c>
      <c r="AA82" s="2">
        <f>D82-W82</f>
        <v/>
      </c>
      <c r="AB82" s="2">
        <f>E82-X82</f>
        <v/>
      </c>
      <c r="AC82" s="2">
        <f>F82-Y82</f>
        <v/>
      </c>
      <c r="AD82" s="2">
        <f>AA82+AB82+AC82</f>
        <v/>
      </c>
      <c r="AE82" s="2">
        <f>MIN(C82,S82)</f>
        <v/>
      </c>
      <c r="AF82" s="2">
        <f>S82-AE82</f>
        <v/>
      </c>
      <c r="AG82" s="2">
        <f>MIN(K82,AF82)</f>
        <v/>
      </c>
      <c r="AH82" s="2">
        <f>AF82-AG82</f>
        <v/>
      </c>
      <c r="AI82" s="2">
        <f>IF(Tests!F82=1,MIN(AH82,AD82),0)</f>
        <v/>
      </c>
      <c r="AJ82" s="2">
        <f>AH82-AI82</f>
        <v/>
      </c>
      <c r="AK82" s="2">
        <f>MIN(M82,AJ82)</f>
        <v/>
      </c>
      <c r="AL82" s="2">
        <f>AJ82-AK82</f>
        <v/>
      </c>
      <c r="AM82" s="2">
        <f>IF(Tests!I82=1,MIN(AL82,AD82-AI82),0)</f>
        <v/>
      </c>
      <c r="AN82" s="2">
        <f>AL82-AM82</f>
        <v/>
      </c>
      <c r="AO82" s="2">
        <f>MIN(O82,AN82)</f>
        <v/>
      </c>
      <c r="AP82" s="2">
        <f>AN82-AO82</f>
        <v/>
      </c>
      <c r="AQ82" s="2">
        <f>IF(Tests!L82=1,MIN(AP82,AD82-AI82-AM82),0)</f>
        <v/>
      </c>
      <c r="AR82" s="2">
        <f>AP82-AQ82</f>
        <v/>
      </c>
      <c r="AS82" s="2">
        <f>MAX(0,AD82-AI82-AM82-AQ82-Pool!BV82)</f>
        <v/>
      </c>
      <c r="AT82" s="2">
        <f>MIN(AR82,AS82)</f>
        <v/>
      </c>
      <c r="AU82" s="2">
        <f>AR82-AT82</f>
        <v/>
      </c>
      <c r="AV82" s="2">
        <f>AI82+AM82+AQ82+AT82</f>
        <v/>
      </c>
      <c r="AW82" s="2">
        <f>MIN(AA82,AV82)</f>
        <v/>
      </c>
      <c r="AX82" s="2">
        <f>MIN(AB82,AV82-AW82)</f>
        <v/>
      </c>
      <c r="AY82" s="2">
        <f>MIN(AC82,AV82-AW82-AX82)</f>
        <v/>
      </c>
      <c r="AZ82" s="2">
        <f>AA82-AW82</f>
        <v/>
      </c>
      <c r="BA82" s="2">
        <f>AB82-AX82</f>
        <v/>
      </c>
      <c r="BB82" s="2">
        <f>AC82-AY82</f>
        <v/>
      </c>
      <c r="BC82" s="2">
        <f>AZ82+BA82+BB82</f>
        <v/>
      </c>
      <c r="BD82" s="2">
        <f>MAX(0,BC82-Pool!BV82)</f>
        <v/>
      </c>
      <c r="BE82" s="2">
        <f>MIN(BB82,BD82)</f>
        <v/>
      </c>
      <c r="BF82" s="2">
        <f>MIN(BA82,BD82-BE82)</f>
        <v/>
      </c>
      <c r="BG82" s="2">
        <f>MIN(AZ82,BD82-BE82-BF82)</f>
        <v/>
      </c>
      <c r="BH82" s="2">
        <f>AZ82-BG82</f>
        <v/>
      </c>
      <c r="BI82" s="2">
        <f>BA82-BF82</f>
        <v/>
      </c>
      <c r="BJ82" s="2">
        <f>BB82-BE82</f>
        <v/>
      </c>
      <c r="BK82" s="7">
        <f>IF(BH82+BI82+BJ82&lt;0.005,1,0)</f>
        <v/>
      </c>
      <c r="BL82" s="2">
        <f>Q82-R82</f>
        <v/>
      </c>
      <c r="BM82" s="2">
        <f>IF(BK82=1,0,MIN(AU82,MAX(0,Inputs!$B$48-BL82)))</f>
        <v/>
      </c>
      <c r="BN82" s="2">
        <f>IF(BK82=1,BL82,0)</f>
        <v/>
      </c>
      <c r="BO82" s="2">
        <f>BL82+BM82-BN82</f>
        <v/>
      </c>
      <c r="BP82" s="2">
        <f>AU82-BM82</f>
        <v/>
      </c>
      <c r="BQ82" s="2">
        <f>BP82+Z82+BN82</f>
        <v/>
      </c>
      <c r="BR82" s="2">
        <f>W82+AW82</f>
        <v/>
      </c>
      <c r="BS82" s="2">
        <f>X82+AX82</f>
        <v/>
      </c>
      <c r="BT82" s="2">
        <f>Y82+AY82</f>
        <v/>
      </c>
      <c r="BU82" s="2">
        <f>AG82+AK82+AO82+BR82+BS82+BT82</f>
        <v/>
      </c>
      <c r="BV82" s="2">
        <f>K82-AG82</f>
        <v/>
      </c>
      <c r="BW82" s="2">
        <f>M82-AK82</f>
        <v/>
      </c>
      <c r="BX82" s="2">
        <f>O82-AO82</f>
        <v/>
      </c>
      <c r="BY82" s="2">
        <f>C82-AE82</f>
        <v/>
      </c>
      <c r="BZ82" s="8">
        <f>AE82+BU82+BQ82+(BO82-Q82)-Pool!BW82</f>
        <v/>
      </c>
    </row>
    <row r="83">
      <c r="A83" s="7" t="n">
        <v>78</v>
      </c>
      <c r="B83" s="2">
        <f>Inputs!$B$51/12*Pool!BK83</f>
        <v/>
      </c>
      <c r="C83" s="2">
        <f>B83+BY82</f>
        <v/>
      </c>
      <c r="D83" s="2">
        <f>BH82</f>
        <v/>
      </c>
      <c r="E83" s="2">
        <f>BI82</f>
        <v/>
      </c>
      <c r="F83" s="2">
        <f>BJ82</f>
        <v/>
      </c>
      <c r="G83" s="3">
        <f>MAX(0,Pool!B83+Inputs!$B$42)</f>
        <v/>
      </c>
      <c r="H83" s="3">
        <f>MAX(0,Pool!B83+Inputs!$B$43)</f>
        <v/>
      </c>
      <c r="I83" s="3">
        <f>Inputs!$B$44</f>
        <v/>
      </c>
      <c r="J83" s="2">
        <f>D83*G83/12</f>
        <v/>
      </c>
      <c r="K83" s="2">
        <f>J83+BV82</f>
        <v/>
      </c>
      <c r="L83" s="2">
        <f>E83*H83/12</f>
        <v/>
      </c>
      <c r="M83" s="2">
        <f>L83+BW82</f>
        <v/>
      </c>
      <c r="N83" s="2">
        <f>F83*I83/12</f>
        <v/>
      </c>
      <c r="O83" s="2">
        <f>N83+BX82</f>
        <v/>
      </c>
      <c r="P83" s="2">
        <f>Pool!BM83</f>
        <v/>
      </c>
      <c r="Q83" s="2">
        <f>BO82</f>
        <v/>
      </c>
      <c r="R83" s="2">
        <f>MIN(Q83,MAX(0,C83+K83+M83-P83))</f>
        <v/>
      </c>
      <c r="S83" s="2">
        <f>P83+R83</f>
        <v/>
      </c>
      <c r="T83" s="2">
        <f>Pool!BN83+Pool!BO83+Pool!BQ83</f>
        <v/>
      </c>
      <c r="U83" s="7">
        <f>IF(OR(Inputs!$B$53=1,Tests!M82=1),1,0)</f>
        <v/>
      </c>
      <c r="V83" s="2">
        <f>D83+E83+F83</f>
        <v/>
      </c>
      <c r="W83" s="2">
        <f>IF(U83=1,MIN(D83,T83),IF(V83&lt;=0,0,MIN(T83,V83)*D83/V83))</f>
        <v/>
      </c>
      <c r="X83" s="2">
        <f>IF(U83=1,MIN(E83,T83-W83),IF(V83&lt;=0,0,MIN(T83,V83)*E83/V83))</f>
        <v/>
      </c>
      <c r="Y83" s="2">
        <f>IF(U83=1,MIN(F83,T83-W83-X83),IF(V83&lt;=0,0,MIN(T83,V83)*F83/V83))</f>
        <v/>
      </c>
      <c r="Z83" s="2">
        <f>T83-W83-X83-Y83</f>
        <v/>
      </c>
      <c r="AA83" s="2">
        <f>D83-W83</f>
        <v/>
      </c>
      <c r="AB83" s="2">
        <f>E83-X83</f>
        <v/>
      </c>
      <c r="AC83" s="2">
        <f>F83-Y83</f>
        <v/>
      </c>
      <c r="AD83" s="2">
        <f>AA83+AB83+AC83</f>
        <v/>
      </c>
      <c r="AE83" s="2">
        <f>MIN(C83,S83)</f>
        <v/>
      </c>
      <c r="AF83" s="2">
        <f>S83-AE83</f>
        <v/>
      </c>
      <c r="AG83" s="2">
        <f>MIN(K83,AF83)</f>
        <v/>
      </c>
      <c r="AH83" s="2">
        <f>AF83-AG83</f>
        <v/>
      </c>
      <c r="AI83" s="2">
        <f>IF(Tests!F83=1,MIN(AH83,AD83),0)</f>
        <v/>
      </c>
      <c r="AJ83" s="2">
        <f>AH83-AI83</f>
        <v/>
      </c>
      <c r="AK83" s="2">
        <f>MIN(M83,AJ83)</f>
        <v/>
      </c>
      <c r="AL83" s="2">
        <f>AJ83-AK83</f>
        <v/>
      </c>
      <c r="AM83" s="2">
        <f>IF(Tests!I83=1,MIN(AL83,AD83-AI83),0)</f>
        <v/>
      </c>
      <c r="AN83" s="2">
        <f>AL83-AM83</f>
        <v/>
      </c>
      <c r="AO83" s="2">
        <f>MIN(O83,AN83)</f>
        <v/>
      </c>
      <c r="AP83" s="2">
        <f>AN83-AO83</f>
        <v/>
      </c>
      <c r="AQ83" s="2">
        <f>IF(Tests!L83=1,MIN(AP83,AD83-AI83-AM83),0)</f>
        <v/>
      </c>
      <c r="AR83" s="2">
        <f>AP83-AQ83</f>
        <v/>
      </c>
      <c r="AS83" s="2">
        <f>MAX(0,AD83-AI83-AM83-AQ83-Pool!BV83)</f>
        <v/>
      </c>
      <c r="AT83" s="2">
        <f>MIN(AR83,AS83)</f>
        <v/>
      </c>
      <c r="AU83" s="2">
        <f>AR83-AT83</f>
        <v/>
      </c>
      <c r="AV83" s="2">
        <f>AI83+AM83+AQ83+AT83</f>
        <v/>
      </c>
      <c r="AW83" s="2">
        <f>MIN(AA83,AV83)</f>
        <v/>
      </c>
      <c r="AX83" s="2">
        <f>MIN(AB83,AV83-AW83)</f>
        <v/>
      </c>
      <c r="AY83" s="2">
        <f>MIN(AC83,AV83-AW83-AX83)</f>
        <v/>
      </c>
      <c r="AZ83" s="2">
        <f>AA83-AW83</f>
        <v/>
      </c>
      <c r="BA83" s="2">
        <f>AB83-AX83</f>
        <v/>
      </c>
      <c r="BB83" s="2">
        <f>AC83-AY83</f>
        <v/>
      </c>
      <c r="BC83" s="2">
        <f>AZ83+BA83+BB83</f>
        <v/>
      </c>
      <c r="BD83" s="2">
        <f>MAX(0,BC83-Pool!BV83)</f>
        <v/>
      </c>
      <c r="BE83" s="2">
        <f>MIN(BB83,BD83)</f>
        <v/>
      </c>
      <c r="BF83" s="2">
        <f>MIN(BA83,BD83-BE83)</f>
        <v/>
      </c>
      <c r="BG83" s="2">
        <f>MIN(AZ83,BD83-BE83-BF83)</f>
        <v/>
      </c>
      <c r="BH83" s="2">
        <f>AZ83-BG83</f>
        <v/>
      </c>
      <c r="BI83" s="2">
        <f>BA83-BF83</f>
        <v/>
      </c>
      <c r="BJ83" s="2">
        <f>BB83-BE83</f>
        <v/>
      </c>
      <c r="BK83" s="7">
        <f>IF(BH83+BI83+BJ83&lt;0.005,1,0)</f>
        <v/>
      </c>
      <c r="BL83" s="2">
        <f>Q83-R83</f>
        <v/>
      </c>
      <c r="BM83" s="2">
        <f>IF(BK83=1,0,MIN(AU83,MAX(0,Inputs!$B$48-BL83)))</f>
        <v/>
      </c>
      <c r="BN83" s="2">
        <f>IF(BK83=1,BL83,0)</f>
        <v/>
      </c>
      <c r="BO83" s="2">
        <f>BL83+BM83-BN83</f>
        <v/>
      </c>
      <c r="BP83" s="2">
        <f>AU83-BM83</f>
        <v/>
      </c>
      <c r="BQ83" s="2">
        <f>BP83+Z83+BN83</f>
        <v/>
      </c>
      <c r="BR83" s="2">
        <f>W83+AW83</f>
        <v/>
      </c>
      <c r="BS83" s="2">
        <f>X83+AX83</f>
        <v/>
      </c>
      <c r="BT83" s="2">
        <f>Y83+AY83</f>
        <v/>
      </c>
      <c r="BU83" s="2">
        <f>AG83+AK83+AO83+BR83+BS83+BT83</f>
        <v/>
      </c>
      <c r="BV83" s="2">
        <f>K83-AG83</f>
        <v/>
      </c>
      <c r="BW83" s="2">
        <f>M83-AK83</f>
        <v/>
      </c>
      <c r="BX83" s="2">
        <f>O83-AO83</f>
        <v/>
      </c>
      <c r="BY83" s="2">
        <f>C83-AE83</f>
        <v/>
      </c>
      <c r="BZ83" s="8">
        <f>AE83+BU83+BQ83+(BO83-Q83)-Pool!BW83</f>
        <v/>
      </c>
    </row>
    <row r="84">
      <c r="A84" s="7" t="n">
        <v>79</v>
      </c>
      <c r="B84" s="2">
        <f>Inputs!$B$51/12*Pool!BK84</f>
        <v/>
      </c>
      <c r="C84" s="2">
        <f>B84+BY83</f>
        <v/>
      </c>
      <c r="D84" s="2">
        <f>BH83</f>
        <v/>
      </c>
      <c r="E84" s="2">
        <f>BI83</f>
        <v/>
      </c>
      <c r="F84" s="2">
        <f>BJ83</f>
        <v/>
      </c>
      <c r="G84" s="3">
        <f>MAX(0,Pool!B84+Inputs!$B$42)</f>
        <v/>
      </c>
      <c r="H84" s="3">
        <f>MAX(0,Pool!B84+Inputs!$B$43)</f>
        <v/>
      </c>
      <c r="I84" s="3">
        <f>Inputs!$B$44</f>
        <v/>
      </c>
      <c r="J84" s="2">
        <f>D84*G84/12</f>
        <v/>
      </c>
      <c r="K84" s="2">
        <f>J84+BV83</f>
        <v/>
      </c>
      <c r="L84" s="2">
        <f>E84*H84/12</f>
        <v/>
      </c>
      <c r="M84" s="2">
        <f>L84+BW83</f>
        <v/>
      </c>
      <c r="N84" s="2">
        <f>F84*I84/12</f>
        <v/>
      </c>
      <c r="O84" s="2">
        <f>N84+BX83</f>
        <v/>
      </c>
      <c r="P84" s="2">
        <f>Pool!BM84</f>
        <v/>
      </c>
      <c r="Q84" s="2">
        <f>BO83</f>
        <v/>
      </c>
      <c r="R84" s="2">
        <f>MIN(Q84,MAX(0,C84+K84+M84-P84))</f>
        <v/>
      </c>
      <c r="S84" s="2">
        <f>P84+R84</f>
        <v/>
      </c>
      <c r="T84" s="2">
        <f>Pool!BN84+Pool!BO84+Pool!BQ84</f>
        <v/>
      </c>
      <c r="U84" s="7">
        <f>IF(OR(Inputs!$B$53=1,Tests!M83=1),1,0)</f>
        <v/>
      </c>
      <c r="V84" s="2">
        <f>D84+E84+F84</f>
        <v/>
      </c>
      <c r="W84" s="2">
        <f>IF(U84=1,MIN(D84,T84),IF(V84&lt;=0,0,MIN(T84,V84)*D84/V84))</f>
        <v/>
      </c>
      <c r="X84" s="2">
        <f>IF(U84=1,MIN(E84,T84-W84),IF(V84&lt;=0,0,MIN(T84,V84)*E84/V84))</f>
        <v/>
      </c>
      <c r="Y84" s="2">
        <f>IF(U84=1,MIN(F84,T84-W84-X84),IF(V84&lt;=0,0,MIN(T84,V84)*F84/V84))</f>
        <v/>
      </c>
      <c r="Z84" s="2">
        <f>T84-W84-X84-Y84</f>
        <v/>
      </c>
      <c r="AA84" s="2">
        <f>D84-W84</f>
        <v/>
      </c>
      <c r="AB84" s="2">
        <f>E84-X84</f>
        <v/>
      </c>
      <c r="AC84" s="2">
        <f>F84-Y84</f>
        <v/>
      </c>
      <c r="AD84" s="2">
        <f>AA84+AB84+AC84</f>
        <v/>
      </c>
      <c r="AE84" s="2">
        <f>MIN(C84,S84)</f>
        <v/>
      </c>
      <c r="AF84" s="2">
        <f>S84-AE84</f>
        <v/>
      </c>
      <c r="AG84" s="2">
        <f>MIN(K84,AF84)</f>
        <v/>
      </c>
      <c r="AH84" s="2">
        <f>AF84-AG84</f>
        <v/>
      </c>
      <c r="AI84" s="2">
        <f>IF(Tests!F84=1,MIN(AH84,AD84),0)</f>
        <v/>
      </c>
      <c r="AJ84" s="2">
        <f>AH84-AI84</f>
        <v/>
      </c>
      <c r="AK84" s="2">
        <f>MIN(M84,AJ84)</f>
        <v/>
      </c>
      <c r="AL84" s="2">
        <f>AJ84-AK84</f>
        <v/>
      </c>
      <c r="AM84" s="2">
        <f>IF(Tests!I84=1,MIN(AL84,AD84-AI84),0)</f>
        <v/>
      </c>
      <c r="AN84" s="2">
        <f>AL84-AM84</f>
        <v/>
      </c>
      <c r="AO84" s="2">
        <f>MIN(O84,AN84)</f>
        <v/>
      </c>
      <c r="AP84" s="2">
        <f>AN84-AO84</f>
        <v/>
      </c>
      <c r="AQ84" s="2">
        <f>IF(Tests!L84=1,MIN(AP84,AD84-AI84-AM84),0)</f>
        <v/>
      </c>
      <c r="AR84" s="2">
        <f>AP84-AQ84</f>
        <v/>
      </c>
      <c r="AS84" s="2">
        <f>MAX(0,AD84-AI84-AM84-AQ84-Pool!BV84)</f>
        <v/>
      </c>
      <c r="AT84" s="2">
        <f>MIN(AR84,AS84)</f>
        <v/>
      </c>
      <c r="AU84" s="2">
        <f>AR84-AT84</f>
        <v/>
      </c>
      <c r="AV84" s="2">
        <f>AI84+AM84+AQ84+AT84</f>
        <v/>
      </c>
      <c r="AW84" s="2">
        <f>MIN(AA84,AV84)</f>
        <v/>
      </c>
      <c r="AX84" s="2">
        <f>MIN(AB84,AV84-AW84)</f>
        <v/>
      </c>
      <c r="AY84" s="2">
        <f>MIN(AC84,AV84-AW84-AX84)</f>
        <v/>
      </c>
      <c r="AZ84" s="2">
        <f>AA84-AW84</f>
        <v/>
      </c>
      <c r="BA84" s="2">
        <f>AB84-AX84</f>
        <v/>
      </c>
      <c r="BB84" s="2">
        <f>AC84-AY84</f>
        <v/>
      </c>
      <c r="BC84" s="2">
        <f>AZ84+BA84+BB84</f>
        <v/>
      </c>
      <c r="BD84" s="2">
        <f>MAX(0,BC84-Pool!BV84)</f>
        <v/>
      </c>
      <c r="BE84" s="2">
        <f>MIN(BB84,BD84)</f>
        <v/>
      </c>
      <c r="BF84" s="2">
        <f>MIN(BA84,BD84-BE84)</f>
        <v/>
      </c>
      <c r="BG84" s="2">
        <f>MIN(AZ84,BD84-BE84-BF84)</f>
        <v/>
      </c>
      <c r="BH84" s="2">
        <f>AZ84-BG84</f>
        <v/>
      </c>
      <c r="BI84" s="2">
        <f>BA84-BF84</f>
        <v/>
      </c>
      <c r="BJ84" s="2">
        <f>BB84-BE84</f>
        <v/>
      </c>
      <c r="BK84" s="7">
        <f>IF(BH84+BI84+BJ84&lt;0.005,1,0)</f>
        <v/>
      </c>
      <c r="BL84" s="2">
        <f>Q84-R84</f>
        <v/>
      </c>
      <c r="BM84" s="2">
        <f>IF(BK84=1,0,MIN(AU84,MAX(0,Inputs!$B$48-BL84)))</f>
        <v/>
      </c>
      <c r="BN84" s="2">
        <f>IF(BK84=1,BL84,0)</f>
        <v/>
      </c>
      <c r="BO84" s="2">
        <f>BL84+BM84-BN84</f>
        <v/>
      </c>
      <c r="BP84" s="2">
        <f>AU84-BM84</f>
        <v/>
      </c>
      <c r="BQ84" s="2">
        <f>BP84+Z84+BN84</f>
        <v/>
      </c>
      <c r="BR84" s="2">
        <f>W84+AW84</f>
        <v/>
      </c>
      <c r="BS84" s="2">
        <f>X84+AX84</f>
        <v/>
      </c>
      <c r="BT84" s="2">
        <f>Y84+AY84</f>
        <v/>
      </c>
      <c r="BU84" s="2">
        <f>AG84+AK84+AO84+BR84+BS84+BT84</f>
        <v/>
      </c>
      <c r="BV84" s="2">
        <f>K84-AG84</f>
        <v/>
      </c>
      <c r="BW84" s="2">
        <f>M84-AK84</f>
        <v/>
      </c>
      <c r="BX84" s="2">
        <f>O84-AO84</f>
        <v/>
      </c>
      <c r="BY84" s="2">
        <f>C84-AE84</f>
        <v/>
      </c>
      <c r="BZ84" s="8">
        <f>AE84+BU84+BQ84+(BO84-Q84)-Pool!BW84</f>
        <v/>
      </c>
    </row>
    <row r="85">
      <c r="A85" s="7" t="n">
        <v>80</v>
      </c>
      <c r="B85" s="2">
        <f>Inputs!$B$51/12*Pool!BK85</f>
        <v/>
      </c>
      <c r="C85" s="2">
        <f>B85+BY84</f>
        <v/>
      </c>
      <c r="D85" s="2">
        <f>BH84</f>
        <v/>
      </c>
      <c r="E85" s="2">
        <f>BI84</f>
        <v/>
      </c>
      <c r="F85" s="2">
        <f>BJ84</f>
        <v/>
      </c>
      <c r="G85" s="3">
        <f>MAX(0,Pool!B85+Inputs!$B$42)</f>
        <v/>
      </c>
      <c r="H85" s="3">
        <f>MAX(0,Pool!B85+Inputs!$B$43)</f>
        <v/>
      </c>
      <c r="I85" s="3">
        <f>Inputs!$B$44</f>
        <v/>
      </c>
      <c r="J85" s="2">
        <f>D85*G85/12</f>
        <v/>
      </c>
      <c r="K85" s="2">
        <f>J85+BV84</f>
        <v/>
      </c>
      <c r="L85" s="2">
        <f>E85*H85/12</f>
        <v/>
      </c>
      <c r="M85" s="2">
        <f>L85+BW84</f>
        <v/>
      </c>
      <c r="N85" s="2">
        <f>F85*I85/12</f>
        <v/>
      </c>
      <c r="O85" s="2">
        <f>N85+BX84</f>
        <v/>
      </c>
      <c r="P85" s="2">
        <f>Pool!BM85</f>
        <v/>
      </c>
      <c r="Q85" s="2">
        <f>BO84</f>
        <v/>
      </c>
      <c r="R85" s="2">
        <f>MIN(Q85,MAX(0,C85+K85+M85-P85))</f>
        <v/>
      </c>
      <c r="S85" s="2">
        <f>P85+R85</f>
        <v/>
      </c>
      <c r="T85" s="2">
        <f>Pool!BN85+Pool!BO85+Pool!BQ85</f>
        <v/>
      </c>
      <c r="U85" s="7">
        <f>IF(OR(Inputs!$B$53=1,Tests!M84=1),1,0)</f>
        <v/>
      </c>
      <c r="V85" s="2">
        <f>D85+E85+F85</f>
        <v/>
      </c>
      <c r="W85" s="2">
        <f>IF(U85=1,MIN(D85,T85),IF(V85&lt;=0,0,MIN(T85,V85)*D85/V85))</f>
        <v/>
      </c>
      <c r="X85" s="2">
        <f>IF(U85=1,MIN(E85,T85-W85),IF(V85&lt;=0,0,MIN(T85,V85)*E85/V85))</f>
        <v/>
      </c>
      <c r="Y85" s="2">
        <f>IF(U85=1,MIN(F85,T85-W85-X85),IF(V85&lt;=0,0,MIN(T85,V85)*F85/V85))</f>
        <v/>
      </c>
      <c r="Z85" s="2">
        <f>T85-W85-X85-Y85</f>
        <v/>
      </c>
      <c r="AA85" s="2">
        <f>D85-W85</f>
        <v/>
      </c>
      <c r="AB85" s="2">
        <f>E85-X85</f>
        <v/>
      </c>
      <c r="AC85" s="2">
        <f>F85-Y85</f>
        <v/>
      </c>
      <c r="AD85" s="2">
        <f>AA85+AB85+AC85</f>
        <v/>
      </c>
      <c r="AE85" s="2">
        <f>MIN(C85,S85)</f>
        <v/>
      </c>
      <c r="AF85" s="2">
        <f>S85-AE85</f>
        <v/>
      </c>
      <c r="AG85" s="2">
        <f>MIN(K85,AF85)</f>
        <v/>
      </c>
      <c r="AH85" s="2">
        <f>AF85-AG85</f>
        <v/>
      </c>
      <c r="AI85" s="2">
        <f>IF(Tests!F85=1,MIN(AH85,AD85),0)</f>
        <v/>
      </c>
      <c r="AJ85" s="2">
        <f>AH85-AI85</f>
        <v/>
      </c>
      <c r="AK85" s="2">
        <f>MIN(M85,AJ85)</f>
        <v/>
      </c>
      <c r="AL85" s="2">
        <f>AJ85-AK85</f>
        <v/>
      </c>
      <c r="AM85" s="2">
        <f>IF(Tests!I85=1,MIN(AL85,AD85-AI85),0)</f>
        <v/>
      </c>
      <c r="AN85" s="2">
        <f>AL85-AM85</f>
        <v/>
      </c>
      <c r="AO85" s="2">
        <f>MIN(O85,AN85)</f>
        <v/>
      </c>
      <c r="AP85" s="2">
        <f>AN85-AO85</f>
        <v/>
      </c>
      <c r="AQ85" s="2">
        <f>IF(Tests!L85=1,MIN(AP85,AD85-AI85-AM85),0)</f>
        <v/>
      </c>
      <c r="AR85" s="2">
        <f>AP85-AQ85</f>
        <v/>
      </c>
      <c r="AS85" s="2">
        <f>MAX(0,AD85-AI85-AM85-AQ85-Pool!BV85)</f>
        <v/>
      </c>
      <c r="AT85" s="2">
        <f>MIN(AR85,AS85)</f>
        <v/>
      </c>
      <c r="AU85" s="2">
        <f>AR85-AT85</f>
        <v/>
      </c>
      <c r="AV85" s="2">
        <f>AI85+AM85+AQ85+AT85</f>
        <v/>
      </c>
      <c r="AW85" s="2">
        <f>MIN(AA85,AV85)</f>
        <v/>
      </c>
      <c r="AX85" s="2">
        <f>MIN(AB85,AV85-AW85)</f>
        <v/>
      </c>
      <c r="AY85" s="2">
        <f>MIN(AC85,AV85-AW85-AX85)</f>
        <v/>
      </c>
      <c r="AZ85" s="2">
        <f>AA85-AW85</f>
        <v/>
      </c>
      <c r="BA85" s="2">
        <f>AB85-AX85</f>
        <v/>
      </c>
      <c r="BB85" s="2">
        <f>AC85-AY85</f>
        <v/>
      </c>
      <c r="BC85" s="2">
        <f>AZ85+BA85+BB85</f>
        <v/>
      </c>
      <c r="BD85" s="2">
        <f>MAX(0,BC85-Pool!BV85)</f>
        <v/>
      </c>
      <c r="BE85" s="2">
        <f>MIN(BB85,BD85)</f>
        <v/>
      </c>
      <c r="BF85" s="2">
        <f>MIN(BA85,BD85-BE85)</f>
        <v/>
      </c>
      <c r="BG85" s="2">
        <f>MIN(AZ85,BD85-BE85-BF85)</f>
        <v/>
      </c>
      <c r="BH85" s="2">
        <f>AZ85-BG85</f>
        <v/>
      </c>
      <c r="BI85" s="2">
        <f>BA85-BF85</f>
        <v/>
      </c>
      <c r="BJ85" s="2">
        <f>BB85-BE85</f>
        <v/>
      </c>
      <c r="BK85" s="7">
        <f>IF(BH85+BI85+BJ85&lt;0.005,1,0)</f>
        <v/>
      </c>
      <c r="BL85" s="2">
        <f>Q85-R85</f>
        <v/>
      </c>
      <c r="BM85" s="2">
        <f>IF(BK85=1,0,MIN(AU85,MAX(0,Inputs!$B$48-BL85)))</f>
        <v/>
      </c>
      <c r="BN85" s="2">
        <f>IF(BK85=1,BL85,0)</f>
        <v/>
      </c>
      <c r="BO85" s="2">
        <f>BL85+BM85-BN85</f>
        <v/>
      </c>
      <c r="BP85" s="2">
        <f>AU85-BM85</f>
        <v/>
      </c>
      <c r="BQ85" s="2">
        <f>BP85+Z85+BN85</f>
        <v/>
      </c>
      <c r="BR85" s="2">
        <f>W85+AW85</f>
        <v/>
      </c>
      <c r="BS85" s="2">
        <f>X85+AX85</f>
        <v/>
      </c>
      <c r="BT85" s="2">
        <f>Y85+AY85</f>
        <v/>
      </c>
      <c r="BU85" s="2">
        <f>AG85+AK85+AO85+BR85+BS85+BT85</f>
        <v/>
      </c>
      <c r="BV85" s="2">
        <f>K85-AG85</f>
        <v/>
      </c>
      <c r="BW85" s="2">
        <f>M85-AK85</f>
        <v/>
      </c>
      <c r="BX85" s="2">
        <f>O85-AO85</f>
        <v/>
      </c>
      <c r="BY85" s="2">
        <f>C85-AE85</f>
        <v/>
      </c>
      <c r="BZ85" s="8">
        <f>AE85+BU85+BQ85+(BO85-Q85)-Pool!BW85</f>
        <v/>
      </c>
    </row>
    <row r="86">
      <c r="A86" s="7" t="n">
        <v>81</v>
      </c>
      <c r="B86" s="2">
        <f>Inputs!$B$51/12*Pool!BK86</f>
        <v/>
      </c>
      <c r="C86" s="2">
        <f>B86+BY85</f>
        <v/>
      </c>
      <c r="D86" s="2">
        <f>BH85</f>
        <v/>
      </c>
      <c r="E86" s="2">
        <f>BI85</f>
        <v/>
      </c>
      <c r="F86" s="2">
        <f>BJ85</f>
        <v/>
      </c>
      <c r="G86" s="3">
        <f>MAX(0,Pool!B86+Inputs!$B$42)</f>
        <v/>
      </c>
      <c r="H86" s="3">
        <f>MAX(0,Pool!B86+Inputs!$B$43)</f>
        <v/>
      </c>
      <c r="I86" s="3">
        <f>Inputs!$B$44</f>
        <v/>
      </c>
      <c r="J86" s="2">
        <f>D86*G86/12</f>
        <v/>
      </c>
      <c r="K86" s="2">
        <f>J86+BV85</f>
        <v/>
      </c>
      <c r="L86" s="2">
        <f>E86*H86/12</f>
        <v/>
      </c>
      <c r="M86" s="2">
        <f>L86+BW85</f>
        <v/>
      </c>
      <c r="N86" s="2">
        <f>F86*I86/12</f>
        <v/>
      </c>
      <c r="O86" s="2">
        <f>N86+BX85</f>
        <v/>
      </c>
      <c r="P86" s="2">
        <f>Pool!BM86</f>
        <v/>
      </c>
      <c r="Q86" s="2">
        <f>BO85</f>
        <v/>
      </c>
      <c r="R86" s="2">
        <f>MIN(Q86,MAX(0,C86+K86+M86-P86))</f>
        <v/>
      </c>
      <c r="S86" s="2">
        <f>P86+R86</f>
        <v/>
      </c>
      <c r="T86" s="2">
        <f>Pool!BN86+Pool!BO86+Pool!BQ86</f>
        <v/>
      </c>
      <c r="U86" s="7">
        <f>IF(OR(Inputs!$B$53=1,Tests!M85=1),1,0)</f>
        <v/>
      </c>
      <c r="V86" s="2">
        <f>D86+E86+F86</f>
        <v/>
      </c>
      <c r="W86" s="2">
        <f>IF(U86=1,MIN(D86,T86),IF(V86&lt;=0,0,MIN(T86,V86)*D86/V86))</f>
        <v/>
      </c>
      <c r="X86" s="2">
        <f>IF(U86=1,MIN(E86,T86-W86),IF(V86&lt;=0,0,MIN(T86,V86)*E86/V86))</f>
        <v/>
      </c>
      <c r="Y86" s="2">
        <f>IF(U86=1,MIN(F86,T86-W86-X86),IF(V86&lt;=0,0,MIN(T86,V86)*F86/V86))</f>
        <v/>
      </c>
      <c r="Z86" s="2">
        <f>T86-W86-X86-Y86</f>
        <v/>
      </c>
      <c r="AA86" s="2">
        <f>D86-W86</f>
        <v/>
      </c>
      <c r="AB86" s="2">
        <f>E86-X86</f>
        <v/>
      </c>
      <c r="AC86" s="2">
        <f>F86-Y86</f>
        <v/>
      </c>
      <c r="AD86" s="2">
        <f>AA86+AB86+AC86</f>
        <v/>
      </c>
      <c r="AE86" s="2">
        <f>MIN(C86,S86)</f>
        <v/>
      </c>
      <c r="AF86" s="2">
        <f>S86-AE86</f>
        <v/>
      </c>
      <c r="AG86" s="2">
        <f>MIN(K86,AF86)</f>
        <v/>
      </c>
      <c r="AH86" s="2">
        <f>AF86-AG86</f>
        <v/>
      </c>
      <c r="AI86" s="2">
        <f>IF(Tests!F86=1,MIN(AH86,AD86),0)</f>
        <v/>
      </c>
      <c r="AJ86" s="2">
        <f>AH86-AI86</f>
        <v/>
      </c>
      <c r="AK86" s="2">
        <f>MIN(M86,AJ86)</f>
        <v/>
      </c>
      <c r="AL86" s="2">
        <f>AJ86-AK86</f>
        <v/>
      </c>
      <c r="AM86" s="2">
        <f>IF(Tests!I86=1,MIN(AL86,AD86-AI86),0)</f>
        <v/>
      </c>
      <c r="AN86" s="2">
        <f>AL86-AM86</f>
        <v/>
      </c>
      <c r="AO86" s="2">
        <f>MIN(O86,AN86)</f>
        <v/>
      </c>
      <c r="AP86" s="2">
        <f>AN86-AO86</f>
        <v/>
      </c>
      <c r="AQ86" s="2">
        <f>IF(Tests!L86=1,MIN(AP86,AD86-AI86-AM86),0)</f>
        <v/>
      </c>
      <c r="AR86" s="2">
        <f>AP86-AQ86</f>
        <v/>
      </c>
      <c r="AS86" s="2">
        <f>MAX(0,AD86-AI86-AM86-AQ86-Pool!BV86)</f>
        <v/>
      </c>
      <c r="AT86" s="2">
        <f>MIN(AR86,AS86)</f>
        <v/>
      </c>
      <c r="AU86" s="2">
        <f>AR86-AT86</f>
        <v/>
      </c>
      <c r="AV86" s="2">
        <f>AI86+AM86+AQ86+AT86</f>
        <v/>
      </c>
      <c r="AW86" s="2">
        <f>MIN(AA86,AV86)</f>
        <v/>
      </c>
      <c r="AX86" s="2">
        <f>MIN(AB86,AV86-AW86)</f>
        <v/>
      </c>
      <c r="AY86" s="2">
        <f>MIN(AC86,AV86-AW86-AX86)</f>
        <v/>
      </c>
      <c r="AZ86" s="2">
        <f>AA86-AW86</f>
        <v/>
      </c>
      <c r="BA86" s="2">
        <f>AB86-AX86</f>
        <v/>
      </c>
      <c r="BB86" s="2">
        <f>AC86-AY86</f>
        <v/>
      </c>
      <c r="BC86" s="2">
        <f>AZ86+BA86+BB86</f>
        <v/>
      </c>
      <c r="BD86" s="2">
        <f>MAX(0,BC86-Pool!BV86)</f>
        <v/>
      </c>
      <c r="BE86" s="2">
        <f>MIN(BB86,BD86)</f>
        <v/>
      </c>
      <c r="BF86" s="2">
        <f>MIN(BA86,BD86-BE86)</f>
        <v/>
      </c>
      <c r="BG86" s="2">
        <f>MIN(AZ86,BD86-BE86-BF86)</f>
        <v/>
      </c>
      <c r="BH86" s="2">
        <f>AZ86-BG86</f>
        <v/>
      </c>
      <c r="BI86" s="2">
        <f>BA86-BF86</f>
        <v/>
      </c>
      <c r="BJ86" s="2">
        <f>BB86-BE86</f>
        <v/>
      </c>
      <c r="BK86" s="7">
        <f>IF(BH86+BI86+BJ86&lt;0.005,1,0)</f>
        <v/>
      </c>
      <c r="BL86" s="2">
        <f>Q86-R86</f>
        <v/>
      </c>
      <c r="BM86" s="2">
        <f>IF(BK86=1,0,MIN(AU86,MAX(0,Inputs!$B$48-BL86)))</f>
        <v/>
      </c>
      <c r="BN86" s="2">
        <f>IF(BK86=1,BL86,0)</f>
        <v/>
      </c>
      <c r="BO86" s="2">
        <f>BL86+BM86-BN86</f>
        <v/>
      </c>
      <c r="BP86" s="2">
        <f>AU86-BM86</f>
        <v/>
      </c>
      <c r="BQ86" s="2">
        <f>BP86+Z86+BN86</f>
        <v/>
      </c>
      <c r="BR86" s="2">
        <f>W86+AW86</f>
        <v/>
      </c>
      <c r="BS86" s="2">
        <f>X86+AX86</f>
        <v/>
      </c>
      <c r="BT86" s="2">
        <f>Y86+AY86</f>
        <v/>
      </c>
      <c r="BU86" s="2">
        <f>AG86+AK86+AO86+BR86+BS86+BT86</f>
        <v/>
      </c>
      <c r="BV86" s="2">
        <f>K86-AG86</f>
        <v/>
      </c>
      <c r="BW86" s="2">
        <f>M86-AK86</f>
        <v/>
      </c>
      <c r="BX86" s="2">
        <f>O86-AO86</f>
        <v/>
      </c>
      <c r="BY86" s="2">
        <f>C86-AE86</f>
        <v/>
      </c>
      <c r="BZ86" s="8">
        <f>AE86+BU86+BQ86+(BO86-Q86)-Pool!BW86</f>
        <v/>
      </c>
    </row>
    <row r="87">
      <c r="A87" s="7" t="n">
        <v>82</v>
      </c>
      <c r="B87" s="2">
        <f>Inputs!$B$51/12*Pool!BK87</f>
        <v/>
      </c>
      <c r="C87" s="2">
        <f>B87+BY86</f>
        <v/>
      </c>
      <c r="D87" s="2">
        <f>BH86</f>
        <v/>
      </c>
      <c r="E87" s="2">
        <f>BI86</f>
        <v/>
      </c>
      <c r="F87" s="2">
        <f>BJ86</f>
        <v/>
      </c>
      <c r="G87" s="3">
        <f>MAX(0,Pool!B87+Inputs!$B$42)</f>
        <v/>
      </c>
      <c r="H87" s="3">
        <f>MAX(0,Pool!B87+Inputs!$B$43)</f>
        <v/>
      </c>
      <c r="I87" s="3">
        <f>Inputs!$B$44</f>
        <v/>
      </c>
      <c r="J87" s="2">
        <f>D87*G87/12</f>
        <v/>
      </c>
      <c r="K87" s="2">
        <f>J87+BV86</f>
        <v/>
      </c>
      <c r="L87" s="2">
        <f>E87*H87/12</f>
        <v/>
      </c>
      <c r="M87" s="2">
        <f>L87+BW86</f>
        <v/>
      </c>
      <c r="N87" s="2">
        <f>F87*I87/12</f>
        <v/>
      </c>
      <c r="O87" s="2">
        <f>N87+BX86</f>
        <v/>
      </c>
      <c r="P87" s="2">
        <f>Pool!BM87</f>
        <v/>
      </c>
      <c r="Q87" s="2">
        <f>BO86</f>
        <v/>
      </c>
      <c r="R87" s="2">
        <f>MIN(Q87,MAX(0,C87+K87+M87-P87))</f>
        <v/>
      </c>
      <c r="S87" s="2">
        <f>P87+R87</f>
        <v/>
      </c>
      <c r="T87" s="2">
        <f>Pool!BN87+Pool!BO87+Pool!BQ87</f>
        <v/>
      </c>
      <c r="U87" s="7">
        <f>IF(OR(Inputs!$B$53=1,Tests!M86=1),1,0)</f>
        <v/>
      </c>
      <c r="V87" s="2">
        <f>D87+E87+F87</f>
        <v/>
      </c>
      <c r="W87" s="2">
        <f>IF(U87=1,MIN(D87,T87),IF(V87&lt;=0,0,MIN(T87,V87)*D87/V87))</f>
        <v/>
      </c>
      <c r="X87" s="2">
        <f>IF(U87=1,MIN(E87,T87-W87),IF(V87&lt;=0,0,MIN(T87,V87)*E87/V87))</f>
        <v/>
      </c>
      <c r="Y87" s="2">
        <f>IF(U87=1,MIN(F87,T87-W87-X87),IF(V87&lt;=0,0,MIN(T87,V87)*F87/V87))</f>
        <v/>
      </c>
      <c r="Z87" s="2">
        <f>T87-W87-X87-Y87</f>
        <v/>
      </c>
      <c r="AA87" s="2">
        <f>D87-W87</f>
        <v/>
      </c>
      <c r="AB87" s="2">
        <f>E87-X87</f>
        <v/>
      </c>
      <c r="AC87" s="2">
        <f>F87-Y87</f>
        <v/>
      </c>
      <c r="AD87" s="2">
        <f>AA87+AB87+AC87</f>
        <v/>
      </c>
      <c r="AE87" s="2">
        <f>MIN(C87,S87)</f>
        <v/>
      </c>
      <c r="AF87" s="2">
        <f>S87-AE87</f>
        <v/>
      </c>
      <c r="AG87" s="2">
        <f>MIN(K87,AF87)</f>
        <v/>
      </c>
      <c r="AH87" s="2">
        <f>AF87-AG87</f>
        <v/>
      </c>
      <c r="AI87" s="2">
        <f>IF(Tests!F87=1,MIN(AH87,AD87),0)</f>
        <v/>
      </c>
      <c r="AJ87" s="2">
        <f>AH87-AI87</f>
        <v/>
      </c>
      <c r="AK87" s="2">
        <f>MIN(M87,AJ87)</f>
        <v/>
      </c>
      <c r="AL87" s="2">
        <f>AJ87-AK87</f>
        <v/>
      </c>
      <c r="AM87" s="2">
        <f>IF(Tests!I87=1,MIN(AL87,AD87-AI87),0)</f>
        <v/>
      </c>
      <c r="AN87" s="2">
        <f>AL87-AM87</f>
        <v/>
      </c>
      <c r="AO87" s="2">
        <f>MIN(O87,AN87)</f>
        <v/>
      </c>
      <c r="AP87" s="2">
        <f>AN87-AO87</f>
        <v/>
      </c>
      <c r="AQ87" s="2">
        <f>IF(Tests!L87=1,MIN(AP87,AD87-AI87-AM87),0)</f>
        <v/>
      </c>
      <c r="AR87" s="2">
        <f>AP87-AQ87</f>
        <v/>
      </c>
      <c r="AS87" s="2">
        <f>MAX(0,AD87-AI87-AM87-AQ87-Pool!BV87)</f>
        <v/>
      </c>
      <c r="AT87" s="2">
        <f>MIN(AR87,AS87)</f>
        <v/>
      </c>
      <c r="AU87" s="2">
        <f>AR87-AT87</f>
        <v/>
      </c>
      <c r="AV87" s="2">
        <f>AI87+AM87+AQ87+AT87</f>
        <v/>
      </c>
      <c r="AW87" s="2">
        <f>MIN(AA87,AV87)</f>
        <v/>
      </c>
      <c r="AX87" s="2">
        <f>MIN(AB87,AV87-AW87)</f>
        <v/>
      </c>
      <c r="AY87" s="2">
        <f>MIN(AC87,AV87-AW87-AX87)</f>
        <v/>
      </c>
      <c r="AZ87" s="2">
        <f>AA87-AW87</f>
        <v/>
      </c>
      <c r="BA87" s="2">
        <f>AB87-AX87</f>
        <v/>
      </c>
      <c r="BB87" s="2">
        <f>AC87-AY87</f>
        <v/>
      </c>
      <c r="BC87" s="2">
        <f>AZ87+BA87+BB87</f>
        <v/>
      </c>
      <c r="BD87" s="2">
        <f>MAX(0,BC87-Pool!BV87)</f>
        <v/>
      </c>
      <c r="BE87" s="2">
        <f>MIN(BB87,BD87)</f>
        <v/>
      </c>
      <c r="BF87" s="2">
        <f>MIN(BA87,BD87-BE87)</f>
        <v/>
      </c>
      <c r="BG87" s="2">
        <f>MIN(AZ87,BD87-BE87-BF87)</f>
        <v/>
      </c>
      <c r="BH87" s="2">
        <f>AZ87-BG87</f>
        <v/>
      </c>
      <c r="BI87" s="2">
        <f>BA87-BF87</f>
        <v/>
      </c>
      <c r="BJ87" s="2">
        <f>BB87-BE87</f>
        <v/>
      </c>
      <c r="BK87" s="7">
        <f>IF(BH87+BI87+BJ87&lt;0.005,1,0)</f>
        <v/>
      </c>
      <c r="BL87" s="2">
        <f>Q87-R87</f>
        <v/>
      </c>
      <c r="BM87" s="2">
        <f>IF(BK87=1,0,MIN(AU87,MAX(0,Inputs!$B$48-BL87)))</f>
        <v/>
      </c>
      <c r="BN87" s="2">
        <f>IF(BK87=1,BL87,0)</f>
        <v/>
      </c>
      <c r="BO87" s="2">
        <f>BL87+BM87-BN87</f>
        <v/>
      </c>
      <c r="BP87" s="2">
        <f>AU87-BM87</f>
        <v/>
      </c>
      <c r="BQ87" s="2">
        <f>BP87+Z87+BN87</f>
        <v/>
      </c>
      <c r="BR87" s="2">
        <f>W87+AW87</f>
        <v/>
      </c>
      <c r="BS87" s="2">
        <f>X87+AX87</f>
        <v/>
      </c>
      <c r="BT87" s="2">
        <f>Y87+AY87</f>
        <v/>
      </c>
      <c r="BU87" s="2">
        <f>AG87+AK87+AO87+BR87+BS87+BT87</f>
        <v/>
      </c>
      <c r="BV87" s="2">
        <f>K87-AG87</f>
        <v/>
      </c>
      <c r="BW87" s="2">
        <f>M87-AK87</f>
        <v/>
      </c>
      <c r="BX87" s="2">
        <f>O87-AO87</f>
        <v/>
      </c>
      <c r="BY87" s="2">
        <f>C87-AE87</f>
        <v/>
      </c>
      <c r="BZ87" s="8">
        <f>AE87+BU87+BQ87+(BO87-Q87)-Pool!BW87</f>
        <v/>
      </c>
    </row>
    <row r="88">
      <c r="A88" s="7" t="n">
        <v>83</v>
      </c>
      <c r="B88" s="2">
        <f>Inputs!$B$51/12*Pool!BK88</f>
        <v/>
      </c>
      <c r="C88" s="2">
        <f>B88+BY87</f>
        <v/>
      </c>
      <c r="D88" s="2">
        <f>BH87</f>
        <v/>
      </c>
      <c r="E88" s="2">
        <f>BI87</f>
        <v/>
      </c>
      <c r="F88" s="2">
        <f>BJ87</f>
        <v/>
      </c>
      <c r="G88" s="3">
        <f>MAX(0,Pool!B88+Inputs!$B$42)</f>
        <v/>
      </c>
      <c r="H88" s="3">
        <f>MAX(0,Pool!B88+Inputs!$B$43)</f>
        <v/>
      </c>
      <c r="I88" s="3">
        <f>Inputs!$B$44</f>
        <v/>
      </c>
      <c r="J88" s="2">
        <f>D88*G88/12</f>
        <v/>
      </c>
      <c r="K88" s="2">
        <f>J88+BV87</f>
        <v/>
      </c>
      <c r="L88" s="2">
        <f>E88*H88/12</f>
        <v/>
      </c>
      <c r="M88" s="2">
        <f>L88+BW87</f>
        <v/>
      </c>
      <c r="N88" s="2">
        <f>F88*I88/12</f>
        <v/>
      </c>
      <c r="O88" s="2">
        <f>N88+BX87</f>
        <v/>
      </c>
      <c r="P88" s="2">
        <f>Pool!BM88</f>
        <v/>
      </c>
      <c r="Q88" s="2">
        <f>BO87</f>
        <v/>
      </c>
      <c r="R88" s="2">
        <f>MIN(Q88,MAX(0,C88+K88+M88-P88))</f>
        <v/>
      </c>
      <c r="S88" s="2">
        <f>P88+R88</f>
        <v/>
      </c>
      <c r="T88" s="2">
        <f>Pool!BN88+Pool!BO88+Pool!BQ88</f>
        <v/>
      </c>
      <c r="U88" s="7">
        <f>IF(OR(Inputs!$B$53=1,Tests!M87=1),1,0)</f>
        <v/>
      </c>
      <c r="V88" s="2">
        <f>D88+E88+F88</f>
        <v/>
      </c>
      <c r="W88" s="2">
        <f>IF(U88=1,MIN(D88,T88),IF(V88&lt;=0,0,MIN(T88,V88)*D88/V88))</f>
        <v/>
      </c>
      <c r="X88" s="2">
        <f>IF(U88=1,MIN(E88,T88-W88),IF(V88&lt;=0,0,MIN(T88,V88)*E88/V88))</f>
        <v/>
      </c>
      <c r="Y88" s="2">
        <f>IF(U88=1,MIN(F88,T88-W88-X88),IF(V88&lt;=0,0,MIN(T88,V88)*F88/V88))</f>
        <v/>
      </c>
      <c r="Z88" s="2">
        <f>T88-W88-X88-Y88</f>
        <v/>
      </c>
      <c r="AA88" s="2">
        <f>D88-W88</f>
        <v/>
      </c>
      <c r="AB88" s="2">
        <f>E88-X88</f>
        <v/>
      </c>
      <c r="AC88" s="2">
        <f>F88-Y88</f>
        <v/>
      </c>
      <c r="AD88" s="2">
        <f>AA88+AB88+AC88</f>
        <v/>
      </c>
      <c r="AE88" s="2">
        <f>MIN(C88,S88)</f>
        <v/>
      </c>
      <c r="AF88" s="2">
        <f>S88-AE88</f>
        <v/>
      </c>
      <c r="AG88" s="2">
        <f>MIN(K88,AF88)</f>
        <v/>
      </c>
      <c r="AH88" s="2">
        <f>AF88-AG88</f>
        <v/>
      </c>
      <c r="AI88" s="2">
        <f>IF(Tests!F88=1,MIN(AH88,AD88),0)</f>
        <v/>
      </c>
      <c r="AJ88" s="2">
        <f>AH88-AI88</f>
        <v/>
      </c>
      <c r="AK88" s="2">
        <f>MIN(M88,AJ88)</f>
        <v/>
      </c>
      <c r="AL88" s="2">
        <f>AJ88-AK88</f>
        <v/>
      </c>
      <c r="AM88" s="2">
        <f>IF(Tests!I88=1,MIN(AL88,AD88-AI88),0)</f>
        <v/>
      </c>
      <c r="AN88" s="2">
        <f>AL88-AM88</f>
        <v/>
      </c>
      <c r="AO88" s="2">
        <f>MIN(O88,AN88)</f>
        <v/>
      </c>
      <c r="AP88" s="2">
        <f>AN88-AO88</f>
        <v/>
      </c>
      <c r="AQ88" s="2">
        <f>IF(Tests!L88=1,MIN(AP88,AD88-AI88-AM88),0)</f>
        <v/>
      </c>
      <c r="AR88" s="2">
        <f>AP88-AQ88</f>
        <v/>
      </c>
      <c r="AS88" s="2">
        <f>MAX(0,AD88-AI88-AM88-AQ88-Pool!BV88)</f>
        <v/>
      </c>
      <c r="AT88" s="2">
        <f>MIN(AR88,AS88)</f>
        <v/>
      </c>
      <c r="AU88" s="2">
        <f>AR88-AT88</f>
        <v/>
      </c>
      <c r="AV88" s="2">
        <f>AI88+AM88+AQ88+AT88</f>
        <v/>
      </c>
      <c r="AW88" s="2">
        <f>MIN(AA88,AV88)</f>
        <v/>
      </c>
      <c r="AX88" s="2">
        <f>MIN(AB88,AV88-AW88)</f>
        <v/>
      </c>
      <c r="AY88" s="2">
        <f>MIN(AC88,AV88-AW88-AX88)</f>
        <v/>
      </c>
      <c r="AZ88" s="2">
        <f>AA88-AW88</f>
        <v/>
      </c>
      <c r="BA88" s="2">
        <f>AB88-AX88</f>
        <v/>
      </c>
      <c r="BB88" s="2">
        <f>AC88-AY88</f>
        <v/>
      </c>
      <c r="BC88" s="2">
        <f>AZ88+BA88+BB88</f>
        <v/>
      </c>
      <c r="BD88" s="2">
        <f>MAX(0,BC88-Pool!BV88)</f>
        <v/>
      </c>
      <c r="BE88" s="2">
        <f>MIN(BB88,BD88)</f>
        <v/>
      </c>
      <c r="BF88" s="2">
        <f>MIN(BA88,BD88-BE88)</f>
        <v/>
      </c>
      <c r="BG88" s="2">
        <f>MIN(AZ88,BD88-BE88-BF88)</f>
        <v/>
      </c>
      <c r="BH88" s="2">
        <f>AZ88-BG88</f>
        <v/>
      </c>
      <c r="BI88" s="2">
        <f>BA88-BF88</f>
        <v/>
      </c>
      <c r="BJ88" s="2">
        <f>BB88-BE88</f>
        <v/>
      </c>
      <c r="BK88" s="7">
        <f>IF(BH88+BI88+BJ88&lt;0.005,1,0)</f>
        <v/>
      </c>
      <c r="BL88" s="2">
        <f>Q88-R88</f>
        <v/>
      </c>
      <c r="BM88" s="2">
        <f>IF(BK88=1,0,MIN(AU88,MAX(0,Inputs!$B$48-BL88)))</f>
        <v/>
      </c>
      <c r="BN88" s="2">
        <f>IF(BK88=1,BL88,0)</f>
        <v/>
      </c>
      <c r="BO88" s="2">
        <f>BL88+BM88-BN88</f>
        <v/>
      </c>
      <c r="BP88" s="2">
        <f>AU88-BM88</f>
        <v/>
      </c>
      <c r="BQ88" s="2">
        <f>BP88+Z88+BN88</f>
        <v/>
      </c>
      <c r="BR88" s="2">
        <f>W88+AW88</f>
        <v/>
      </c>
      <c r="BS88" s="2">
        <f>X88+AX88</f>
        <v/>
      </c>
      <c r="BT88" s="2">
        <f>Y88+AY88</f>
        <v/>
      </c>
      <c r="BU88" s="2">
        <f>AG88+AK88+AO88+BR88+BS88+BT88</f>
        <v/>
      </c>
      <c r="BV88" s="2">
        <f>K88-AG88</f>
        <v/>
      </c>
      <c r="BW88" s="2">
        <f>M88-AK88</f>
        <v/>
      </c>
      <c r="BX88" s="2">
        <f>O88-AO88</f>
        <v/>
      </c>
      <c r="BY88" s="2">
        <f>C88-AE88</f>
        <v/>
      </c>
      <c r="BZ88" s="8">
        <f>AE88+BU88+BQ88+(BO88-Q88)-Pool!BW88</f>
        <v/>
      </c>
    </row>
    <row r="89">
      <c r="A89" s="7" t="n">
        <v>84</v>
      </c>
      <c r="B89" s="2">
        <f>Inputs!$B$51/12*Pool!BK89</f>
        <v/>
      </c>
      <c r="C89" s="2">
        <f>B89+BY88</f>
        <v/>
      </c>
      <c r="D89" s="2">
        <f>BH88</f>
        <v/>
      </c>
      <c r="E89" s="2">
        <f>BI88</f>
        <v/>
      </c>
      <c r="F89" s="2">
        <f>BJ88</f>
        <v/>
      </c>
      <c r="G89" s="3">
        <f>MAX(0,Pool!B89+Inputs!$B$42)</f>
        <v/>
      </c>
      <c r="H89" s="3">
        <f>MAX(0,Pool!B89+Inputs!$B$43)</f>
        <v/>
      </c>
      <c r="I89" s="3">
        <f>Inputs!$B$44</f>
        <v/>
      </c>
      <c r="J89" s="2">
        <f>D89*G89/12</f>
        <v/>
      </c>
      <c r="K89" s="2">
        <f>J89+BV88</f>
        <v/>
      </c>
      <c r="L89" s="2">
        <f>E89*H89/12</f>
        <v/>
      </c>
      <c r="M89" s="2">
        <f>L89+BW88</f>
        <v/>
      </c>
      <c r="N89" s="2">
        <f>F89*I89/12</f>
        <v/>
      </c>
      <c r="O89" s="2">
        <f>N89+BX88</f>
        <v/>
      </c>
      <c r="P89" s="2">
        <f>Pool!BM89</f>
        <v/>
      </c>
      <c r="Q89" s="2">
        <f>BO88</f>
        <v/>
      </c>
      <c r="R89" s="2">
        <f>MIN(Q89,MAX(0,C89+K89+M89-P89))</f>
        <v/>
      </c>
      <c r="S89" s="2">
        <f>P89+R89</f>
        <v/>
      </c>
      <c r="T89" s="2">
        <f>Pool!BN89+Pool!BO89+Pool!BQ89</f>
        <v/>
      </c>
      <c r="U89" s="7">
        <f>IF(OR(Inputs!$B$53=1,Tests!M88=1),1,0)</f>
        <v/>
      </c>
      <c r="V89" s="2">
        <f>D89+E89+F89</f>
        <v/>
      </c>
      <c r="W89" s="2">
        <f>IF(U89=1,MIN(D89,T89),IF(V89&lt;=0,0,MIN(T89,V89)*D89/V89))</f>
        <v/>
      </c>
      <c r="X89" s="2">
        <f>IF(U89=1,MIN(E89,T89-W89),IF(V89&lt;=0,0,MIN(T89,V89)*E89/V89))</f>
        <v/>
      </c>
      <c r="Y89" s="2">
        <f>IF(U89=1,MIN(F89,T89-W89-X89),IF(V89&lt;=0,0,MIN(T89,V89)*F89/V89))</f>
        <v/>
      </c>
      <c r="Z89" s="2">
        <f>T89-W89-X89-Y89</f>
        <v/>
      </c>
      <c r="AA89" s="2">
        <f>D89-W89</f>
        <v/>
      </c>
      <c r="AB89" s="2">
        <f>E89-X89</f>
        <v/>
      </c>
      <c r="AC89" s="2">
        <f>F89-Y89</f>
        <v/>
      </c>
      <c r="AD89" s="2">
        <f>AA89+AB89+AC89</f>
        <v/>
      </c>
      <c r="AE89" s="2">
        <f>MIN(C89,S89)</f>
        <v/>
      </c>
      <c r="AF89" s="2">
        <f>S89-AE89</f>
        <v/>
      </c>
      <c r="AG89" s="2">
        <f>MIN(K89,AF89)</f>
        <v/>
      </c>
      <c r="AH89" s="2">
        <f>AF89-AG89</f>
        <v/>
      </c>
      <c r="AI89" s="2">
        <f>IF(Tests!F89=1,MIN(AH89,AD89),0)</f>
        <v/>
      </c>
      <c r="AJ89" s="2">
        <f>AH89-AI89</f>
        <v/>
      </c>
      <c r="AK89" s="2">
        <f>MIN(M89,AJ89)</f>
        <v/>
      </c>
      <c r="AL89" s="2">
        <f>AJ89-AK89</f>
        <v/>
      </c>
      <c r="AM89" s="2">
        <f>IF(Tests!I89=1,MIN(AL89,AD89-AI89),0)</f>
        <v/>
      </c>
      <c r="AN89" s="2">
        <f>AL89-AM89</f>
        <v/>
      </c>
      <c r="AO89" s="2">
        <f>MIN(O89,AN89)</f>
        <v/>
      </c>
      <c r="AP89" s="2">
        <f>AN89-AO89</f>
        <v/>
      </c>
      <c r="AQ89" s="2">
        <f>IF(Tests!L89=1,MIN(AP89,AD89-AI89-AM89),0)</f>
        <v/>
      </c>
      <c r="AR89" s="2">
        <f>AP89-AQ89</f>
        <v/>
      </c>
      <c r="AS89" s="2">
        <f>MAX(0,AD89-AI89-AM89-AQ89-Pool!BV89)</f>
        <v/>
      </c>
      <c r="AT89" s="2">
        <f>MIN(AR89,AS89)</f>
        <v/>
      </c>
      <c r="AU89" s="2">
        <f>AR89-AT89</f>
        <v/>
      </c>
      <c r="AV89" s="2">
        <f>AI89+AM89+AQ89+AT89</f>
        <v/>
      </c>
      <c r="AW89" s="2">
        <f>MIN(AA89,AV89)</f>
        <v/>
      </c>
      <c r="AX89" s="2">
        <f>MIN(AB89,AV89-AW89)</f>
        <v/>
      </c>
      <c r="AY89" s="2">
        <f>MIN(AC89,AV89-AW89-AX89)</f>
        <v/>
      </c>
      <c r="AZ89" s="2">
        <f>AA89-AW89</f>
        <v/>
      </c>
      <c r="BA89" s="2">
        <f>AB89-AX89</f>
        <v/>
      </c>
      <c r="BB89" s="2">
        <f>AC89-AY89</f>
        <v/>
      </c>
      <c r="BC89" s="2">
        <f>AZ89+BA89+BB89</f>
        <v/>
      </c>
      <c r="BD89" s="2">
        <f>MAX(0,BC89-Pool!BV89)</f>
        <v/>
      </c>
      <c r="BE89" s="2">
        <f>MIN(BB89,BD89)</f>
        <v/>
      </c>
      <c r="BF89" s="2">
        <f>MIN(BA89,BD89-BE89)</f>
        <v/>
      </c>
      <c r="BG89" s="2">
        <f>MIN(AZ89,BD89-BE89-BF89)</f>
        <v/>
      </c>
      <c r="BH89" s="2">
        <f>AZ89-BG89</f>
        <v/>
      </c>
      <c r="BI89" s="2">
        <f>BA89-BF89</f>
        <v/>
      </c>
      <c r="BJ89" s="2">
        <f>BB89-BE89</f>
        <v/>
      </c>
      <c r="BK89" s="7">
        <f>IF(BH89+BI89+BJ89&lt;0.005,1,0)</f>
        <v/>
      </c>
      <c r="BL89" s="2">
        <f>Q89-R89</f>
        <v/>
      </c>
      <c r="BM89" s="2">
        <f>IF(BK89=1,0,MIN(AU89,MAX(0,Inputs!$B$48-BL89)))</f>
        <v/>
      </c>
      <c r="BN89" s="2">
        <f>IF(BK89=1,BL89,0)</f>
        <v/>
      </c>
      <c r="BO89" s="2">
        <f>BL89+BM89-BN89</f>
        <v/>
      </c>
      <c r="BP89" s="2">
        <f>AU89-BM89</f>
        <v/>
      </c>
      <c r="BQ89" s="2">
        <f>BP89+Z89+BN89</f>
        <v/>
      </c>
      <c r="BR89" s="2">
        <f>W89+AW89</f>
        <v/>
      </c>
      <c r="BS89" s="2">
        <f>X89+AX89</f>
        <v/>
      </c>
      <c r="BT89" s="2">
        <f>Y89+AY89</f>
        <v/>
      </c>
      <c r="BU89" s="2">
        <f>AG89+AK89+AO89+BR89+BS89+BT89</f>
        <v/>
      </c>
      <c r="BV89" s="2">
        <f>K89-AG89</f>
        <v/>
      </c>
      <c r="BW89" s="2">
        <f>M89-AK89</f>
        <v/>
      </c>
      <c r="BX89" s="2">
        <f>O89-AO89</f>
        <v/>
      </c>
      <c r="BY89" s="2">
        <f>C89-AE89</f>
        <v/>
      </c>
      <c r="BZ89" s="8">
        <f>AE89+BU89+BQ89+(BO89-Q89)-Pool!BW89</f>
        <v/>
      </c>
    </row>
    <row r="90">
      <c r="A90" s="7" t="n">
        <v>85</v>
      </c>
      <c r="B90" s="2">
        <f>Inputs!$B$51/12*Pool!BK90</f>
        <v/>
      </c>
      <c r="C90" s="2">
        <f>B90+BY89</f>
        <v/>
      </c>
      <c r="D90" s="2">
        <f>BH89</f>
        <v/>
      </c>
      <c r="E90" s="2">
        <f>BI89</f>
        <v/>
      </c>
      <c r="F90" s="2">
        <f>BJ89</f>
        <v/>
      </c>
      <c r="G90" s="3">
        <f>MAX(0,Pool!B90+Inputs!$B$42)</f>
        <v/>
      </c>
      <c r="H90" s="3">
        <f>MAX(0,Pool!B90+Inputs!$B$43)</f>
        <v/>
      </c>
      <c r="I90" s="3">
        <f>Inputs!$B$44</f>
        <v/>
      </c>
      <c r="J90" s="2">
        <f>D90*G90/12</f>
        <v/>
      </c>
      <c r="K90" s="2">
        <f>J90+BV89</f>
        <v/>
      </c>
      <c r="L90" s="2">
        <f>E90*H90/12</f>
        <v/>
      </c>
      <c r="M90" s="2">
        <f>L90+BW89</f>
        <v/>
      </c>
      <c r="N90" s="2">
        <f>F90*I90/12</f>
        <v/>
      </c>
      <c r="O90" s="2">
        <f>N90+BX89</f>
        <v/>
      </c>
      <c r="P90" s="2">
        <f>Pool!BM90</f>
        <v/>
      </c>
      <c r="Q90" s="2">
        <f>BO89</f>
        <v/>
      </c>
      <c r="R90" s="2">
        <f>MIN(Q90,MAX(0,C90+K90+M90-P90))</f>
        <v/>
      </c>
      <c r="S90" s="2">
        <f>P90+R90</f>
        <v/>
      </c>
      <c r="T90" s="2">
        <f>Pool!BN90+Pool!BO90+Pool!BQ90</f>
        <v/>
      </c>
      <c r="U90" s="7">
        <f>IF(OR(Inputs!$B$53=1,Tests!M89=1),1,0)</f>
        <v/>
      </c>
      <c r="V90" s="2">
        <f>D90+E90+F90</f>
        <v/>
      </c>
      <c r="W90" s="2">
        <f>IF(U90=1,MIN(D90,T90),IF(V90&lt;=0,0,MIN(T90,V90)*D90/V90))</f>
        <v/>
      </c>
      <c r="X90" s="2">
        <f>IF(U90=1,MIN(E90,T90-W90),IF(V90&lt;=0,0,MIN(T90,V90)*E90/V90))</f>
        <v/>
      </c>
      <c r="Y90" s="2">
        <f>IF(U90=1,MIN(F90,T90-W90-X90),IF(V90&lt;=0,0,MIN(T90,V90)*F90/V90))</f>
        <v/>
      </c>
      <c r="Z90" s="2">
        <f>T90-W90-X90-Y90</f>
        <v/>
      </c>
      <c r="AA90" s="2">
        <f>D90-W90</f>
        <v/>
      </c>
      <c r="AB90" s="2">
        <f>E90-X90</f>
        <v/>
      </c>
      <c r="AC90" s="2">
        <f>F90-Y90</f>
        <v/>
      </c>
      <c r="AD90" s="2">
        <f>AA90+AB90+AC90</f>
        <v/>
      </c>
      <c r="AE90" s="2">
        <f>MIN(C90,S90)</f>
        <v/>
      </c>
      <c r="AF90" s="2">
        <f>S90-AE90</f>
        <v/>
      </c>
      <c r="AG90" s="2">
        <f>MIN(K90,AF90)</f>
        <v/>
      </c>
      <c r="AH90" s="2">
        <f>AF90-AG90</f>
        <v/>
      </c>
      <c r="AI90" s="2">
        <f>IF(Tests!F90=1,MIN(AH90,AD90),0)</f>
        <v/>
      </c>
      <c r="AJ90" s="2">
        <f>AH90-AI90</f>
        <v/>
      </c>
      <c r="AK90" s="2">
        <f>MIN(M90,AJ90)</f>
        <v/>
      </c>
      <c r="AL90" s="2">
        <f>AJ90-AK90</f>
        <v/>
      </c>
      <c r="AM90" s="2">
        <f>IF(Tests!I90=1,MIN(AL90,AD90-AI90),0)</f>
        <v/>
      </c>
      <c r="AN90" s="2">
        <f>AL90-AM90</f>
        <v/>
      </c>
      <c r="AO90" s="2">
        <f>MIN(O90,AN90)</f>
        <v/>
      </c>
      <c r="AP90" s="2">
        <f>AN90-AO90</f>
        <v/>
      </c>
      <c r="AQ90" s="2">
        <f>IF(Tests!L90=1,MIN(AP90,AD90-AI90-AM90),0)</f>
        <v/>
      </c>
      <c r="AR90" s="2">
        <f>AP90-AQ90</f>
        <v/>
      </c>
      <c r="AS90" s="2">
        <f>MAX(0,AD90-AI90-AM90-AQ90-Pool!BV90)</f>
        <v/>
      </c>
      <c r="AT90" s="2">
        <f>MIN(AR90,AS90)</f>
        <v/>
      </c>
      <c r="AU90" s="2">
        <f>AR90-AT90</f>
        <v/>
      </c>
      <c r="AV90" s="2">
        <f>AI90+AM90+AQ90+AT90</f>
        <v/>
      </c>
      <c r="AW90" s="2">
        <f>MIN(AA90,AV90)</f>
        <v/>
      </c>
      <c r="AX90" s="2">
        <f>MIN(AB90,AV90-AW90)</f>
        <v/>
      </c>
      <c r="AY90" s="2">
        <f>MIN(AC90,AV90-AW90-AX90)</f>
        <v/>
      </c>
      <c r="AZ90" s="2">
        <f>AA90-AW90</f>
        <v/>
      </c>
      <c r="BA90" s="2">
        <f>AB90-AX90</f>
        <v/>
      </c>
      <c r="BB90" s="2">
        <f>AC90-AY90</f>
        <v/>
      </c>
      <c r="BC90" s="2">
        <f>AZ90+BA90+BB90</f>
        <v/>
      </c>
      <c r="BD90" s="2">
        <f>MAX(0,BC90-Pool!BV90)</f>
        <v/>
      </c>
      <c r="BE90" s="2">
        <f>MIN(BB90,BD90)</f>
        <v/>
      </c>
      <c r="BF90" s="2">
        <f>MIN(BA90,BD90-BE90)</f>
        <v/>
      </c>
      <c r="BG90" s="2">
        <f>MIN(AZ90,BD90-BE90-BF90)</f>
        <v/>
      </c>
      <c r="BH90" s="2">
        <f>AZ90-BG90</f>
        <v/>
      </c>
      <c r="BI90" s="2">
        <f>BA90-BF90</f>
        <v/>
      </c>
      <c r="BJ90" s="2">
        <f>BB90-BE90</f>
        <v/>
      </c>
      <c r="BK90" s="7">
        <f>IF(BH90+BI90+BJ90&lt;0.005,1,0)</f>
        <v/>
      </c>
      <c r="BL90" s="2">
        <f>Q90-R90</f>
        <v/>
      </c>
      <c r="BM90" s="2">
        <f>IF(BK90=1,0,MIN(AU90,MAX(0,Inputs!$B$48-BL90)))</f>
        <v/>
      </c>
      <c r="BN90" s="2">
        <f>IF(BK90=1,BL90,0)</f>
        <v/>
      </c>
      <c r="BO90" s="2">
        <f>BL90+BM90-BN90</f>
        <v/>
      </c>
      <c r="BP90" s="2">
        <f>AU90-BM90</f>
        <v/>
      </c>
      <c r="BQ90" s="2">
        <f>BP90+Z90+BN90</f>
        <v/>
      </c>
      <c r="BR90" s="2">
        <f>W90+AW90</f>
        <v/>
      </c>
      <c r="BS90" s="2">
        <f>X90+AX90</f>
        <v/>
      </c>
      <c r="BT90" s="2">
        <f>Y90+AY90</f>
        <v/>
      </c>
      <c r="BU90" s="2">
        <f>AG90+AK90+AO90+BR90+BS90+BT90</f>
        <v/>
      </c>
      <c r="BV90" s="2">
        <f>K90-AG90</f>
        <v/>
      </c>
      <c r="BW90" s="2">
        <f>M90-AK90</f>
        <v/>
      </c>
      <c r="BX90" s="2">
        <f>O90-AO90</f>
        <v/>
      </c>
      <c r="BY90" s="2">
        <f>C90-AE90</f>
        <v/>
      </c>
      <c r="BZ90" s="8">
        <f>AE90+BU90+BQ90+(BO90-Q90)-Pool!BW90</f>
        <v/>
      </c>
    </row>
    <row r="91">
      <c r="A91" s="7" t="n">
        <v>86</v>
      </c>
      <c r="B91" s="2">
        <f>Inputs!$B$51/12*Pool!BK91</f>
        <v/>
      </c>
      <c r="C91" s="2">
        <f>B91+BY90</f>
        <v/>
      </c>
      <c r="D91" s="2">
        <f>BH90</f>
        <v/>
      </c>
      <c r="E91" s="2">
        <f>BI90</f>
        <v/>
      </c>
      <c r="F91" s="2">
        <f>BJ90</f>
        <v/>
      </c>
      <c r="G91" s="3">
        <f>MAX(0,Pool!B91+Inputs!$B$42)</f>
        <v/>
      </c>
      <c r="H91" s="3">
        <f>MAX(0,Pool!B91+Inputs!$B$43)</f>
        <v/>
      </c>
      <c r="I91" s="3">
        <f>Inputs!$B$44</f>
        <v/>
      </c>
      <c r="J91" s="2">
        <f>D91*G91/12</f>
        <v/>
      </c>
      <c r="K91" s="2">
        <f>J91+BV90</f>
        <v/>
      </c>
      <c r="L91" s="2">
        <f>E91*H91/12</f>
        <v/>
      </c>
      <c r="M91" s="2">
        <f>L91+BW90</f>
        <v/>
      </c>
      <c r="N91" s="2">
        <f>F91*I91/12</f>
        <v/>
      </c>
      <c r="O91" s="2">
        <f>N91+BX90</f>
        <v/>
      </c>
      <c r="P91" s="2">
        <f>Pool!BM91</f>
        <v/>
      </c>
      <c r="Q91" s="2">
        <f>BO90</f>
        <v/>
      </c>
      <c r="R91" s="2">
        <f>MIN(Q91,MAX(0,C91+K91+M91-P91))</f>
        <v/>
      </c>
      <c r="S91" s="2">
        <f>P91+R91</f>
        <v/>
      </c>
      <c r="T91" s="2">
        <f>Pool!BN91+Pool!BO91+Pool!BQ91</f>
        <v/>
      </c>
      <c r="U91" s="7">
        <f>IF(OR(Inputs!$B$53=1,Tests!M90=1),1,0)</f>
        <v/>
      </c>
      <c r="V91" s="2">
        <f>D91+E91+F91</f>
        <v/>
      </c>
      <c r="W91" s="2">
        <f>IF(U91=1,MIN(D91,T91),IF(V91&lt;=0,0,MIN(T91,V91)*D91/V91))</f>
        <v/>
      </c>
      <c r="X91" s="2">
        <f>IF(U91=1,MIN(E91,T91-W91),IF(V91&lt;=0,0,MIN(T91,V91)*E91/V91))</f>
        <v/>
      </c>
      <c r="Y91" s="2">
        <f>IF(U91=1,MIN(F91,T91-W91-X91),IF(V91&lt;=0,0,MIN(T91,V91)*F91/V91))</f>
        <v/>
      </c>
      <c r="Z91" s="2">
        <f>T91-W91-X91-Y91</f>
        <v/>
      </c>
      <c r="AA91" s="2">
        <f>D91-W91</f>
        <v/>
      </c>
      <c r="AB91" s="2">
        <f>E91-X91</f>
        <v/>
      </c>
      <c r="AC91" s="2">
        <f>F91-Y91</f>
        <v/>
      </c>
      <c r="AD91" s="2">
        <f>AA91+AB91+AC91</f>
        <v/>
      </c>
      <c r="AE91" s="2">
        <f>MIN(C91,S91)</f>
        <v/>
      </c>
      <c r="AF91" s="2">
        <f>S91-AE91</f>
        <v/>
      </c>
      <c r="AG91" s="2">
        <f>MIN(K91,AF91)</f>
        <v/>
      </c>
      <c r="AH91" s="2">
        <f>AF91-AG91</f>
        <v/>
      </c>
      <c r="AI91" s="2">
        <f>IF(Tests!F91=1,MIN(AH91,AD91),0)</f>
        <v/>
      </c>
      <c r="AJ91" s="2">
        <f>AH91-AI91</f>
        <v/>
      </c>
      <c r="AK91" s="2">
        <f>MIN(M91,AJ91)</f>
        <v/>
      </c>
      <c r="AL91" s="2">
        <f>AJ91-AK91</f>
        <v/>
      </c>
      <c r="AM91" s="2">
        <f>IF(Tests!I91=1,MIN(AL91,AD91-AI91),0)</f>
        <v/>
      </c>
      <c r="AN91" s="2">
        <f>AL91-AM91</f>
        <v/>
      </c>
      <c r="AO91" s="2">
        <f>MIN(O91,AN91)</f>
        <v/>
      </c>
      <c r="AP91" s="2">
        <f>AN91-AO91</f>
        <v/>
      </c>
      <c r="AQ91" s="2">
        <f>IF(Tests!L91=1,MIN(AP91,AD91-AI91-AM91),0)</f>
        <v/>
      </c>
      <c r="AR91" s="2">
        <f>AP91-AQ91</f>
        <v/>
      </c>
      <c r="AS91" s="2">
        <f>MAX(0,AD91-AI91-AM91-AQ91-Pool!BV91)</f>
        <v/>
      </c>
      <c r="AT91" s="2">
        <f>MIN(AR91,AS91)</f>
        <v/>
      </c>
      <c r="AU91" s="2">
        <f>AR91-AT91</f>
        <v/>
      </c>
      <c r="AV91" s="2">
        <f>AI91+AM91+AQ91+AT91</f>
        <v/>
      </c>
      <c r="AW91" s="2">
        <f>MIN(AA91,AV91)</f>
        <v/>
      </c>
      <c r="AX91" s="2">
        <f>MIN(AB91,AV91-AW91)</f>
        <v/>
      </c>
      <c r="AY91" s="2">
        <f>MIN(AC91,AV91-AW91-AX91)</f>
        <v/>
      </c>
      <c r="AZ91" s="2">
        <f>AA91-AW91</f>
        <v/>
      </c>
      <c r="BA91" s="2">
        <f>AB91-AX91</f>
        <v/>
      </c>
      <c r="BB91" s="2">
        <f>AC91-AY91</f>
        <v/>
      </c>
      <c r="BC91" s="2">
        <f>AZ91+BA91+BB91</f>
        <v/>
      </c>
      <c r="BD91" s="2">
        <f>MAX(0,BC91-Pool!BV91)</f>
        <v/>
      </c>
      <c r="BE91" s="2">
        <f>MIN(BB91,BD91)</f>
        <v/>
      </c>
      <c r="BF91" s="2">
        <f>MIN(BA91,BD91-BE91)</f>
        <v/>
      </c>
      <c r="BG91" s="2">
        <f>MIN(AZ91,BD91-BE91-BF91)</f>
        <v/>
      </c>
      <c r="BH91" s="2">
        <f>AZ91-BG91</f>
        <v/>
      </c>
      <c r="BI91" s="2">
        <f>BA91-BF91</f>
        <v/>
      </c>
      <c r="BJ91" s="2">
        <f>BB91-BE91</f>
        <v/>
      </c>
      <c r="BK91" s="7">
        <f>IF(BH91+BI91+BJ91&lt;0.005,1,0)</f>
        <v/>
      </c>
      <c r="BL91" s="2">
        <f>Q91-R91</f>
        <v/>
      </c>
      <c r="BM91" s="2">
        <f>IF(BK91=1,0,MIN(AU91,MAX(0,Inputs!$B$48-BL91)))</f>
        <v/>
      </c>
      <c r="BN91" s="2">
        <f>IF(BK91=1,BL91,0)</f>
        <v/>
      </c>
      <c r="BO91" s="2">
        <f>BL91+BM91-BN91</f>
        <v/>
      </c>
      <c r="BP91" s="2">
        <f>AU91-BM91</f>
        <v/>
      </c>
      <c r="BQ91" s="2">
        <f>BP91+Z91+BN91</f>
        <v/>
      </c>
      <c r="BR91" s="2">
        <f>W91+AW91</f>
        <v/>
      </c>
      <c r="BS91" s="2">
        <f>X91+AX91</f>
        <v/>
      </c>
      <c r="BT91" s="2">
        <f>Y91+AY91</f>
        <v/>
      </c>
      <c r="BU91" s="2">
        <f>AG91+AK91+AO91+BR91+BS91+BT91</f>
        <v/>
      </c>
      <c r="BV91" s="2">
        <f>K91-AG91</f>
        <v/>
      </c>
      <c r="BW91" s="2">
        <f>M91-AK91</f>
        <v/>
      </c>
      <c r="BX91" s="2">
        <f>O91-AO91</f>
        <v/>
      </c>
      <c r="BY91" s="2">
        <f>C91-AE91</f>
        <v/>
      </c>
      <c r="BZ91" s="8">
        <f>AE91+BU91+BQ91+(BO91-Q91)-Pool!BW91</f>
        <v/>
      </c>
    </row>
    <row r="92">
      <c r="A92" s="7" t="n">
        <v>87</v>
      </c>
      <c r="B92" s="2">
        <f>Inputs!$B$51/12*Pool!BK92</f>
        <v/>
      </c>
      <c r="C92" s="2">
        <f>B92+BY91</f>
        <v/>
      </c>
      <c r="D92" s="2">
        <f>BH91</f>
        <v/>
      </c>
      <c r="E92" s="2">
        <f>BI91</f>
        <v/>
      </c>
      <c r="F92" s="2">
        <f>BJ91</f>
        <v/>
      </c>
      <c r="G92" s="3">
        <f>MAX(0,Pool!B92+Inputs!$B$42)</f>
        <v/>
      </c>
      <c r="H92" s="3">
        <f>MAX(0,Pool!B92+Inputs!$B$43)</f>
        <v/>
      </c>
      <c r="I92" s="3">
        <f>Inputs!$B$44</f>
        <v/>
      </c>
      <c r="J92" s="2">
        <f>D92*G92/12</f>
        <v/>
      </c>
      <c r="K92" s="2">
        <f>J92+BV91</f>
        <v/>
      </c>
      <c r="L92" s="2">
        <f>E92*H92/12</f>
        <v/>
      </c>
      <c r="M92" s="2">
        <f>L92+BW91</f>
        <v/>
      </c>
      <c r="N92" s="2">
        <f>F92*I92/12</f>
        <v/>
      </c>
      <c r="O92" s="2">
        <f>N92+BX91</f>
        <v/>
      </c>
      <c r="P92" s="2">
        <f>Pool!BM92</f>
        <v/>
      </c>
      <c r="Q92" s="2">
        <f>BO91</f>
        <v/>
      </c>
      <c r="R92" s="2">
        <f>MIN(Q92,MAX(0,C92+K92+M92-P92))</f>
        <v/>
      </c>
      <c r="S92" s="2">
        <f>P92+R92</f>
        <v/>
      </c>
      <c r="T92" s="2">
        <f>Pool!BN92+Pool!BO92+Pool!BQ92</f>
        <v/>
      </c>
      <c r="U92" s="7">
        <f>IF(OR(Inputs!$B$53=1,Tests!M91=1),1,0)</f>
        <v/>
      </c>
      <c r="V92" s="2">
        <f>D92+E92+F92</f>
        <v/>
      </c>
      <c r="W92" s="2">
        <f>IF(U92=1,MIN(D92,T92),IF(V92&lt;=0,0,MIN(T92,V92)*D92/V92))</f>
        <v/>
      </c>
      <c r="X92" s="2">
        <f>IF(U92=1,MIN(E92,T92-W92),IF(V92&lt;=0,0,MIN(T92,V92)*E92/V92))</f>
        <v/>
      </c>
      <c r="Y92" s="2">
        <f>IF(U92=1,MIN(F92,T92-W92-X92),IF(V92&lt;=0,0,MIN(T92,V92)*F92/V92))</f>
        <v/>
      </c>
      <c r="Z92" s="2">
        <f>T92-W92-X92-Y92</f>
        <v/>
      </c>
      <c r="AA92" s="2">
        <f>D92-W92</f>
        <v/>
      </c>
      <c r="AB92" s="2">
        <f>E92-X92</f>
        <v/>
      </c>
      <c r="AC92" s="2">
        <f>F92-Y92</f>
        <v/>
      </c>
      <c r="AD92" s="2">
        <f>AA92+AB92+AC92</f>
        <v/>
      </c>
      <c r="AE92" s="2">
        <f>MIN(C92,S92)</f>
        <v/>
      </c>
      <c r="AF92" s="2">
        <f>S92-AE92</f>
        <v/>
      </c>
      <c r="AG92" s="2">
        <f>MIN(K92,AF92)</f>
        <v/>
      </c>
      <c r="AH92" s="2">
        <f>AF92-AG92</f>
        <v/>
      </c>
      <c r="AI92" s="2">
        <f>IF(Tests!F92=1,MIN(AH92,AD92),0)</f>
        <v/>
      </c>
      <c r="AJ92" s="2">
        <f>AH92-AI92</f>
        <v/>
      </c>
      <c r="AK92" s="2">
        <f>MIN(M92,AJ92)</f>
        <v/>
      </c>
      <c r="AL92" s="2">
        <f>AJ92-AK92</f>
        <v/>
      </c>
      <c r="AM92" s="2">
        <f>IF(Tests!I92=1,MIN(AL92,AD92-AI92),0)</f>
        <v/>
      </c>
      <c r="AN92" s="2">
        <f>AL92-AM92</f>
        <v/>
      </c>
      <c r="AO92" s="2">
        <f>MIN(O92,AN92)</f>
        <v/>
      </c>
      <c r="AP92" s="2">
        <f>AN92-AO92</f>
        <v/>
      </c>
      <c r="AQ92" s="2">
        <f>IF(Tests!L92=1,MIN(AP92,AD92-AI92-AM92),0)</f>
        <v/>
      </c>
      <c r="AR92" s="2">
        <f>AP92-AQ92</f>
        <v/>
      </c>
      <c r="AS92" s="2">
        <f>MAX(0,AD92-AI92-AM92-AQ92-Pool!BV92)</f>
        <v/>
      </c>
      <c r="AT92" s="2">
        <f>MIN(AR92,AS92)</f>
        <v/>
      </c>
      <c r="AU92" s="2">
        <f>AR92-AT92</f>
        <v/>
      </c>
      <c r="AV92" s="2">
        <f>AI92+AM92+AQ92+AT92</f>
        <v/>
      </c>
      <c r="AW92" s="2">
        <f>MIN(AA92,AV92)</f>
        <v/>
      </c>
      <c r="AX92" s="2">
        <f>MIN(AB92,AV92-AW92)</f>
        <v/>
      </c>
      <c r="AY92" s="2">
        <f>MIN(AC92,AV92-AW92-AX92)</f>
        <v/>
      </c>
      <c r="AZ92" s="2">
        <f>AA92-AW92</f>
        <v/>
      </c>
      <c r="BA92" s="2">
        <f>AB92-AX92</f>
        <v/>
      </c>
      <c r="BB92" s="2">
        <f>AC92-AY92</f>
        <v/>
      </c>
      <c r="BC92" s="2">
        <f>AZ92+BA92+BB92</f>
        <v/>
      </c>
      <c r="BD92" s="2">
        <f>MAX(0,BC92-Pool!BV92)</f>
        <v/>
      </c>
      <c r="BE92" s="2">
        <f>MIN(BB92,BD92)</f>
        <v/>
      </c>
      <c r="BF92" s="2">
        <f>MIN(BA92,BD92-BE92)</f>
        <v/>
      </c>
      <c r="BG92" s="2">
        <f>MIN(AZ92,BD92-BE92-BF92)</f>
        <v/>
      </c>
      <c r="BH92" s="2">
        <f>AZ92-BG92</f>
        <v/>
      </c>
      <c r="BI92" s="2">
        <f>BA92-BF92</f>
        <v/>
      </c>
      <c r="BJ92" s="2">
        <f>BB92-BE92</f>
        <v/>
      </c>
      <c r="BK92" s="7">
        <f>IF(BH92+BI92+BJ92&lt;0.005,1,0)</f>
        <v/>
      </c>
      <c r="BL92" s="2">
        <f>Q92-R92</f>
        <v/>
      </c>
      <c r="BM92" s="2">
        <f>IF(BK92=1,0,MIN(AU92,MAX(0,Inputs!$B$48-BL92)))</f>
        <v/>
      </c>
      <c r="BN92" s="2">
        <f>IF(BK92=1,BL92,0)</f>
        <v/>
      </c>
      <c r="BO92" s="2">
        <f>BL92+BM92-BN92</f>
        <v/>
      </c>
      <c r="BP92" s="2">
        <f>AU92-BM92</f>
        <v/>
      </c>
      <c r="BQ92" s="2">
        <f>BP92+Z92+BN92</f>
        <v/>
      </c>
      <c r="BR92" s="2">
        <f>W92+AW92</f>
        <v/>
      </c>
      <c r="BS92" s="2">
        <f>X92+AX92</f>
        <v/>
      </c>
      <c r="BT92" s="2">
        <f>Y92+AY92</f>
        <v/>
      </c>
      <c r="BU92" s="2">
        <f>AG92+AK92+AO92+BR92+BS92+BT92</f>
        <v/>
      </c>
      <c r="BV92" s="2">
        <f>K92-AG92</f>
        <v/>
      </c>
      <c r="BW92" s="2">
        <f>M92-AK92</f>
        <v/>
      </c>
      <c r="BX92" s="2">
        <f>O92-AO92</f>
        <v/>
      </c>
      <c r="BY92" s="2">
        <f>C92-AE92</f>
        <v/>
      </c>
      <c r="BZ92" s="8">
        <f>AE92+BU92+BQ92+(BO92-Q92)-Pool!BW92</f>
        <v/>
      </c>
    </row>
    <row r="93">
      <c r="A93" s="7" t="n">
        <v>88</v>
      </c>
      <c r="B93" s="2">
        <f>Inputs!$B$51/12*Pool!BK93</f>
        <v/>
      </c>
      <c r="C93" s="2">
        <f>B93+BY92</f>
        <v/>
      </c>
      <c r="D93" s="2">
        <f>BH92</f>
        <v/>
      </c>
      <c r="E93" s="2">
        <f>BI92</f>
        <v/>
      </c>
      <c r="F93" s="2">
        <f>BJ92</f>
        <v/>
      </c>
      <c r="G93" s="3">
        <f>MAX(0,Pool!B93+Inputs!$B$42)</f>
        <v/>
      </c>
      <c r="H93" s="3">
        <f>MAX(0,Pool!B93+Inputs!$B$43)</f>
        <v/>
      </c>
      <c r="I93" s="3">
        <f>Inputs!$B$44</f>
        <v/>
      </c>
      <c r="J93" s="2">
        <f>D93*G93/12</f>
        <v/>
      </c>
      <c r="K93" s="2">
        <f>J93+BV92</f>
        <v/>
      </c>
      <c r="L93" s="2">
        <f>E93*H93/12</f>
        <v/>
      </c>
      <c r="M93" s="2">
        <f>L93+BW92</f>
        <v/>
      </c>
      <c r="N93" s="2">
        <f>F93*I93/12</f>
        <v/>
      </c>
      <c r="O93" s="2">
        <f>N93+BX92</f>
        <v/>
      </c>
      <c r="P93" s="2">
        <f>Pool!BM93</f>
        <v/>
      </c>
      <c r="Q93" s="2">
        <f>BO92</f>
        <v/>
      </c>
      <c r="R93" s="2">
        <f>MIN(Q93,MAX(0,C93+K93+M93-P93))</f>
        <v/>
      </c>
      <c r="S93" s="2">
        <f>P93+R93</f>
        <v/>
      </c>
      <c r="T93" s="2">
        <f>Pool!BN93+Pool!BO93+Pool!BQ93</f>
        <v/>
      </c>
      <c r="U93" s="7">
        <f>IF(OR(Inputs!$B$53=1,Tests!M92=1),1,0)</f>
        <v/>
      </c>
      <c r="V93" s="2">
        <f>D93+E93+F93</f>
        <v/>
      </c>
      <c r="W93" s="2">
        <f>IF(U93=1,MIN(D93,T93),IF(V93&lt;=0,0,MIN(T93,V93)*D93/V93))</f>
        <v/>
      </c>
      <c r="X93" s="2">
        <f>IF(U93=1,MIN(E93,T93-W93),IF(V93&lt;=0,0,MIN(T93,V93)*E93/V93))</f>
        <v/>
      </c>
      <c r="Y93" s="2">
        <f>IF(U93=1,MIN(F93,T93-W93-X93),IF(V93&lt;=0,0,MIN(T93,V93)*F93/V93))</f>
        <v/>
      </c>
      <c r="Z93" s="2">
        <f>T93-W93-X93-Y93</f>
        <v/>
      </c>
      <c r="AA93" s="2">
        <f>D93-W93</f>
        <v/>
      </c>
      <c r="AB93" s="2">
        <f>E93-X93</f>
        <v/>
      </c>
      <c r="AC93" s="2">
        <f>F93-Y93</f>
        <v/>
      </c>
      <c r="AD93" s="2">
        <f>AA93+AB93+AC93</f>
        <v/>
      </c>
      <c r="AE93" s="2">
        <f>MIN(C93,S93)</f>
        <v/>
      </c>
      <c r="AF93" s="2">
        <f>S93-AE93</f>
        <v/>
      </c>
      <c r="AG93" s="2">
        <f>MIN(K93,AF93)</f>
        <v/>
      </c>
      <c r="AH93" s="2">
        <f>AF93-AG93</f>
        <v/>
      </c>
      <c r="AI93" s="2">
        <f>IF(Tests!F93=1,MIN(AH93,AD93),0)</f>
        <v/>
      </c>
      <c r="AJ93" s="2">
        <f>AH93-AI93</f>
        <v/>
      </c>
      <c r="AK93" s="2">
        <f>MIN(M93,AJ93)</f>
        <v/>
      </c>
      <c r="AL93" s="2">
        <f>AJ93-AK93</f>
        <v/>
      </c>
      <c r="AM93" s="2">
        <f>IF(Tests!I93=1,MIN(AL93,AD93-AI93),0)</f>
        <v/>
      </c>
      <c r="AN93" s="2">
        <f>AL93-AM93</f>
        <v/>
      </c>
      <c r="AO93" s="2">
        <f>MIN(O93,AN93)</f>
        <v/>
      </c>
      <c r="AP93" s="2">
        <f>AN93-AO93</f>
        <v/>
      </c>
      <c r="AQ93" s="2">
        <f>IF(Tests!L93=1,MIN(AP93,AD93-AI93-AM93),0)</f>
        <v/>
      </c>
      <c r="AR93" s="2">
        <f>AP93-AQ93</f>
        <v/>
      </c>
      <c r="AS93" s="2">
        <f>MAX(0,AD93-AI93-AM93-AQ93-Pool!BV93)</f>
        <v/>
      </c>
      <c r="AT93" s="2">
        <f>MIN(AR93,AS93)</f>
        <v/>
      </c>
      <c r="AU93" s="2">
        <f>AR93-AT93</f>
        <v/>
      </c>
      <c r="AV93" s="2">
        <f>AI93+AM93+AQ93+AT93</f>
        <v/>
      </c>
      <c r="AW93" s="2">
        <f>MIN(AA93,AV93)</f>
        <v/>
      </c>
      <c r="AX93" s="2">
        <f>MIN(AB93,AV93-AW93)</f>
        <v/>
      </c>
      <c r="AY93" s="2">
        <f>MIN(AC93,AV93-AW93-AX93)</f>
        <v/>
      </c>
      <c r="AZ93" s="2">
        <f>AA93-AW93</f>
        <v/>
      </c>
      <c r="BA93" s="2">
        <f>AB93-AX93</f>
        <v/>
      </c>
      <c r="BB93" s="2">
        <f>AC93-AY93</f>
        <v/>
      </c>
      <c r="BC93" s="2">
        <f>AZ93+BA93+BB93</f>
        <v/>
      </c>
      <c r="BD93" s="2">
        <f>MAX(0,BC93-Pool!BV93)</f>
        <v/>
      </c>
      <c r="BE93" s="2">
        <f>MIN(BB93,BD93)</f>
        <v/>
      </c>
      <c r="BF93" s="2">
        <f>MIN(BA93,BD93-BE93)</f>
        <v/>
      </c>
      <c r="BG93" s="2">
        <f>MIN(AZ93,BD93-BE93-BF93)</f>
        <v/>
      </c>
      <c r="BH93" s="2">
        <f>AZ93-BG93</f>
        <v/>
      </c>
      <c r="BI93" s="2">
        <f>BA93-BF93</f>
        <v/>
      </c>
      <c r="BJ93" s="2">
        <f>BB93-BE93</f>
        <v/>
      </c>
      <c r="BK93" s="7">
        <f>IF(BH93+BI93+BJ93&lt;0.005,1,0)</f>
        <v/>
      </c>
      <c r="BL93" s="2">
        <f>Q93-R93</f>
        <v/>
      </c>
      <c r="BM93" s="2">
        <f>IF(BK93=1,0,MIN(AU93,MAX(0,Inputs!$B$48-BL93)))</f>
        <v/>
      </c>
      <c r="BN93" s="2">
        <f>IF(BK93=1,BL93,0)</f>
        <v/>
      </c>
      <c r="BO93" s="2">
        <f>BL93+BM93-BN93</f>
        <v/>
      </c>
      <c r="BP93" s="2">
        <f>AU93-BM93</f>
        <v/>
      </c>
      <c r="BQ93" s="2">
        <f>BP93+Z93+BN93</f>
        <v/>
      </c>
      <c r="BR93" s="2">
        <f>W93+AW93</f>
        <v/>
      </c>
      <c r="BS93" s="2">
        <f>X93+AX93</f>
        <v/>
      </c>
      <c r="BT93" s="2">
        <f>Y93+AY93</f>
        <v/>
      </c>
      <c r="BU93" s="2">
        <f>AG93+AK93+AO93+BR93+BS93+BT93</f>
        <v/>
      </c>
      <c r="BV93" s="2">
        <f>K93-AG93</f>
        <v/>
      </c>
      <c r="BW93" s="2">
        <f>M93-AK93</f>
        <v/>
      </c>
      <c r="BX93" s="2">
        <f>O93-AO93</f>
        <v/>
      </c>
      <c r="BY93" s="2">
        <f>C93-AE93</f>
        <v/>
      </c>
      <c r="BZ93" s="8">
        <f>AE93+BU93+BQ93+(BO93-Q93)-Pool!BW93</f>
        <v/>
      </c>
    </row>
    <row r="94">
      <c r="A94" s="7" t="n">
        <v>89</v>
      </c>
      <c r="B94" s="2">
        <f>Inputs!$B$51/12*Pool!BK94</f>
        <v/>
      </c>
      <c r="C94" s="2">
        <f>B94+BY93</f>
        <v/>
      </c>
      <c r="D94" s="2">
        <f>BH93</f>
        <v/>
      </c>
      <c r="E94" s="2">
        <f>BI93</f>
        <v/>
      </c>
      <c r="F94" s="2">
        <f>BJ93</f>
        <v/>
      </c>
      <c r="G94" s="3">
        <f>MAX(0,Pool!B94+Inputs!$B$42)</f>
        <v/>
      </c>
      <c r="H94" s="3">
        <f>MAX(0,Pool!B94+Inputs!$B$43)</f>
        <v/>
      </c>
      <c r="I94" s="3">
        <f>Inputs!$B$44</f>
        <v/>
      </c>
      <c r="J94" s="2">
        <f>D94*G94/12</f>
        <v/>
      </c>
      <c r="K94" s="2">
        <f>J94+BV93</f>
        <v/>
      </c>
      <c r="L94" s="2">
        <f>E94*H94/12</f>
        <v/>
      </c>
      <c r="M94" s="2">
        <f>L94+BW93</f>
        <v/>
      </c>
      <c r="N94" s="2">
        <f>F94*I94/12</f>
        <v/>
      </c>
      <c r="O94" s="2">
        <f>N94+BX93</f>
        <v/>
      </c>
      <c r="P94" s="2">
        <f>Pool!BM94</f>
        <v/>
      </c>
      <c r="Q94" s="2">
        <f>BO93</f>
        <v/>
      </c>
      <c r="R94" s="2">
        <f>MIN(Q94,MAX(0,C94+K94+M94-P94))</f>
        <v/>
      </c>
      <c r="S94" s="2">
        <f>P94+R94</f>
        <v/>
      </c>
      <c r="T94" s="2">
        <f>Pool!BN94+Pool!BO94+Pool!BQ94</f>
        <v/>
      </c>
      <c r="U94" s="7">
        <f>IF(OR(Inputs!$B$53=1,Tests!M93=1),1,0)</f>
        <v/>
      </c>
      <c r="V94" s="2">
        <f>D94+E94+F94</f>
        <v/>
      </c>
      <c r="W94" s="2">
        <f>IF(U94=1,MIN(D94,T94),IF(V94&lt;=0,0,MIN(T94,V94)*D94/V94))</f>
        <v/>
      </c>
      <c r="X94" s="2">
        <f>IF(U94=1,MIN(E94,T94-W94),IF(V94&lt;=0,0,MIN(T94,V94)*E94/V94))</f>
        <v/>
      </c>
      <c r="Y94" s="2">
        <f>IF(U94=1,MIN(F94,T94-W94-X94),IF(V94&lt;=0,0,MIN(T94,V94)*F94/V94))</f>
        <v/>
      </c>
      <c r="Z94" s="2">
        <f>T94-W94-X94-Y94</f>
        <v/>
      </c>
      <c r="AA94" s="2">
        <f>D94-W94</f>
        <v/>
      </c>
      <c r="AB94" s="2">
        <f>E94-X94</f>
        <v/>
      </c>
      <c r="AC94" s="2">
        <f>F94-Y94</f>
        <v/>
      </c>
      <c r="AD94" s="2">
        <f>AA94+AB94+AC94</f>
        <v/>
      </c>
      <c r="AE94" s="2">
        <f>MIN(C94,S94)</f>
        <v/>
      </c>
      <c r="AF94" s="2">
        <f>S94-AE94</f>
        <v/>
      </c>
      <c r="AG94" s="2">
        <f>MIN(K94,AF94)</f>
        <v/>
      </c>
      <c r="AH94" s="2">
        <f>AF94-AG94</f>
        <v/>
      </c>
      <c r="AI94" s="2">
        <f>IF(Tests!F94=1,MIN(AH94,AD94),0)</f>
        <v/>
      </c>
      <c r="AJ94" s="2">
        <f>AH94-AI94</f>
        <v/>
      </c>
      <c r="AK94" s="2">
        <f>MIN(M94,AJ94)</f>
        <v/>
      </c>
      <c r="AL94" s="2">
        <f>AJ94-AK94</f>
        <v/>
      </c>
      <c r="AM94" s="2">
        <f>IF(Tests!I94=1,MIN(AL94,AD94-AI94),0)</f>
        <v/>
      </c>
      <c r="AN94" s="2">
        <f>AL94-AM94</f>
        <v/>
      </c>
      <c r="AO94" s="2">
        <f>MIN(O94,AN94)</f>
        <v/>
      </c>
      <c r="AP94" s="2">
        <f>AN94-AO94</f>
        <v/>
      </c>
      <c r="AQ94" s="2">
        <f>IF(Tests!L94=1,MIN(AP94,AD94-AI94-AM94),0)</f>
        <v/>
      </c>
      <c r="AR94" s="2">
        <f>AP94-AQ94</f>
        <v/>
      </c>
      <c r="AS94" s="2">
        <f>MAX(0,AD94-AI94-AM94-AQ94-Pool!BV94)</f>
        <v/>
      </c>
      <c r="AT94" s="2">
        <f>MIN(AR94,AS94)</f>
        <v/>
      </c>
      <c r="AU94" s="2">
        <f>AR94-AT94</f>
        <v/>
      </c>
      <c r="AV94" s="2">
        <f>AI94+AM94+AQ94+AT94</f>
        <v/>
      </c>
      <c r="AW94" s="2">
        <f>MIN(AA94,AV94)</f>
        <v/>
      </c>
      <c r="AX94" s="2">
        <f>MIN(AB94,AV94-AW94)</f>
        <v/>
      </c>
      <c r="AY94" s="2">
        <f>MIN(AC94,AV94-AW94-AX94)</f>
        <v/>
      </c>
      <c r="AZ94" s="2">
        <f>AA94-AW94</f>
        <v/>
      </c>
      <c r="BA94" s="2">
        <f>AB94-AX94</f>
        <v/>
      </c>
      <c r="BB94" s="2">
        <f>AC94-AY94</f>
        <v/>
      </c>
      <c r="BC94" s="2">
        <f>AZ94+BA94+BB94</f>
        <v/>
      </c>
      <c r="BD94" s="2">
        <f>MAX(0,BC94-Pool!BV94)</f>
        <v/>
      </c>
      <c r="BE94" s="2">
        <f>MIN(BB94,BD94)</f>
        <v/>
      </c>
      <c r="BF94" s="2">
        <f>MIN(BA94,BD94-BE94)</f>
        <v/>
      </c>
      <c r="BG94" s="2">
        <f>MIN(AZ94,BD94-BE94-BF94)</f>
        <v/>
      </c>
      <c r="BH94" s="2">
        <f>AZ94-BG94</f>
        <v/>
      </c>
      <c r="BI94" s="2">
        <f>BA94-BF94</f>
        <v/>
      </c>
      <c r="BJ94" s="2">
        <f>BB94-BE94</f>
        <v/>
      </c>
      <c r="BK94" s="7">
        <f>IF(BH94+BI94+BJ94&lt;0.005,1,0)</f>
        <v/>
      </c>
      <c r="BL94" s="2">
        <f>Q94-R94</f>
        <v/>
      </c>
      <c r="BM94" s="2">
        <f>IF(BK94=1,0,MIN(AU94,MAX(0,Inputs!$B$48-BL94)))</f>
        <v/>
      </c>
      <c r="BN94" s="2">
        <f>IF(BK94=1,BL94,0)</f>
        <v/>
      </c>
      <c r="BO94" s="2">
        <f>BL94+BM94-BN94</f>
        <v/>
      </c>
      <c r="BP94" s="2">
        <f>AU94-BM94</f>
        <v/>
      </c>
      <c r="BQ94" s="2">
        <f>BP94+Z94+BN94</f>
        <v/>
      </c>
      <c r="BR94" s="2">
        <f>W94+AW94</f>
        <v/>
      </c>
      <c r="BS94" s="2">
        <f>X94+AX94</f>
        <v/>
      </c>
      <c r="BT94" s="2">
        <f>Y94+AY94</f>
        <v/>
      </c>
      <c r="BU94" s="2">
        <f>AG94+AK94+AO94+BR94+BS94+BT94</f>
        <v/>
      </c>
      <c r="BV94" s="2">
        <f>K94-AG94</f>
        <v/>
      </c>
      <c r="BW94" s="2">
        <f>M94-AK94</f>
        <v/>
      </c>
      <c r="BX94" s="2">
        <f>O94-AO94</f>
        <v/>
      </c>
      <c r="BY94" s="2">
        <f>C94-AE94</f>
        <v/>
      </c>
      <c r="BZ94" s="8">
        <f>AE94+BU94+BQ94+(BO94-Q94)-Pool!BW94</f>
        <v/>
      </c>
    </row>
    <row r="95">
      <c r="A95" s="7" t="n">
        <v>90</v>
      </c>
      <c r="B95" s="2">
        <f>Inputs!$B$51/12*Pool!BK95</f>
        <v/>
      </c>
      <c r="C95" s="2">
        <f>B95+BY94</f>
        <v/>
      </c>
      <c r="D95" s="2">
        <f>BH94</f>
        <v/>
      </c>
      <c r="E95" s="2">
        <f>BI94</f>
        <v/>
      </c>
      <c r="F95" s="2">
        <f>BJ94</f>
        <v/>
      </c>
      <c r="G95" s="3">
        <f>MAX(0,Pool!B95+Inputs!$B$42)</f>
        <v/>
      </c>
      <c r="H95" s="3">
        <f>MAX(0,Pool!B95+Inputs!$B$43)</f>
        <v/>
      </c>
      <c r="I95" s="3">
        <f>Inputs!$B$44</f>
        <v/>
      </c>
      <c r="J95" s="2">
        <f>D95*G95/12</f>
        <v/>
      </c>
      <c r="K95" s="2">
        <f>J95+BV94</f>
        <v/>
      </c>
      <c r="L95" s="2">
        <f>E95*H95/12</f>
        <v/>
      </c>
      <c r="M95" s="2">
        <f>L95+BW94</f>
        <v/>
      </c>
      <c r="N95" s="2">
        <f>F95*I95/12</f>
        <v/>
      </c>
      <c r="O95" s="2">
        <f>N95+BX94</f>
        <v/>
      </c>
      <c r="P95" s="2">
        <f>Pool!BM95</f>
        <v/>
      </c>
      <c r="Q95" s="2">
        <f>BO94</f>
        <v/>
      </c>
      <c r="R95" s="2">
        <f>MIN(Q95,MAX(0,C95+K95+M95-P95))</f>
        <v/>
      </c>
      <c r="S95" s="2">
        <f>P95+R95</f>
        <v/>
      </c>
      <c r="T95" s="2">
        <f>Pool!BN95+Pool!BO95+Pool!BQ95</f>
        <v/>
      </c>
      <c r="U95" s="7">
        <f>IF(OR(Inputs!$B$53=1,Tests!M94=1),1,0)</f>
        <v/>
      </c>
      <c r="V95" s="2">
        <f>D95+E95+F95</f>
        <v/>
      </c>
      <c r="W95" s="2">
        <f>IF(U95=1,MIN(D95,T95),IF(V95&lt;=0,0,MIN(T95,V95)*D95/V95))</f>
        <v/>
      </c>
      <c r="X95" s="2">
        <f>IF(U95=1,MIN(E95,T95-W95),IF(V95&lt;=0,0,MIN(T95,V95)*E95/V95))</f>
        <v/>
      </c>
      <c r="Y95" s="2">
        <f>IF(U95=1,MIN(F95,T95-W95-X95),IF(V95&lt;=0,0,MIN(T95,V95)*F95/V95))</f>
        <v/>
      </c>
      <c r="Z95" s="2">
        <f>T95-W95-X95-Y95</f>
        <v/>
      </c>
      <c r="AA95" s="2">
        <f>D95-W95</f>
        <v/>
      </c>
      <c r="AB95" s="2">
        <f>E95-X95</f>
        <v/>
      </c>
      <c r="AC95" s="2">
        <f>F95-Y95</f>
        <v/>
      </c>
      <c r="AD95" s="2">
        <f>AA95+AB95+AC95</f>
        <v/>
      </c>
      <c r="AE95" s="2">
        <f>MIN(C95,S95)</f>
        <v/>
      </c>
      <c r="AF95" s="2">
        <f>S95-AE95</f>
        <v/>
      </c>
      <c r="AG95" s="2">
        <f>MIN(K95,AF95)</f>
        <v/>
      </c>
      <c r="AH95" s="2">
        <f>AF95-AG95</f>
        <v/>
      </c>
      <c r="AI95" s="2">
        <f>IF(Tests!F95=1,MIN(AH95,AD95),0)</f>
        <v/>
      </c>
      <c r="AJ95" s="2">
        <f>AH95-AI95</f>
        <v/>
      </c>
      <c r="AK95" s="2">
        <f>MIN(M95,AJ95)</f>
        <v/>
      </c>
      <c r="AL95" s="2">
        <f>AJ95-AK95</f>
        <v/>
      </c>
      <c r="AM95" s="2">
        <f>IF(Tests!I95=1,MIN(AL95,AD95-AI95),0)</f>
        <v/>
      </c>
      <c r="AN95" s="2">
        <f>AL95-AM95</f>
        <v/>
      </c>
      <c r="AO95" s="2">
        <f>MIN(O95,AN95)</f>
        <v/>
      </c>
      <c r="AP95" s="2">
        <f>AN95-AO95</f>
        <v/>
      </c>
      <c r="AQ95" s="2">
        <f>IF(Tests!L95=1,MIN(AP95,AD95-AI95-AM95),0)</f>
        <v/>
      </c>
      <c r="AR95" s="2">
        <f>AP95-AQ95</f>
        <v/>
      </c>
      <c r="AS95" s="2">
        <f>MAX(0,AD95-AI95-AM95-AQ95-Pool!BV95)</f>
        <v/>
      </c>
      <c r="AT95" s="2">
        <f>MIN(AR95,AS95)</f>
        <v/>
      </c>
      <c r="AU95" s="2">
        <f>AR95-AT95</f>
        <v/>
      </c>
      <c r="AV95" s="2">
        <f>AI95+AM95+AQ95+AT95</f>
        <v/>
      </c>
      <c r="AW95" s="2">
        <f>MIN(AA95,AV95)</f>
        <v/>
      </c>
      <c r="AX95" s="2">
        <f>MIN(AB95,AV95-AW95)</f>
        <v/>
      </c>
      <c r="AY95" s="2">
        <f>MIN(AC95,AV95-AW95-AX95)</f>
        <v/>
      </c>
      <c r="AZ95" s="2">
        <f>AA95-AW95</f>
        <v/>
      </c>
      <c r="BA95" s="2">
        <f>AB95-AX95</f>
        <v/>
      </c>
      <c r="BB95" s="2">
        <f>AC95-AY95</f>
        <v/>
      </c>
      <c r="BC95" s="2">
        <f>AZ95+BA95+BB95</f>
        <v/>
      </c>
      <c r="BD95" s="2">
        <f>MAX(0,BC95-Pool!BV95)</f>
        <v/>
      </c>
      <c r="BE95" s="2">
        <f>MIN(BB95,BD95)</f>
        <v/>
      </c>
      <c r="BF95" s="2">
        <f>MIN(BA95,BD95-BE95)</f>
        <v/>
      </c>
      <c r="BG95" s="2">
        <f>MIN(AZ95,BD95-BE95-BF95)</f>
        <v/>
      </c>
      <c r="BH95" s="2">
        <f>AZ95-BG95</f>
        <v/>
      </c>
      <c r="BI95" s="2">
        <f>BA95-BF95</f>
        <v/>
      </c>
      <c r="BJ95" s="2">
        <f>BB95-BE95</f>
        <v/>
      </c>
      <c r="BK95" s="7">
        <f>IF(BH95+BI95+BJ95&lt;0.005,1,0)</f>
        <v/>
      </c>
      <c r="BL95" s="2">
        <f>Q95-R95</f>
        <v/>
      </c>
      <c r="BM95" s="2">
        <f>IF(BK95=1,0,MIN(AU95,MAX(0,Inputs!$B$48-BL95)))</f>
        <v/>
      </c>
      <c r="BN95" s="2">
        <f>IF(BK95=1,BL95,0)</f>
        <v/>
      </c>
      <c r="BO95" s="2">
        <f>BL95+BM95-BN95</f>
        <v/>
      </c>
      <c r="BP95" s="2">
        <f>AU95-BM95</f>
        <v/>
      </c>
      <c r="BQ95" s="2">
        <f>BP95+Z95+BN95</f>
        <v/>
      </c>
      <c r="BR95" s="2">
        <f>W95+AW95</f>
        <v/>
      </c>
      <c r="BS95" s="2">
        <f>X95+AX95</f>
        <v/>
      </c>
      <c r="BT95" s="2">
        <f>Y95+AY95</f>
        <v/>
      </c>
      <c r="BU95" s="2">
        <f>AG95+AK95+AO95+BR95+BS95+BT95</f>
        <v/>
      </c>
      <c r="BV95" s="2">
        <f>K95-AG95</f>
        <v/>
      </c>
      <c r="BW95" s="2">
        <f>M95-AK95</f>
        <v/>
      </c>
      <c r="BX95" s="2">
        <f>O95-AO95</f>
        <v/>
      </c>
      <c r="BY95" s="2">
        <f>C95-AE95</f>
        <v/>
      </c>
      <c r="BZ95" s="8">
        <f>AE95+BU95+BQ95+(BO95-Q95)-Pool!BW95</f>
        <v/>
      </c>
    </row>
    <row r="96">
      <c r="A96" s="7" t="n">
        <v>91</v>
      </c>
      <c r="B96" s="2">
        <f>Inputs!$B$51/12*Pool!BK96</f>
        <v/>
      </c>
      <c r="C96" s="2">
        <f>B96+BY95</f>
        <v/>
      </c>
      <c r="D96" s="2">
        <f>BH95</f>
        <v/>
      </c>
      <c r="E96" s="2">
        <f>BI95</f>
        <v/>
      </c>
      <c r="F96" s="2">
        <f>BJ95</f>
        <v/>
      </c>
      <c r="G96" s="3">
        <f>MAX(0,Pool!B96+Inputs!$B$42)</f>
        <v/>
      </c>
      <c r="H96" s="3">
        <f>MAX(0,Pool!B96+Inputs!$B$43)</f>
        <v/>
      </c>
      <c r="I96" s="3">
        <f>Inputs!$B$44</f>
        <v/>
      </c>
      <c r="J96" s="2">
        <f>D96*G96/12</f>
        <v/>
      </c>
      <c r="K96" s="2">
        <f>J96+BV95</f>
        <v/>
      </c>
      <c r="L96" s="2">
        <f>E96*H96/12</f>
        <v/>
      </c>
      <c r="M96" s="2">
        <f>L96+BW95</f>
        <v/>
      </c>
      <c r="N96" s="2">
        <f>F96*I96/12</f>
        <v/>
      </c>
      <c r="O96" s="2">
        <f>N96+BX95</f>
        <v/>
      </c>
      <c r="P96" s="2">
        <f>Pool!BM96</f>
        <v/>
      </c>
      <c r="Q96" s="2">
        <f>BO95</f>
        <v/>
      </c>
      <c r="R96" s="2">
        <f>MIN(Q96,MAX(0,C96+K96+M96-P96))</f>
        <v/>
      </c>
      <c r="S96" s="2">
        <f>P96+R96</f>
        <v/>
      </c>
      <c r="T96" s="2">
        <f>Pool!BN96+Pool!BO96+Pool!BQ96</f>
        <v/>
      </c>
      <c r="U96" s="7">
        <f>IF(OR(Inputs!$B$53=1,Tests!M95=1),1,0)</f>
        <v/>
      </c>
      <c r="V96" s="2">
        <f>D96+E96+F96</f>
        <v/>
      </c>
      <c r="W96" s="2">
        <f>IF(U96=1,MIN(D96,T96),IF(V96&lt;=0,0,MIN(T96,V96)*D96/V96))</f>
        <v/>
      </c>
      <c r="X96" s="2">
        <f>IF(U96=1,MIN(E96,T96-W96),IF(V96&lt;=0,0,MIN(T96,V96)*E96/V96))</f>
        <v/>
      </c>
      <c r="Y96" s="2">
        <f>IF(U96=1,MIN(F96,T96-W96-X96),IF(V96&lt;=0,0,MIN(T96,V96)*F96/V96))</f>
        <v/>
      </c>
      <c r="Z96" s="2">
        <f>T96-W96-X96-Y96</f>
        <v/>
      </c>
      <c r="AA96" s="2">
        <f>D96-W96</f>
        <v/>
      </c>
      <c r="AB96" s="2">
        <f>E96-X96</f>
        <v/>
      </c>
      <c r="AC96" s="2">
        <f>F96-Y96</f>
        <v/>
      </c>
      <c r="AD96" s="2">
        <f>AA96+AB96+AC96</f>
        <v/>
      </c>
      <c r="AE96" s="2">
        <f>MIN(C96,S96)</f>
        <v/>
      </c>
      <c r="AF96" s="2">
        <f>S96-AE96</f>
        <v/>
      </c>
      <c r="AG96" s="2">
        <f>MIN(K96,AF96)</f>
        <v/>
      </c>
      <c r="AH96" s="2">
        <f>AF96-AG96</f>
        <v/>
      </c>
      <c r="AI96" s="2">
        <f>IF(Tests!F96=1,MIN(AH96,AD96),0)</f>
        <v/>
      </c>
      <c r="AJ96" s="2">
        <f>AH96-AI96</f>
        <v/>
      </c>
      <c r="AK96" s="2">
        <f>MIN(M96,AJ96)</f>
        <v/>
      </c>
      <c r="AL96" s="2">
        <f>AJ96-AK96</f>
        <v/>
      </c>
      <c r="AM96" s="2">
        <f>IF(Tests!I96=1,MIN(AL96,AD96-AI96),0)</f>
        <v/>
      </c>
      <c r="AN96" s="2">
        <f>AL96-AM96</f>
        <v/>
      </c>
      <c r="AO96" s="2">
        <f>MIN(O96,AN96)</f>
        <v/>
      </c>
      <c r="AP96" s="2">
        <f>AN96-AO96</f>
        <v/>
      </c>
      <c r="AQ96" s="2">
        <f>IF(Tests!L96=1,MIN(AP96,AD96-AI96-AM96),0)</f>
        <v/>
      </c>
      <c r="AR96" s="2">
        <f>AP96-AQ96</f>
        <v/>
      </c>
      <c r="AS96" s="2">
        <f>MAX(0,AD96-AI96-AM96-AQ96-Pool!BV96)</f>
        <v/>
      </c>
      <c r="AT96" s="2">
        <f>MIN(AR96,AS96)</f>
        <v/>
      </c>
      <c r="AU96" s="2">
        <f>AR96-AT96</f>
        <v/>
      </c>
      <c r="AV96" s="2">
        <f>AI96+AM96+AQ96+AT96</f>
        <v/>
      </c>
      <c r="AW96" s="2">
        <f>MIN(AA96,AV96)</f>
        <v/>
      </c>
      <c r="AX96" s="2">
        <f>MIN(AB96,AV96-AW96)</f>
        <v/>
      </c>
      <c r="AY96" s="2">
        <f>MIN(AC96,AV96-AW96-AX96)</f>
        <v/>
      </c>
      <c r="AZ96" s="2">
        <f>AA96-AW96</f>
        <v/>
      </c>
      <c r="BA96" s="2">
        <f>AB96-AX96</f>
        <v/>
      </c>
      <c r="BB96" s="2">
        <f>AC96-AY96</f>
        <v/>
      </c>
      <c r="BC96" s="2">
        <f>AZ96+BA96+BB96</f>
        <v/>
      </c>
      <c r="BD96" s="2">
        <f>MAX(0,BC96-Pool!BV96)</f>
        <v/>
      </c>
      <c r="BE96" s="2">
        <f>MIN(BB96,BD96)</f>
        <v/>
      </c>
      <c r="BF96" s="2">
        <f>MIN(BA96,BD96-BE96)</f>
        <v/>
      </c>
      <c r="BG96" s="2">
        <f>MIN(AZ96,BD96-BE96-BF96)</f>
        <v/>
      </c>
      <c r="BH96" s="2">
        <f>AZ96-BG96</f>
        <v/>
      </c>
      <c r="BI96" s="2">
        <f>BA96-BF96</f>
        <v/>
      </c>
      <c r="BJ96" s="2">
        <f>BB96-BE96</f>
        <v/>
      </c>
      <c r="BK96" s="7">
        <f>IF(BH96+BI96+BJ96&lt;0.005,1,0)</f>
        <v/>
      </c>
      <c r="BL96" s="2">
        <f>Q96-R96</f>
        <v/>
      </c>
      <c r="BM96" s="2">
        <f>IF(BK96=1,0,MIN(AU96,MAX(0,Inputs!$B$48-BL96)))</f>
        <v/>
      </c>
      <c r="BN96" s="2">
        <f>IF(BK96=1,BL96,0)</f>
        <v/>
      </c>
      <c r="BO96" s="2">
        <f>BL96+BM96-BN96</f>
        <v/>
      </c>
      <c r="BP96" s="2">
        <f>AU96-BM96</f>
        <v/>
      </c>
      <c r="BQ96" s="2">
        <f>BP96+Z96+BN96</f>
        <v/>
      </c>
      <c r="BR96" s="2">
        <f>W96+AW96</f>
        <v/>
      </c>
      <c r="BS96" s="2">
        <f>X96+AX96</f>
        <v/>
      </c>
      <c r="BT96" s="2">
        <f>Y96+AY96</f>
        <v/>
      </c>
      <c r="BU96" s="2">
        <f>AG96+AK96+AO96+BR96+BS96+BT96</f>
        <v/>
      </c>
      <c r="BV96" s="2">
        <f>K96-AG96</f>
        <v/>
      </c>
      <c r="BW96" s="2">
        <f>M96-AK96</f>
        <v/>
      </c>
      <c r="BX96" s="2">
        <f>O96-AO96</f>
        <v/>
      </c>
      <c r="BY96" s="2">
        <f>C96-AE96</f>
        <v/>
      </c>
      <c r="BZ96" s="8">
        <f>AE96+BU96+BQ96+(BO96-Q96)-Pool!BW96</f>
        <v/>
      </c>
    </row>
    <row r="97">
      <c r="A97" s="7" t="n">
        <v>92</v>
      </c>
      <c r="B97" s="2">
        <f>Inputs!$B$51/12*Pool!BK97</f>
        <v/>
      </c>
      <c r="C97" s="2">
        <f>B97+BY96</f>
        <v/>
      </c>
      <c r="D97" s="2">
        <f>BH96</f>
        <v/>
      </c>
      <c r="E97" s="2">
        <f>BI96</f>
        <v/>
      </c>
      <c r="F97" s="2">
        <f>BJ96</f>
        <v/>
      </c>
      <c r="G97" s="3">
        <f>MAX(0,Pool!B97+Inputs!$B$42)</f>
        <v/>
      </c>
      <c r="H97" s="3">
        <f>MAX(0,Pool!B97+Inputs!$B$43)</f>
        <v/>
      </c>
      <c r="I97" s="3">
        <f>Inputs!$B$44</f>
        <v/>
      </c>
      <c r="J97" s="2">
        <f>D97*G97/12</f>
        <v/>
      </c>
      <c r="K97" s="2">
        <f>J97+BV96</f>
        <v/>
      </c>
      <c r="L97" s="2">
        <f>E97*H97/12</f>
        <v/>
      </c>
      <c r="M97" s="2">
        <f>L97+BW96</f>
        <v/>
      </c>
      <c r="N97" s="2">
        <f>F97*I97/12</f>
        <v/>
      </c>
      <c r="O97" s="2">
        <f>N97+BX96</f>
        <v/>
      </c>
      <c r="P97" s="2">
        <f>Pool!BM97</f>
        <v/>
      </c>
      <c r="Q97" s="2">
        <f>BO96</f>
        <v/>
      </c>
      <c r="R97" s="2">
        <f>MIN(Q97,MAX(0,C97+K97+M97-P97))</f>
        <v/>
      </c>
      <c r="S97" s="2">
        <f>P97+R97</f>
        <v/>
      </c>
      <c r="T97" s="2">
        <f>Pool!BN97+Pool!BO97+Pool!BQ97</f>
        <v/>
      </c>
      <c r="U97" s="7">
        <f>IF(OR(Inputs!$B$53=1,Tests!M96=1),1,0)</f>
        <v/>
      </c>
      <c r="V97" s="2">
        <f>D97+E97+F97</f>
        <v/>
      </c>
      <c r="W97" s="2">
        <f>IF(U97=1,MIN(D97,T97),IF(V97&lt;=0,0,MIN(T97,V97)*D97/V97))</f>
        <v/>
      </c>
      <c r="X97" s="2">
        <f>IF(U97=1,MIN(E97,T97-W97),IF(V97&lt;=0,0,MIN(T97,V97)*E97/V97))</f>
        <v/>
      </c>
      <c r="Y97" s="2">
        <f>IF(U97=1,MIN(F97,T97-W97-X97),IF(V97&lt;=0,0,MIN(T97,V97)*F97/V97))</f>
        <v/>
      </c>
      <c r="Z97" s="2">
        <f>T97-W97-X97-Y97</f>
        <v/>
      </c>
      <c r="AA97" s="2">
        <f>D97-W97</f>
        <v/>
      </c>
      <c r="AB97" s="2">
        <f>E97-X97</f>
        <v/>
      </c>
      <c r="AC97" s="2">
        <f>F97-Y97</f>
        <v/>
      </c>
      <c r="AD97" s="2">
        <f>AA97+AB97+AC97</f>
        <v/>
      </c>
      <c r="AE97" s="2">
        <f>MIN(C97,S97)</f>
        <v/>
      </c>
      <c r="AF97" s="2">
        <f>S97-AE97</f>
        <v/>
      </c>
      <c r="AG97" s="2">
        <f>MIN(K97,AF97)</f>
        <v/>
      </c>
      <c r="AH97" s="2">
        <f>AF97-AG97</f>
        <v/>
      </c>
      <c r="AI97" s="2">
        <f>IF(Tests!F97=1,MIN(AH97,AD97),0)</f>
        <v/>
      </c>
      <c r="AJ97" s="2">
        <f>AH97-AI97</f>
        <v/>
      </c>
      <c r="AK97" s="2">
        <f>MIN(M97,AJ97)</f>
        <v/>
      </c>
      <c r="AL97" s="2">
        <f>AJ97-AK97</f>
        <v/>
      </c>
      <c r="AM97" s="2">
        <f>IF(Tests!I97=1,MIN(AL97,AD97-AI97),0)</f>
        <v/>
      </c>
      <c r="AN97" s="2">
        <f>AL97-AM97</f>
        <v/>
      </c>
      <c r="AO97" s="2">
        <f>MIN(O97,AN97)</f>
        <v/>
      </c>
      <c r="AP97" s="2">
        <f>AN97-AO97</f>
        <v/>
      </c>
      <c r="AQ97" s="2">
        <f>IF(Tests!L97=1,MIN(AP97,AD97-AI97-AM97),0)</f>
        <v/>
      </c>
      <c r="AR97" s="2">
        <f>AP97-AQ97</f>
        <v/>
      </c>
      <c r="AS97" s="2">
        <f>MAX(0,AD97-AI97-AM97-AQ97-Pool!BV97)</f>
        <v/>
      </c>
      <c r="AT97" s="2">
        <f>MIN(AR97,AS97)</f>
        <v/>
      </c>
      <c r="AU97" s="2">
        <f>AR97-AT97</f>
        <v/>
      </c>
      <c r="AV97" s="2">
        <f>AI97+AM97+AQ97+AT97</f>
        <v/>
      </c>
      <c r="AW97" s="2">
        <f>MIN(AA97,AV97)</f>
        <v/>
      </c>
      <c r="AX97" s="2">
        <f>MIN(AB97,AV97-AW97)</f>
        <v/>
      </c>
      <c r="AY97" s="2">
        <f>MIN(AC97,AV97-AW97-AX97)</f>
        <v/>
      </c>
      <c r="AZ97" s="2">
        <f>AA97-AW97</f>
        <v/>
      </c>
      <c r="BA97" s="2">
        <f>AB97-AX97</f>
        <v/>
      </c>
      <c r="BB97" s="2">
        <f>AC97-AY97</f>
        <v/>
      </c>
      <c r="BC97" s="2">
        <f>AZ97+BA97+BB97</f>
        <v/>
      </c>
      <c r="BD97" s="2">
        <f>MAX(0,BC97-Pool!BV97)</f>
        <v/>
      </c>
      <c r="BE97" s="2">
        <f>MIN(BB97,BD97)</f>
        <v/>
      </c>
      <c r="BF97" s="2">
        <f>MIN(BA97,BD97-BE97)</f>
        <v/>
      </c>
      <c r="BG97" s="2">
        <f>MIN(AZ97,BD97-BE97-BF97)</f>
        <v/>
      </c>
      <c r="BH97" s="2">
        <f>AZ97-BG97</f>
        <v/>
      </c>
      <c r="BI97" s="2">
        <f>BA97-BF97</f>
        <v/>
      </c>
      <c r="BJ97" s="2">
        <f>BB97-BE97</f>
        <v/>
      </c>
      <c r="BK97" s="7">
        <f>IF(BH97+BI97+BJ97&lt;0.005,1,0)</f>
        <v/>
      </c>
      <c r="BL97" s="2">
        <f>Q97-R97</f>
        <v/>
      </c>
      <c r="BM97" s="2">
        <f>IF(BK97=1,0,MIN(AU97,MAX(0,Inputs!$B$48-BL97)))</f>
        <v/>
      </c>
      <c r="BN97" s="2">
        <f>IF(BK97=1,BL97,0)</f>
        <v/>
      </c>
      <c r="BO97" s="2">
        <f>BL97+BM97-BN97</f>
        <v/>
      </c>
      <c r="BP97" s="2">
        <f>AU97-BM97</f>
        <v/>
      </c>
      <c r="BQ97" s="2">
        <f>BP97+Z97+BN97</f>
        <v/>
      </c>
      <c r="BR97" s="2">
        <f>W97+AW97</f>
        <v/>
      </c>
      <c r="BS97" s="2">
        <f>X97+AX97</f>
        <v/>
      </c>
      <c r="BT97" s="2">
        <f>Y97+AY97</f>
        <v/>
      </c>
      <c r="BU97" s="2">
        <f>AG97+AK97+AO97+BR97+BS97+BT97</f>
        <v/>
      </c>
      <c r="BV97" s="2">
        <f>K97-AG97</f>
        <v/>
      </c>
      <c r="BW97" s="2">
        <f>M97-AK97</f>
        <v/>
      </c>
      <c r="BX97" s="2">
        <f>O97-AO97</f>
        <v/>
      </c>
      <c r="BY97" s="2">
        <f>C97-AE97</f>
        <v/>
      </c>
      <c r="BZ97" s="8">
        <f>AE97+BU97+BQ97+(BO97-Q97)-Pool!BW97</f>
        <v/>
      </c>
    </row>
    <row r="98">
      <c r="A98" s="7" t="n">
        <v>93</v>
      </c>
      <c r="B98" s="2">
        <f>Inputs!$B$51/12*Pool!BK98</f>
        <v/>
      </c>
      <c r="C98" s="2">
        <f>B98+BY97</f>
        <v/>
      </c>
      <c r="D98" s="2">
        <f>BH97</f>
        <v/>
      </c>
      <c r="E98" s="2">
        <f>BI97</f>
        <v/>
      </c>
      <c r="F98" s="2">
        <f>BJ97</f>
        <v/>
      </c>
      <c r="G98" s="3">
        <f>MAX(0,Pool!B98+Inputs!$B$42)</f>
        <v/>
      </c>
      <c r="H98" s="3">
        <f>MAX(0,Pool!B98+Inputs!$B$43)</f>
        <v/>
      </c>
      <c r="I98" s="3">
        <f>Inputs!$B$44</f>
        <v/>
      </c>
      <c r="J98" s="2">
        <f>D98*G98/12</f>
        <v/>
      </c>
      <c r="K98" s="2">
        <f>J98+BV97</f>
        <v/>
      </c>
      <c r="L98" s="2">
        <f>E98*H98/12</f>
        <v/>
      </c>
      <c r="M98" s="2">
        <f>L98+BW97</f>
        <v/>
      </c>
      <c r="N98" s="2">
        <f>F98*I98/12</f>
        <v/>
      </c>
      <c r="O98" s="2">
        <f>N98+BX97</f>
        <v/>
      </c>
      <c r="P98" s="2">
        <f>Pool!BM98</f>
        <v/>
      </c>
      <c r="Q98" s="2">
        <f>BO97</f>
        <v/>
      </c>
      <c r="R98" s="2">
        <f>MIN(Q98,MAX(0,C98+K98+M98-P98))</f>
        <v/>
      </c>
      <c r="S98" s="2">
        <f>P98+R98</f>
        <v/>
      </c>
      <c r="T98" s="2">
        <f>Pool!BN98+Pool!BO98+Pool!BQ98</f>
        <v/>
      </c>
      <c r="U98" s="7">
        <f>IF(OR(Inputs!$B$53=1,Tests!M97=1),1,0)</f>
        <v/>
      </c>
      <c r="V98" s="2">
        <f>D98+E98+F98</f>
        <v/>
      </c>
      <c r="W98" s="2">
        <f>IF(U98=1,MIN(D98,T98),IF(V98&lt;=0,0,MIN(T98,V98)*D98/V98))</f>
        <v/>
      </c>
      <c r="X98" s="2">
        <f>IF(U98=1,MIN(E98,T98-W98),IF(V98&lt;=0,0,MIN(T98,V98)*E98/V98))</f>
        <v/>
      </c>
      <c r="Y98" s="2">
        <f>IF(U98=1,MIN(F98,T98-W98-X98),IF(V98&lt;=0,0,MIN(T98,V98)*F98/V98))</f>
        <v/>
      </c>
      <c r="Z98" s="2">
        <f>T98-W98-X98-Y98</f>
        <v/>
      </c>
      <c r="AA98" s="2">
        <f>D98-W98</f>
        <v/>
      </c>
      <c r="AB98" s="2">
        <f>E98-X98</f>
        <v/>
      </c>
      <c r="AC98" s="2">
        <f>F98-Y98</f>
        <v/>
      </c>
      <c r="AD98" s="2">
        <f>AA98+AB98+AC98</f>
        <v/>
      </c>
      <c r="AE98" s="2">
        <f>MIN(C98,S98)</f>
        <v/>
      </c>
      <c r="AF98" s="2">
        <f>S98-AE98</f>
        <v/>
      </c>
      <c r="AG98" s="2">
        <f>MIN(K98,AF98)</f>
        <v/>
      </c>
      <c r="AH98" s="2">
        <f>AF98-AG98</f>
        <v/>
      </c>
      <c r="AI98" s="2">
        <f>IF(Tests!F98=1,MIN(AH98,AD98),0)</f>
        <v/>
      </c>
      <c r="AJ98" s="2">
        <f>AH98-AI98</f>
        <v/>
      </c>
      <c r="AK98" s="2">
        <f>MIN(M98,AJ98)</f>
        <v/>
      </c>
      <c r="AL98" s="2">
        <f>AJ98-AK98</f>
        <v/>
      </c>
      <c r="AM98" s="2">
        <f>IF(Tests!I98=1,MIN(AL98,AD98-AI98),0)</f>
        <v/>
      </c>
      <c r="AN98" s="2">
        <f>AL98-AM98</f>
        <v/>
      </c>
      <c r="AO98" s="2">
        <f>MIN(O98,AN98)</f>
        <v/>
      </c>
      <c r="AP98" s="2">
        <f>AN98-AO98</f>
        <v/>
      </c>
      <c r="AQ98" s="2">
        <f>IF(Tests!L98=1,MIN(AP98,AD98-AI98-AM98),0)</f>
        <v/>
      </c>
      <c r="AR98" s="2">
        <f>AP98-AQ98</f>
        <v/>
      </c>
      <c r="AS98" s="2">
        <f>MAX(0,AD98-AI98-AM98-AQ98-Pool!BV98)</f>
        <v/>
      </c>
      <c r="AT98" s="2">
        <f>MIN(AR98,AS98)</f>
        <v/>
      </c>
      <c r="AU98" s="2">
        <f>AR98-AT98</f>
        <v/>
      </c>
      <c r="AV98" s="2">
        <f>AI98+AM98+AQ98+AT98</f>
        <v/>
      </c>
      <c r="AW98" s="2">
        <f>MIN(AA98,AV98)</f>
        <v/>
      </c>
      <c r="AX98" s="2">
        <f>MIN(AB98,AV98-AW98)</f>
        <v/>
      </c>
      <c r="AY98" s="2">
        <f>MIN(AC98,AV98-AW98-AX98)</f>
        <v/>
      </c>
      <c r="AZ98" s="2">
        <f>AA98-AW98</f>
        <v/>
      </c>
      <c r="BA98" s="2">
        <f>AB98-AX98</f>
        <v/>
      </c>
      <c r="BB98" s="2">
        <f>AC98-AY98</f>
        <v/>
      </c>
      <c r="BC98" s="2">
        <f>AZ98+BA98+BB98</f>
        <v/>
      </c>
      <c r="BD98" s="2">
        <f>MAX(0,BC98-Pool!BV98)</f>
        <v/>
      </c>
      <c r="BE98" s="2">
        <f>MIN(BB98,BD98)</f>
        <v/>
      </c>
      <c r="BF98" s="2">
        <f>MIN(BA98,BD98-BE98)</f>
        <v/>
      </c>
      <c r="BG98" s="2">
        <f>MIN(AZ98,BD98-BE98-BF98)</f>
        <v/>
      </c>
      <c r="BH98" s="2">
        <f>AZ98-BG98</f>
        <v/>
      </c>
      <c r="BI98" s="2">
        <f>BA98-BF98</f>
        <v/>
      </c>
      <c r="BJ98" s="2">
        <f>BB98-BE98</f>
        <v/>
      </c>
      <c r="BK98" s="7">
        <f>IF(BH98+BI98+BJ98&lt;0.005,1,0)</f>
        <v/>
      </c>
      <c r="BL98" s="2">
        <f>Q98-R98</f>
        <v/>
      </c>
      <c r="BM98" s="2">
        <f>IF(BK98=1,0,MIN(AU98,MAX(0,Inputs!$B$48-BL98)))</f>
        <v/>
      </c>
      <c r="BN98" s="2">
        <f>IF(BK98=1,BL98,0)</f>
        <v/>
      </c>
      <c r="BO98" s="2">
        <f>BL98+BM98-BN98</f>
        <v/>
      </c>
      <c r="BP98" s="2">
        <f>AU98-BM98</f>
        <v/>
      </c>
      <c r="BQ98" s="2">
        <f>BP98+Z98+BN98</f>
        <v/>
      </c>
      <c r="BR98" s="2">
        <f>W98+AW98</f>
        <v/>
      </c>
      <c r="BS98" s="2">
        <f>X98+AX98</f>
        <v/>
      </c>
      <c r="BT98" s="2">
        <f>Y98+AY98</f>
        <v/>
      </c>
      <c r="BU98" s="2">
        <f>AG98+AK98+AO98+BR98+BS98+BT98</f>
        <v/>
      </c>
      <c r="BV98" s="2">
        <f>K98-AG98</f>
        <v/>
      </c>
      <c r="BW98" s="2">
        <f>M98-AK98</f>
        <v/>
      </c>
      <c r="BX98" s="2">
        <f>O98-AO98</f>
        <v/>
      </c>
      <c r="BY98" s="2">
        <f>C98-AE98</f>
        <v/>
      </c>
      <c r="BZ98" s="8">
        <f>AE98+BU98+BQ98+(BO98-Q98)-Pool!BW98</f>
        <v/>
      </c>
    </row>
    <row r="99">
      <c r="A99" s="7" t="n">
        <v>94</v>
      </c>
      <c r="B99" s="2">
        <f>Inputs!$B$51/12*Pool!BK99</f>
        <v/>
      </c>
      <c r="C99" s="2">
        <f>B99+BY98</f>
        <v/>
      </c>
      <c r="D99" s="2">
        <f>BH98</f>
        <v/>
      </c>
      <c r="E99" s="2">
        <f>BI98</f>
        <v/>
      </c>
      <c r="F99" s="2">
        <f>BJ98</f>
        <v/>
      </c>
      <c r="G99" s="3">
        <f>MAX(0,Pool!B99+Inputs!$B$42)</f>
        <v/>
      </c>
      <c r="H99" s="3">
        <f>MAX(0,Pool!B99+Inputs!$B$43)</f>
        <v/>
      </c>
      <c r="I99" s="3">
        <f>Inputs!$B$44</f>
        <v/>
      </c>
      <c r="J99" s="2">
        <f>D99*G99/12</f>
        <v/>
      </c>
      <c r="K99" s="2">
        <f>J99+BV98</f>
        <v/>
      </c>
      <c r="L99" s="2">
        <f>E99*H99/12</f>
        <v/>
      </c>
      <c r="M99" s="2">
        <f>L99+BW98</f>
        <v/>
      </c>
      <c r="N99" s="2">
        <f>F99*I99/12</f>
        <v/>
      </c>
      <c r="O99" s="2">
        <f>N99+BX98</f>
        <v/>
      </c>
      <c r="P99" s="2">
        <f>Pool!BM99</f>
        <v/>
      </c>
      <c r="Q99" s="2">
        <f>BO98</f>
        <v/>
      </c>
      <c r="R99" s="2">
        <f>MIN(Q99,MAX(0,C99+K99+M99-P99))</f>
        <v/>
      </c>
      <c r="S99" s="2">
        <f>P99+R99</f>
        <v/>
      </c>
      <c r="T99" s="2">
        <f>Pool!BN99+Pool!BO99+Pool!BQ99</f>
        <v/>
      </c>
      <c r="U99" s="7">
        <f>IF(OR(Inputs!$B$53=1,Tests!M98=1),1,0)</f>
        <v/>
      </c>
      <c r="V99" s="2">
        <f>D99+E99+F99</f>
        <v/>
      </c>
      <c r="W99" s="2">
        <f>IF(U99=1,MIN(D99,T99),IF(V99&lt;=0,0,MIN(T99,V99)*D99/V99))</f>
        <v/>
      </c>
      <c r="X99" s="2">
        <f>IF(U99=1,MIN(E99,T99-W99),IF(V99&lt;=0,0,MIN(T99,V99)*E99/V99))</f>
        <v/>
      </c>
      <c r="Y99" s="2">
        <f>IF(U99=1,MIN(F99,T99-W99-X99),IF(V99&lt;=0,0,MIN(T99,V99)*F99/V99))</f>
        <v/>
      </c>
      <c r="Z99" s="2">
        <f>T99-W99-X99-Y99</f>
        <v/>
      </c>
      <c r="AA99" s="2">
        <f>D99-W99</f>
        <v/>
      </c>
      <c r="AB99" s="2">
        <f>E99-X99</f>
        <v/>
      </c>
      <c r="AC99" s="2">
        <f>F99-Y99</f>
        <v/>
      </c>
      <c r="AD99" s="2">
        <f>AA99+AB99+AC99</f>
        <v/>
      </c>
      <c r="AE99" s="2">
        <f>MIN(C99,S99)</f>
        <v/>
      </c>
      <c r="AF99" s="2">
        <f>S99-AE99</f>
        <v/>
      </c>
      <c r="AG99" s="2">
        <f>MIN(K99,AF99)</f>
        <v/>
      </c>
      <c r="AH99" s="2">
        <f>AF99-AG99</f>
        <v/>
      </c>
      <c r="AI99" s="2">
        <f>IF(Tests!F99=1,MIN(AH99,AD99),0)</f>
        <v/>
      </c>
      <c r="AJ99" s="2">
        <f>AH99-AI99</f>
        <v/>
      </c>
      <c r="AK99" s="2">
        <f>MIN(M99,AJ99)</f>
        <v/>
      </c>
      <c r="AL99" s="2">
        <f>AJ99-AK99</f>
        <v/>
      </c>
      <c r="AM99" s="2">
        <f>IF(Tests!I99=1,MIN(AL99,AD99-AI99),0)</f>
        <v/>
      </c>
      <c r="AN99" s="2">
        <f>AL99-AM99</f>
        <v/>
      </c>
      <c r="AO99" s="2">
        <f>MIN(O99,AN99)</f>
        <v/>
      </c>
      <c r="AP99" s="2">
        <f>AN99-AO99</f>
        <v/>
      </c>
      <c r="AQ99" s="2">
        <f>IF(Tests!L99=1,MIN(AP99,AD99-AI99-AM99),0)</f>
        <v/>
      </c>
      <c r="AR99" s="2">
        <f>AP99-AQ99</f>
        <v/>
      </c>
      <c r="AS99" s="2">
        <f>MAX(0,AD99-AI99-AM99-AQ99-Pool!BV99)</f>
        <v/>
      </c>
      <c r="AT99" s="2">
        <f>MIN(AR99,AS99)</f>
        <v/>
      </c>
      <c r="AU99" s="2">
        <f>AR99-AT99</f>
        <v/>
      </c>
      <c r="AV99" s="2">
        <f>AI99+AM99+AQ99+AT99</f>
        <v/>
      </c>
      <c r="AW99" s="2">
        <f>MIN(AA99,AV99)</f>
        <v/>
      </c>
      <c r="AX99" s="2">
        <f>MIN(AB99,AV99-AW99)</f>
        <v/>
      </c>
      <c r="AY99" s="2">
        <f>MIN(AC99,AV99-AW99-AX99)</f>
        <v/>
      </c>
      <c r="AZ99" s="2">
        <f>AA99-AW99</f>
        <v/>
      </c>
      <c r="BA99" s="2">
        <f>AB99-AX99</f>
        <v/>
      </c>
      <c r="BB99" s="2">
        <f>AC99-AY99</f>
        <v/>
      </c>
      <c r="BC99" s="2">
        <f>AZ99+BA99+BB99</f>
        <v/>
      </c>
      <c r="BD99" s="2">
        <f>MAX(0,BC99-Pool!BV99)</f>
        <v/>
      </c>
      <c r="BE99" s="2">
        <f>MIN(BB99,BD99)</f>
        <v/>
      </c>
      <c r="BF99" s="2">
        <f>MIN(BA99,BD99-BE99)</f>
        <v/>
      </c>
      <c r="BG99" s="2">
        <f>MIN(AZ99,BD99-BE99-BF99)</f>
        <v/>
      </c>
      <c r="BH99" s="2">
        <f>AZ99-BG99</f>
        <v/>
      </c>
      <c r="BI99" s="2">
        <f>BA99-BF99</f>
        <v/>
      </c>
      <c r="BJ99" s="2">
        <f>BB99-BE99</f>
        <v/>
      </c>
      <c r="BK99" s="7">
        <f>IF(BH99+BI99+BJ99&lt;0.005,1,0)</f>
        <v/>
      </c>
      <c r="BL99" s="2">
        <f>Q99-R99</f>
        <v/>
      </c>
      <c r="BM99" s="2">
        <f>IF(BK99=1,0,MIN(AU99,MAX(0,Inputs!$B$48-BL99)))</f>
        <v/>
      </c>
      <c r="BN99" s="2">
        <f>IF(BK99=1,BL99,0)</f>
        <v/>
      </c>
      <c r="BO99" s="2">
        <f>BL99+BM99-BN99</f>
        <v/>
      </c>
      <c r="BP99" s="2">
        <f>AU99-BM99</f>
        <v/>
      </c>
      <c r="BQ99" s="2">
        <f>BP99+Z99+BN99</f>
        <v/>
      </c>
      <c r="BR99" s="2">
        <f>W99+AW99</f>
        <v/>
      </c>
      <c r="BS99" s="2">
        <f>X99+AX99</f>
        <v/>
      </c>
      <c r="BT99" s="2">
        <f>Y99+AY99</f>
        <v/>
      </c>
      <c r="BU99" s="2">
        <f>AG99+AK99+AO99+BR99+BS99+BT99</f>
        <v/>
      </c>
      <c r="BV99" s="2">
        <f>K99-AG99</f>
        <v/>
      </c>
      <c r="BW99" s="2">
        <f>M99-AK99</f>
        <v/>
      </c>
      <c r="BX99" s="2">
        <f>O99-AO99</f>
        <v/>
      </c>
      <c r="BY99" s="2">
        <f>C99-AE99</f>
        <v/>
      </c>
      <c r="BZ99" s="8">
        <f>AE99+BU99+BQ99+(BO99-Q99)-Pool!BW99</f>
        <v/>
      </c>
    </row>
    <row r="100">
      <c r="A100" s="7" t="n">
        <v>95</v>
      </c>
      <c r="B100" s="2">
        <f>Inputs!$B$51/12*Pool!BK100</f>
        <v/>
      </c>
      <c r="C100" s="2">
        <f>B100+BY99</f>
        <v/>
      </c>
      <c r="D100" s="2">
        <f>BH99</f>
        <v/>
      </c>
      <c r="E100" s="2">
        <f>BI99</f>
        <v/>
      </c>
      <c r="F100" s="2">
        <f>BJ99</f>
        <v/>
      </c>
      <c r="G100" s="3">
        <f>MAX(0,Pool!B100+Inputs!$B$42)</f>
        <v/>
      </c>
      <c r="H100" s="3">
        <f>MAX(0,Pool!B100+Inputs!$B$43)</f>
        <v/>
      </c>
      <c r="I100" s="3">
        <f>Inputs!$B$44</f>
        <v/>
      </c>
      <c r="J100" s="2">
        <f>D100*G100/12</f>
        <v/>
      </c>
      <c r="K100" s="2">
        <f>J100+BV99</f>
        <v/>
      </c>
      <c r="L100" s="2">
        <f>E100*H100/12</f>
        <v/>
      </c>
      <c r="M100" s="2">
        <f>L100+BW99</f>
        <v/>
      </c>
      <c r="N100" s="2">
        <f>F100*I100/12</f>
        <v/>
      </c>
      <c r="O100" s="2">
        <f>N100+BX99</f>
        <v/>
      </c>
      <c r="P100" s="2">
        <f>Pool!BM100</f>
        <v/>
      </c>
      <c r="Q100" s="2">
        <f>BO99</f>
        <v/>
      </c>
      <c r="R100" s="2">
        <f>MIN(Q100,MAX(0,C100+K100+M100-P100))</f>
        <v/>
      </c>
      <c r="S100" s="2">
        <f>P100+R100</f>
        <v/>
      </c>
      <c r="T100" s="2">
        <f>Pool!BN100+Pool!BO100+Pool!BQ100</f>
        <v/>
      </c>
      <c r="U100" s="7">
        <f>IF(OR(Inputs!$B$53=1,Tests!M99=1),1,0)</f>
        <v/>
      </c>
      <c r="V100" s="2">
        <f>D100+E100+F100</f>
        <v/>
      </c>
      <c r="W100" s="2">
        <f>IF(U100=1,MIN(D100,T100),IF(V100&lt;=0,0,MIN(T100,V100)*D100/V100))</f>
        <v/>
      </c>
      <c r="X100" s="2">
        <f>IF(U100=1,MIN(E100,T100-W100),IF(V100&lt;=0,0,MIN(T100,V100)*E100/V100))</f>
        <v/>
      </c>
      <c r="Y100" s="2">
        <f>IF(U100=1,MIN(F100,T100-W100-X100),IF(V100&lt;=0,0,MIN(T100,V100)*F100/V100))</f>
        <v/>
      </c>
      <c r="Z100" s="2">
        <f>T100-W100-X100-Y100</f>
        <v/>
      </c>
      <c r="AA100" s="2">
        <f>D100-W100</f>
        <v/>
      </c>
      <c r="AB100" s="2">
        <f>E100-X100</f>
        <v/>
      </c>
      <c r="AC100" s="2">
        <f>F100-Y100</f>
        <v/>
      </c>
      <c r="AD100" s="2">
        <f>AA100+AB100+AC100</f>
        <v/>
      </c>
      <c r="AE100" s="2">
        <f>MIN(C100,S100)</f>
        <v/>
      </c>
      <c r="AF100" s="2">
        <f>S100-AE100</f>
        <v/>
      </c>
      <c r="AG100" s="2">
        <f>MIN(K100,AF100)</f>
        <v/>
      </c>
      <c r="AH100" s="2">
        <f>AF100-AG100</f>
        <v/>
      </c>
      <c r="AI100" s="2">
        <f>IF(Tests!F100=1,MIN(AH100,AD100),0)</f>
        <v/>
      </c>
      <c r="AJ100" s="2">
        <f>AH100-AI100</f>
        <v/>
      </c>
      <c r="AK100" s="2">
        <f>MIN(M100,AJ100)</f>
        <v/>
      </c>
      <c r="AL100" s="2">
        <f>AJ100-AK100</f>
        <v/>
      </c>
      <c r="AM100" s="2">
        <f>IF(Tests!I100=1,MIN(AL100,AD100-AI100),0)</f>
        <v/>
      </c>
      <c r="AN100" s="2">
        <f>AL100-AM100</f>
        <v/>
      </c>
      <c r="AO100" s="2">
        <f>MIN(O100,AN100)</f>
        <v/>
      </c>
      <c r="AP100" s="2">
        <f>AN100-AO100</f>
        <v/>
      </c>
      <c r="AQ100" s="2">
        <f>IF(Tests!L100=1,MIN(AP100,AD100-AI100-AM100),0)</f>
        <v/>
      </c>
      <c r="AR100" s="2">
        <f>AP100-AQ100</f>
        <v/>
      </c>
      <c r="AS100" s="2">
        <f>MAX(0,AD100-AI100-AM100-AQ100-Pool!BV100)</f>
        <v/>
      </c>
      <c r="AT100" s="2">
        <f>MIN(AR100,AS100)</f>
        <v/>
      </c>
      <c r="AU100" s="2">
        <f>AR100-AT100</f>
        <v/>
      </c>
      <c r="AV100" s="2">
        <f>AI100+AM100+AQ100+AT100</f>
        <v/>
      </c>
      <c r="AW100" s="2">
        <f>MIN(AA100,AV100)</f>
        <v/>
      </c>
      <c r="AX100" s="2">
        <f>MIN(AB100,AV100-AW100)</f>
        <v/>
      </c>
      <c r="AY100" s="2">
        <f>MIN(AC100,AV100-AW100-AX100)</f>
        <v/>
      </c>
      <c r="AZ100" s="2">
        <f>AA100-AW100</f>
        <v/>
      </c>
      <c r="BA100" s="2">
        <f>AB100-AX100</f>
        <v/>
      </c>
      <c r="BB100" s="2">
        <f>AC100-AY100</f>
        <v/>
      </c>
      <c r="BC100" s="2">
        <f>AZ100+BA100+BB100</f>
        <v/>
      </c>
      <c r="BD100" s="2">
        <f>MAX(0,BC100-Pool!BV100)</f>
        <v/>
      </c>
      <c r="BE100" s="2">
        <f>MIN(BB100,BD100)</f>
        <v/>
      </c>
      <c r="BF100" s="2">
        <f>MIN(BA100,BD100-BE100)</f>
        <v/>
      </c>
      <c r="BG100" s="2">
        <f>MIN(AZ100,BD100-BE100-BF100)</f>
        <v/>
      </c>
      <c r="BH100" s="2">
        <f>AZ100-BG100</f>
        <v/>
      </c>
      <c r="BI100" s="2">
        <f>BA100-BF100</f>
        <v/>
      </c>
      <c r="BJ100" s="2">
        <f>BB100-BE100</f>
        <v/>
      </c>
      <c r="BK100" s="7">
        <f>IF(BH100+BI100+BJ100&lt;0.005,1,0)</f>
        <v/>
      </c>
      <c r="BL100" s="2">
        <f>Q100-R100</f>
        <v/>
      </c>
      <c r="BM100" s="2">
        <f>IF(BK100=1,0,MIN(AU100,MAX(0,Inputs!$B$48-BL100)))</f>
        <v/>
      </c>
      <c r="BN100" s="2">
        <f>IF(BK100=1,BL100,0)</f>
        <v/>
      </c>
      <c r="BO100" s="2">
        <f>BL100+BM100-BN100</f>
        <v/>
      </c>
      <c r="BP100" s="2">
        <f>AU100-BM100</f>
        <v/>
      </c>
      <c r="BQ100" s="2">
        <f>BP100+Z100+BN100</f>
        <v/>
      </c>
      <c r="BR100" s="2">
        <f>W100+AW100</f>
        <v/>
      </c>
      <c r="BS100" s="2">
        <f>X100+AX100</f>
        <v/>
      </c>
      <c r="BT100" s="2">
        <f>Y100+AY100</f>
        <v/>
      </c>
      <c r="BU100" s="2">
        <f>AG100+AK100+AO100+BR100+BS100+BT100</f>
        <v/>
      </c>
      <c r="BV100" s="2">
        <f>K100-AG100</f>
        <v/>
      </c>
      <c r="BW100" s="2">
        <f>M100-AK100</f>
        <v/>
      </c>
      <c r="BX100" s="2">
        <f>O100-AO100</f>
        <v/>
      </c>
      <c r="BY100" s="2">
        <f>C100-AE100</f>
        <v/>
      </c>
      <c r="BZ100" s="8">
        <f>AE100+BU100+BQ100+(BO100-Q100)-Pool!BW100</f>
        <v/>
      </c>
    </row>
    <row r="101">
      <c r="A101" s="7" t="n">
        <v>96</v>
      </c>
      <c r="B101" s="2">
        <f>Inputs!$B$51/12*Pool!BK101</f>
        <v/>
      </c>
      <c r="C101" s="2">
        <f>B101+BY100</f>
        <v/>
      </c>
      <c r="D101" s="2">
        <f>BH100</f>
        <v/>
      </c>
      <c r="E101" s="2">
        <f>BI100</f>
        <v/>
      </c>
      <c r="F101" s="2">
        <f>BJ100</f>
        <v/>
      </c>
      <c r="G101" s="3">
        <f>MAX(0,Pool!B101+Inputs!$B$42)</f>
        <v/>
      </c>
      <c r="H101" s="3">
        <f>MAX(0,Pool!B101+Inputs!$B$43)</f>
        <v/>
      </c>
      <c r="I101" s="3">
        <f>Inputs!$B$44</f>
        <v/>
      </c>
      <c r="J101" s="2">
        <f>D101*G101/12</f>
        <v/>
      </c>
      <c r="K101" s="2">
        <f>J101+BV100</f>
        <v/>
      </c>
      <c r="L101" s="2">
        <f>E101*H101/12</f>
        <v/>
      </c>
      <c r="M101" s="2">
        <f>L101+BW100</f>
        <v/>
      </c>
      <c r="N101" s="2">
        <f>F101*I101/12</f>
        <v/>
      </c>
      <c r="O101" s="2">
        <f>N101+BX100</f>
        <v/>
      </c>
      <c r="P101" s="2">
        <f>Pool!BM101</f>
        <v/>
      </c>
      <c r="Q101" s="2">
        <f>BO100</f>
        <v/>
      </c>
      <c r="R101" s="2">
        <f>MIN(Q101,MAX(0,C101+K101+M101-P101))</f>
        <v/>
      </c>
      <c r="S101" s="2">
        <f>P101+R101</f>
        <v/>
      </c>
      <c r="T101" s="2">
        <f>Pool!BN101+Pool!BO101+Pool!BQ101</f>
        <v/>
      </c>
      <c r="U101" s="7">
        <f>IF(OR(Inputs!$B$53=1,Tests!M100=1),1,0)</f>
        <v/>
      </c>
      <c r="V101" s="2">
        <f>D101+E101+F101</f>
        <v/>
      </c>
      <c r="W101" s="2">
        <f>IF(U101=1,MIN(D101,T101),IF(V101&lt;=0,0,MIN(T101,V101)*D101/V101))</f>
        <v/>
      </c>
      <c r="X101" s="2">
        <f>IF(U101=1,MIN(E101,T101-W101),IF(V101&lt;=0,0,MIN(T101,V101)*E101/V101))</f>
        <v/>
      </c>
      <c r="Y101" s="2">
        <f>IF(U101=1,MIN(F101,T101-W101-X101),IF(V101&lt;=0,0,MIN(T101,V101)*F101/V101))</f>
        <v/>
      </c>
      <c r="Z101" s="2">
        <f>T101-W101-X101-Y101</f>
        <v/>
      </c>
      <c r="AA101" s="2">
        <f>D101-W101</f>
        <v/>
      </c>
      <c r="AB101" s="2">
        <f>E101-X101</f>
        <v/>
      </c>
      <c r="AC101" s="2">
        <f>F101-Y101</f>
        <v/>
      </c>
      <c r="AD101" s="2">
        <f>AA101+AB101+AC101</f>
        <v/>
      </c>
      <c r="AE101" s="2">
        <f>MIN(C101,S101)</f>
        <v/>
      </c>
      <c r="AF101" s="2">
        <f>S101-AE101</f>
        <v/>
      </c>
      <c r="AG101" s="2">
        <f>MIN(K101,AF101)</f>
        <v/>
      </c>
      <c r="AH101" s="2">
        <f>AF101-AG101</f>
        <v/>
      </c>
      <c r="AI101" s="2">
        <f>IF(Tests!F101=1,MIN(AH101,AD101),0)</f>
        <v/>
      </c>
      <c r="AJ101" s="2">
        <f>AH101-AI101</f>
        <v/>
      </c>
      <c r="AK101" s="2">
        <f>MIN(M101,AJ101)</f>
        <v/>
      </c>
      <c r="AL101" s="2">
        <f>AJ101-AK101</f>
        <v/>
      </c>
      <c r="AM101" s="2">
        <f>IF(Tests!I101=1,MIN(AL101,AD101-AI101),0)</f>
        <v/>
      </c>
      <c r="AN101" s="2">
        <f>AL101-AM101</f>
        <v/>
      </c>
      <c r="AO101" s="2">
        <f>MIN(O101,AN101)</f>
        <v/>
      </c>
      <c r="AP101" s="2">
        <f>AN101-AO101</f>
        <v/>
      </c>
      <c r="AQ101" s="2">
        <f>IF(Tests!L101=1,MIN(AP101,AD101-AI101-AM101),0)</f>
        <v/>
      </c>
      <c r="AR101" s="2">
        <f>AP101-AQ101</f>
        <v/>
      </c>
      <c r="AS101" s="2">
        <f>MAX(0,AD101-AI101-AM101-AQ101-Pool!BV101)</f>
        <v/>
      </c>
      <c r="AT101" s="2">
        <f>MIN(AR101,AS101)</f>
        <v/>
      </c>
      <c r="AU101" s="2">
        <f>AR101-AT101</f>
        <v/>
      </c>
      <c r="AV101" s="2">
        <f>AI101+AM101+AQ101+AT101</f>
        <v/>
      </c>
      <c r="AW101" s="2">
        <f>MIN(AA101,AV101)</f>
        <v/>
      </c>
      <c r="AX101" s="2">
        <f>MIN(AB101,AV101-AW101)</f>
        <v/>
      </c>
      <c r="AY101" s="2">
        <f>MIN(AC101,AV101-AW101-AX101)</f>
        <v/>
      </c>
      <c r="AZ101" s="2">
        <f>AA101-AW101</f>
        <v/>
      </c>
      <c r="BA101" s="2">
        <f>AB101-AX101</f>
        <v/>
      </c>
      <c r="BB101" s="2">
        <f>AC101-AY101</f>
        <v/>
      </c>
      <c r="BC101" s="2">
        <f>AZ101+BA101+BB101</f>
        <v/>
      </c>
      <c r="BD101" s="2">
        <f>MAX(0,BC101-Pool!BV101)</f>
        <v/>
      </c>
      <c r="BE101" s="2">
        <f>MIN(BB101,BD101)</f>
        <v/>
      </c>
      <c r="BF101" s="2">
        <f>MIN(BA101,BD101-BE101)</f>
        <v/>
      </c>
      <c r="BG101" s="2">
        <f>MIN(AZ101,BD101-BE101-BF101)</f>
        <v/>
      </c>
      <c r="BH101" s="2">
        <f>AZ101-BG101</f>
        <v/>
      </c>
      <c r="BI101" s="2">
        <f>BA101-BF101</f>
        <v/>
      </c>
      <c r="BJ101" s="2">
        <f>BB101-BE101</f>
        <v/>
      </c>
      <c r="BK101" s="7">
        <f>IF(BH101+BI101+BJ101&lt;0.005,1,0)</f>
        <v/>
      </c>
      <c r="BL101" s="2">
        <f>Q101-R101</f>
        <v/>
      </c>
      <c r="BM101" s="2">
        <f>IF(BK101=1,0,MIN(AU101,MAX(0,Inputs!$B$48-BL101)))</f>
        <v/>
      </c>
      <c r="BN101" s="2">
        <f>IF(BK101=1,BL101,0)</f>
        <v/>
      </c>
      <c r="BO101" s="2">
        <f>BL101+BM101-BN101</f>
        <v/>
      </c>
      <c r="BP101" s="2">
        <f>AU101-BM101</f>
        <v/>
      </c>
      <c r="BQ101" s="2">
        <f>BP101+Z101+BN101</f>
        <v/>
      </c>
      <c r="BR101" s="2">
        <f>W101+AW101</f>
        <v/>
      </c>
      <c r="BS101" s="2">
        <f>X101+AX101</f>
        <v/>
      </c>
      <c r="BT101" s="2">
        <f>Y101+AY101</f>
        <v/>
      </c>
      <c r="BU101" s="2">
        <f>AG101+AK101+AO101+BR101+BS101+BT101</f>
        <v/>
      </c>
      <c r="BV101" s="2">
        <f>K101-AG101</f>
        <v/>
      </c>
      <c r="BW101" s="2">
        <f>M101-AK101</f>
        <v/>
      </c>
      <c r="BX101" s="2">
        <f>O101-AO101</f>
        <v/>
      </c>
      <c r="BY101" s="2">
        <f>C101-AE101</f>
        <v/>
      </c>
      <c r="BZ101" s="8">
        <f>AE101+BU101+BQ101+(BO101-Q101)-Pool!BW101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Tests</t>
        </is>
      </c>
    </row>
    <row r="2">
      <c r="A2" t="inlineStr">
        <is>
          <t>OC and IC tests on pro forma balances, breach flags, excess spread.</t>
        </is>
      </c>
    </row>
    <row r="4">
      <c r="A4" s="6" t="inlineStr">
        <is>
          <t>Period</t>
        </is>
      </c>
      <c r="B4" s="6" t="inlineStr">
        <is>
          <t>Collateral value</t>
        </is>
      </c>
      <c r="C4" s="6" t="inlineStr">
        <is>
          <t>IC numerator (interest less fees)</t>
        </is>
      </c>
      <c r="D4" s="6" t="inlineStr">
        <is>
          <t>OC ratio A</t>
        </is>
      </c>
      <c r="E4" s="6" t="inlineStr">
        <is>
          <t>IC ratio A</t>
        </is>
      </c>
      <c r="F4" s="6" t="inlineStr">
        <is>
          <t>Breach A (1=yes)</t>
        </is>
      </c>
      <c r="G4" s="6" t="inlineStr">
        <is>
          <t>OC ratio B</t>
        </is>
      </c>
      <c r="H4" s="6" t="inlineStr">
        <is>
          <t>IC ratio B</t>
        </is>
      </c>
      <c r="I4" s="6" t="inlineStr">
        <is>
          <t>Breach B (1=yes)</t>
        </is>
      </c>
      <c r="J4" s="6" t="inlineStr">
        <is>
          <t>OC ratio C</t>
        </is>
      </c>
      <c r="K4" s="6" t="inlineStr">
        <is>
          <t>IC ratio C</t>
        </is>
      </c>
      <c r="L4" s="6" t="inlineStr">
        <is>
          <t>Breach C (1=yes)</t>
        </is>
      </c>
      <c r="M4" s="6" t="inlineStr">
        <is>
          <t>Any breach</t>
        </is>
      </c>
      <c r="N4" s="6" t="inlineStr">
        <is>
          <t>Excess spread ($)</t>
        </is>
      </c>
      <c r="O4" s="6" t="inlineStr">
        <is>
          <t>Excess spread (annualized bps of pool)</t>
        </is>
      </c>
      <c r="P4" s="6" t="inlineStr">
        <is>
          <t>Cum net loss % of pool</t>
        </is>
      </c>
      <c r="Q4" s="6" t="inlineStr">
        <is>
          <t>Excess spread diverted (turbo)</t>
        </is>
      </c>
      <c r="R4" s="6" t="inlineStr">
        <is>
          <t>Reserve balance</t>
        </is>
      </c>
    </row>
    <row r="5">
      <c r="A5" s="7" t="n">
        <v>0</v>
      </c>
      <c r="M5" s="7" t="n">
        <v>0</v>
      </c>
      <c r="P5" s="3" t="n">
        <v>0</v>
      </c>
      <c r="R5" s="2">
        <f>Waterfall!BO5</f>
        <v/>
      </c>
    </row>
    <row r="6">
      <c r="A6" s="7" t="n">
        <v>1</v>
      </c>
      <c r="B6" s="2">
        <f>Pool!BV6</f>
        <v/>
      </c>
      <c r="C6" s="2">
        <f>MAX(0,Waterfall!P6-Waterfall!B6)</f>
        <v/>
      </c>
      <c r="D6" s="5">
        <f>IF(Waterfall!AA6&lt;=0.005,999,B6/Waterfall!AA6)</f>
        <v/>
      </c>
      <c r="E6" s="5">
        <f>IF(Waterfall!J6&lt;=0.005,999,C6/Waterfall!J6)</f>
        <v/>
      </c>
      <c r="F6" s="7">
        <f>IF(OR(D6&lt;Inputs!$B$56,E6&lt;Inputs!$B$59),1,0)</f>
        <v/>
      </c>
      <c r="G6" s="5">
        <f>IF((Waterfall!AA6+Waterfall!AB6)&lt;=0.005,999,B6/(Waterfall!AA6+Waterfall!AB6))</f>
        <v/>
      </c>
      <c r="H6" s="5">
        <f>IF((Waterfall!J6+Waterfall!L6)&lt;=0.005,999,C6/(Waterfall!J6+Waterfall!L6))</f>
        <v/>
      </c>
      <c r="I6" s="7">
        <f>IF(OR(G6&lt;Inputs!$B$57,H6&lt;Inputs!$B$60),1,0)</f>
        <v/>
      </c>
      <c r="J6" s="5">
        <f>IF((Waterfall!AA6+Waterfall!AB6+Waterfall!AC6)&lt;=0.005,999,B6/(Waterfall!AA6+Waterfall!AB6+Waterfall!AC6))</f>
        <v/>
      </c>
      <c r="K6" s="5">
        <f>IF((Waterfall!J6+Waterfall!L6+Waterfall!N6)&lt;=0.005,999,C6/(Waterfall!J6+Waterfall!L6+Waterfall!N6))</f>
        <v/>
      </c>
      <c r="L6" s="7">
        <f>IF(OR(J6&lt;Inputs!$B$58,K6&lt;Inputs!$B$61),1,0)</f>
        <v/>
      </c>
      <c r="M6" s="7">
        <f>IF(F6+I6+L6&gt;0,1,0)</f>
        <v/>
      </c>
      <c r="N6" s="2">
        <f>Waterfall!P6-Waterfall!B6-Waterfall!J6-Waterfall!L6-Waterfall!N6</f>
        <v/>
      </c>
      <c r="O6" s="9">
        <f>IF(Pool!BK6&lt;=0,0,N6*12/Pool!BK6*10000)</f>
        <v/>
      </c>
      <c r="P6" s="3">
        <f>Pool!BT6/Inputs!$B$49</f>
        <v/>
      </c>
      <c r="Q6" s="2">
        <f>Waterfall!AV6</f>
        <v/>
      </c>
      <c r="R6" s="2">
        <f>Waterfall!BO6</f>
        <v/>
      </c>
    </row>
    <row r="7">
      <c r="A7" s="7" t="n">
        <v>2</v>
      </c>
      <c r="B7" s="2">
        <f>Pool!BV7</f>
        <v/>
      </c>
      <c r="C7" s="2">
        <f>MAX(0,Waterfall!P7-Waterfall!B7)</f>
        <v/>
      </c>
      <c r="D7" s="5">
        <f>IF(Waterfall!AA7&lt;=0.005,999,B7/Waterfall!AA7)</f>
        <v/>
      </c>
      <c r="E7" s="5">
        <f>IF(Waterfall!J7&lt;=0.005,999,C7/Waterfall!J7)</f>
        <v/>
      </c>
      <c r="F7" s="7">
        <f>IF(OR(D7&lt;Inputs!$B$56,E7&lt;Inputs!$B$59),1,0)</f>
        <v/>
      </c>
      <c r="G7" s="5">
        <f>IF((Waterfall!AA7+Waterfall!AB7)&lt;=0.005,999,B7/(Waterfall!AA7+Waterfall!AB7))</f>
        <v/>
      </c>
      <c r="H7" s="5">
        <f>IF((Waterfall!J7+Waterfall!L7)&lt;=0.005,999,C7/(Waterfall!J7+Waterfall!L7))</f>
        <v/>
      </c>
      <c r="I7" s="7">
        <f>IF(OR(G7&lt;Inputs!$B$57,H7&lt;Inputs!$B$60),1,0)</f>
        <v/>
      </c>
      <c r="J7" s="5">
        <f>IF((Waterfall!AA7+Waterfall!AB7+Waterfall!AC7)&lt;=0.005,999,B7/(Waterfall!AA7+Waterfall!AB7+Waterfall!AC7))</f>
        <v/>
      </c>
      <c r="K7" s="5">
        <f>IF((Waterfall!J7+Waterfall!L7+Waterfall!N7)&lt;=0.005,999,C7/(Waterfall!J7+Waterfall!L7+Waterfall!N7))</f>
        <v/>
      </c>
      <c r="L7" s="7">
        <f>IF(OR(J7&lt;Inputs!$B$58,K7&lt;Inputs!$B$61),1,0)</f>
        <v/>
      </c>
      <c r="M7" s="7">
        <f>IF(F7+I7+L7&gt;0,1,0)</f>
        <v/>
      </c>
      <c r="N7" s="2">
        <f>Waterfall!P7-Waterfall!B7-Waterfall!J7-Waterfall!L7-Waterfall!N7</f>
        <v/>
      </c>
      <c r="O7" s="9">
        <f>IF(Pool!BK7&lt;=0,0,N7*12/Pool!BK7*10000)</f>
        <v/>
      </c>
      <c r="P7" s="3">
        <f>Pool!BT7/Inputs!$B$49</f>
        <v/>
      </c>
      <c r="Q7" s="2">
        <f>Waterfall!AV7</f>
        <v/>
      </c>
      <c r="R7" s="2">
        <f>Waterfall!BO7</f>
        <v/>
      </c>
    </row>
    <row r="8">
      <c r="A8" s="7" t="n">
        <v>3</v>
      </c>
      <c r="B8" s="2">
        <f>Pool!BV8</f>
        <v/>
      </c>
      <c r="C8" s="2">
        <f>MAX(0,Waterfall!P8-Waterfall!B8)</f>
        <v/>
      </c>
      <c r="D8" s="5">
        <f>IF(Waterfall!AA8&lt;=0.005,999,B8/Waterfall!AA8)</f>
        <v/>
      </c>
      <c r="E8" s="5">
        <f>IF(Waterfall!J8&lt;=0.005,999,C8/Waterfall!J8)</f>
        <v/>
      </c>
      <c r="F8" s="7">
        <f>IF(OR(D8&lt;Inputs!$B$56,E8&lt;Inputs!$B$59),1,0)</f>
        <v/>
      </c>
      <c r="G8" s="5">
        <f>IF((Waterfall!AA8+Waterfall!AB8)&lt;=0.005,999,B8/(Waterfall!AA8+Waterfall!AB8))</f>
        <v/>
      </c>
      <c r="H8" s="5">
        <f>IF((Waterfall!J8+Waterfall!L8)&lt;=0.005,999,C8/(Waterfall!J8+Waterfall!L8))</f>
        <v/>
      </c>
      <c r="I8" s="7">
        <f>IF(OR(G8&lt;Inputs!$B$57,H8&lt;Inputs!$B$60),1,0)</f>
        <v/>
      </c>
      <c r="J8" s="5">
        <f>IF((Waterfall!AA8+Waterfall!AB8+Waterfall!AC8)&lt;=0.005,999,B8/(Waterfall!AA8+Waterfall!AB8+Waterfall!AC8))</f>
        <v/>
      </c>
      <c r="K8" s="5">
        <f>IF((Waterfall!J8+Waterfall!L8+Waterfall!N8)&lt;=0.005,999,C8/(Waterfall!J8+Waterfall!L8+Waterfall!N8))</f>
        <v/>
      </c>
      <c r="L8" s="7">
        <f>IF(OR(J8&lt;Inputs!$B$58,K8&lt;Inputs!$B$61),1,0)</f>
        <v/>
      </c>
      <c r="M8" s="7">
        <f>IF(F8+I8+L8&gt;0,1,0)</f>
        <v/>
      </c>
      <c r="N8" s="2">
        <f>Waterfall!P8-Waterfall!B8-Waterfall!J8-Waterfall!L8-Waterfall!N8</f>
        <v/>
      </c>
      <c r="O8" s="9">
        <f>IF(Pool!BK8&lt;=0,0,N8*12/Pool!BK8*10000)</f>
        <v/>
      </c>
      <c r="P8" s="3">
        <f>Pool!BT8/Inputs!$B$49</f>
        <v/>
      </c>
      <c r="Q8" s="2">
        <f>Waterfall!AV8</f>
        <v/>
      </c>
      <c r="R8" s="2">
        <f>Waterfall!BO8</f>
        <v/>
      </c>
    </row>
    <row r="9">
      <c r="A9" s="7" t="n">
        <v>4</v>
      </c>
      <c r="B9" s="2">
        <f>Pool!BV9</f>
        <v/>
      </c>
      <c r="C9" s="2">
        <f>MAX(0,Waterfall!P9-Waterfall!B9)</f>
        <v/>
      </c>
      <c r="D9" s="5">
        <f>IF(Waterfall!AA9&lt;=0.005,999,B9/Waterfall!AA9)</f>
        <v/>
      </c>
      <c r="E9" s="5">
        <f>IF(Waterfall!J9&lt;=0.005,999,C9/Waterfall!J9)</f>
        <v/>
      </c>
      <c r="F9" s="7">
        <f>IF(OR(D9&lt;Inputs!$B$56,E9&lt;Inputs!$B$59),1,0)</f>
        <v/>
      </c>
      <c r="G9" s="5">
        <f>IF((Waterfall!AA9+Waterfall!AB9)&lt;=0.005,999,B9/(Waterfall!AA9+Waterfall!AB9))</f>
        <v/>
      </c>
      <c r="H9" s="5">
        <f>IF((Waterfall!J9+Waterfall!L9)&lt;=0.005,999,C9/(Waterfall!J9+Waterfall!L9))</f>
        <v/>
      </c>
      <c r="I9" s="7">
        <f>IF(OR(G9&lt;Inputs!$B$57,H9&lt;Inputs!$B$60),1,0)</f>
        <v/>
      </c>
      <c r="J9" s="5">
        <f>IF((Waterfall!AA9+Waterfall!AB9+Waterfall!AC9)&lt;=0.005,999,B9/(Waterfall!AA9+Waterfall!AB9+Waterfall!AC9))</f>
        <v/>
      </c>
      <c r="K9" s="5">
        <f>IF((Waterfall!J9+Waterfall!L9+Waterfall!N9)&lt;=0.005,999,C9/(Waterfall!J9+Waterfall!L9+Waterfall!N9))</f>
        <v/>
      </c>
      <c r="L9" s="7">
        <f>IF(OR(J9&lt;Inputs!$B$58,K9&lt;Inputs!$B$61),1,0)</f>
        <v/>
      </c>
      <c r="M9" s="7">
        <f>IF(F9+I9+L9&gt;0,1,0)</f>
        <v/>
      </c>
      <c r="N9" s="2">
        <f>Waterfall!P9-Waterfall!B9-Waterfall!J9-Waterfall!L9-Waterfall!N9</f>
        <v/>
      </c>
      <c r="O9" s="9">
        <f>IF(Pool!BK9&lt;=0,0,N9*12/Pool!BK9*10000)</f>
        <v/>
      </c>
      <c r="P9" s="3">
        <f>Pool!BT9/Inputs!$B$49</f>
        <v/>
      </c>
      <c r="Q9" s="2">
        <f>Waterfall!AV9</f>
        <v/>
      </c>
      <c r="R9" s="2">
        <f>Waterfall!BO9</f>
        <v/>
      </c>
    </row>
    <row r="10">
      <c r="A10" s="7" t="n">
        <v>5</v>
      </c>
      <c r="B10" s="2">
        <f>Pool!BV10</f>
        <v/>
      </c>
      <c r="C10" s="2">
        <f>MAX(0,Waterfall!P10-Waterfall!B10)</f>
        <v/>
      </c>
      <c r="D10" s="5">
        <f>IF(Waterfall!AA10&lt;=0.005,999,B10/Waterfall!AA10)</f>
        <v/>
      </c>
      <c r="E10" s="5">
        <f>IF(Waterfall!J10&lt;=0.005,999,C10/Waterfall!J10)</f>
        <v/>
      </c>
      <c r="F10" s="7">
        <f>IF(OR(D10&lt;Inputs!$B$56,E10&lt;Inputs!$B$59),1,0)</f>
        <v/>
      </c>
      <c r="G10" s="5">
        <f>IF((Waterfall!AA10+Waterfall!AB10)&lt;=0.005,999,B10/(Waterfall!AA10+Waterfall!AB10))</f>
        <v/>
      </c>
      <c r="H10" s="5">
        <f>IF((Waterfall!J10+Waterfall!L10)&lt;=0.005,999,C10/(Waterfall!J10+Waterfall!L10))</f>
        <v/>
      </c>
      <c r="I10" s="7">
        <f>IF(OR(G10&lt;Inputs!$B$57,H10&lt;Inputs!$B$60),1,0)</f>
        <v/>
      </c>
      <c r="J10" s="5">
        <f>IF((Waterfall!AA10+Waterfall!AB10+Waterfall!AC10)&lt;=0.005,999,B10/(Waterfall!AA10+Waterfall!AB10+Waterfall!AC10))</f>
        <v/>
      </c>
      <c r="K10" s="5">
        <f>IF((Waterfall!J10+Waterfall!L10+Waterfall!N10)&lt;=0.005,999,C10/(Waterfall!J10+Waterfall!L10+Waterfall!N10))</f>
        <v/>
      </c>
      <c r="L10" s="7">
        <f>IF(OR(J10&lt;Inputs!$B$58,K10&lt;Inputs!$B$61),1,0)</f>
        <v/>
      </c>
      <c r="M10" s="7">
        <f>IF(F10+I10+L10&gt;0,1,0)</f>
        <v/>
      </c>
      <c r="N10" s="2">
        <f>Waterfall!P10-Waterfall!B10-Waterfall!J10-Waterfall!L10-Waterfall!N10</f>
        <v/>
      </c>
      <c r="O10" s="9">
        <f>IF(Pool!BK10&lt;=0,0,N10*12/Pool!BK10*10000)</f>
        <v/>
      </c>
      <c r="P10" s="3">
        <f>Pool!BT10/Inputs!$B$49</f>
        <v/>
      </c>
      <c r="Q10" s="2">
        <f>Waterfall!AV10</f>
        <v/>
      </c>
      <c r="R10" s="2">
        <f>Waterfall!BO10</f>
        <v/>
      </c>
    </row>
    <row r="11">
      <c r="A11" s="7" t="n">
        <v>6</v>
      </c>
      <c r="B11" s="2">
        <f>Pool!BV11</f>
        <v/>
      </c>
      <c r="C11" s="2">
        <f>MAX(0,Waterfall!P11-Waterfall!B11)</f>
        <v/>
      </c>
      <c r="D11" s="5">
        <f>IF(Waterfall!AA11&lt;=0.005,999,B11/Waterfall!AA11)</f>
        <v/>
      </c>
      <c r="E11" s="5">
        <f>IF(Waterfall!J11&lt;=0.005,999,C11/Waterfall!J11)</f>
        <v/>
      </c>
      <c r="F11" s="7">
        <f>IF(OR(D11&lt;Inputs!$B$56,E11&lt;Inputs!$B$59),1,0)</f>
        <v/>
      </c>
      <c r="G11" s="5">
        <f>IF((Waterfall!AA11+Waterfall!AB11)&lt;=0.005,999,B11/(Waterfall!AA11+Waterfall!AB11))</f>
        <v/>
      </c>
      <c r="H11" s="5">
        <f>IF((Waterfall!J11+Waterfall!L11)&lt;=0.005,999,C11/(Waterfall!J11+Waterfall!L11))</f>
        <v/>
      </c>
      <c r="I11" s="7">
        <f>IF(OR(G11&lt;Inputs!$B$57,H11&lt;Inputs!$B$60),1,0)</f>
        <v/>
      </c>
      <c r="J11" s="5">
        <f>IF((Waterfall!AA11+Waterfall!AB11+Waterfall!AC11)&lt;=0.005,999,B11/(Waterfall!AA11+Waterfall!AB11+Waterfall!AC11))</f>
        <v/>
      </c>
      <c r="K11" s="5">
        <f>IF((Waterfall!J11+Waterfall!L11+Waterfall!N11)&lt;=0.005,999,C11/(Waterfall!J11+Waterfall!L11+Waterfall!N11))</f>
        <v/>
      </c>
      <c r="L11" s="7">
        <f>IF(OR(J11&lt;Inputs!$B$58,K11&lt;Inputs!$B$61),1,0)</f>
        <v/>
      </c>
      <c r="M11" s="7">
        <f>IF(F11+I11+L11&gt;0,1,0)</f>
        <v/>
      </c>
      <c r="N11" s="2">
        <f>Waterfall!P11-Waterfall!B11-Waterfall!J11-Waterfall!L11-Waterfall!N11</f>
        <v/>
      </c>
      <c r="O11" s="9">
        <f>IF(Pool!BK11&lt;=0,0,N11*12/Pool!BK11*10000)</f>
        <v/>
      </c>
      <c r="P11" s="3">
        <f>Pool!BT11/Inputs!$B$49</f>
        <v/>
      </c>
      <c r="Q11" s="2">
        <f>Waterfall!AV11</f>
        <v/>
      </c>
      <c r="R11" s="2">
        <f>Waterfall!BO11</f>
        <v/>
      </c>
    </row>
    <row r="12">
      <c r="A12" s="7" t="n">
        <v>7</v>
      </c>
      <c r="B12" s="2">
        <f>Pool!BV12</f>
        <v/>
      </c>
      <c r="C12" s="2">
        <f>MAX(0,Waterfall!P12-Waterfall!B12)</f>
        <v/>
      </c>
      <c r="D12" s="5">
        <f>IF(Waterfall!AA12&lt;=0.005,999,B12/Waterfall!AA12)</f>
        <v/>
      </c>
      <c r="E12" s="5">
        <f>IF(Waterfall!J12&lt;=0.005,999,C12/Waterfall!J12)</f>
        <v/>
      </c>
      <c r="F12" s="7">
        <f>IF(OR(D12&lt;Inputs!$B$56,E12&lt;Inputs!$B$59),1,0)</f>
        <v/>
      </c>
      <c r="G12" s="5">
        <f>IF((Waterfall!AA12+Waterfall!AB12)&lt;=0.005,999,B12/(Waterfall!AA12+Waterfall!AB12))</f>
        <v/>
      </c>
      <c r="H12" s="5">
        <f>IF((Waterfall!J12+Waterfall!L12)&lt;=0.005,999,C12/(Waterfall!J12+Waterfall!L12))</f>
        <v/>
      </c>
      <c r="I12" s="7">
        <f>IF(OR(G12&lt;Inputs!$B$57,H12&lt;Inputs!$B$60),1,0)</f>
        <v/>
      </c>
      <c r="J12" s="5">
        <f>IF((Waterfall!AA12+Waterfall!AB12+Waterfall!AC12)&lt;=0.005,999,B12/(Waterfall!AA12+Waterfall!AB12+Waterfall!AC12))</f>
        <v/>
      </c>
      <c r="K12" s="5">
        <f>IF((Waterfall!J12+Waterfall!L12+Waterfall!N12)&lt;=0.005,999,C12/(Waterfall!J12+Waterfall!L12+Waterfall!N12))</f>
        <v/>
      </c>
      <c r="L12" s="7">
        <f>IF(OR(J12&lt;Inputs!$B$58,K12&lt;Inputs!$B$61),1,0)</f>
        <v/>
      </c>
      <c r="M12" s="7">
        <f>IF(F12+I12+L12&gt;0,1,0)</f>
        <v/>
      </c>
      <c r="N12" s="2">
        <f>Waterfall!P12-Waterfall!B12-Waterfall!J12-Waterfall!L12-Waterfall!N12</f>
        <v/>
      </c>
      <c r="O12" s="9">
        <f>IF(Pool!BK12&lt;=0,0,N12*12/Pool!BK12*10000)</f>
        <v/>
      </c>
      <c r="P12" s="3">
        <f>Pool!BT12/Inputs!$B$49</f>
        <v/>
      </c>
      <c r="Q12" s="2">
        <f>Waterfall!AV12</f>
        <v/>
      </c>
      <c r="R12" s="2">
        <f>Waterfall!BO12</f>
        <v/>
      </c>
    </row>
    <row r="13">
      <c r="A13" s="7" t="n">
        <v>8</v>
      </c>
      <c r="B13" s="2">
        <f>Pool!BV13</f>
        <v/>
      </c>
      <c r="C13" s="2">
        <f>MAX(0,Waterfall!P13-Waterfall!B13)</f>
        <v/>
      </c>
      <c r="D13" s="5">
        <f>IF(Waterfall!AA13&lt;=0.005,999,B13/Waterfall!AA13)</f>
        <v/>
      </c>
      <c r="E13" s="5">
        <f>IF(Waterfall!J13&lt;=0.005,999,C13/Waterfall!J13)</f>
        <v/>
      </c>
      <c r="F13" s="7">
        <f>IF(OR(D13&lt;Inputs!$B$56,E13&lt;Inputs!$B$59),1,0)</f>
        <v/>
      </c>
      <c r="G13" s="5">
        <f>IF((Waterfall!AA13+Waterfall!AB13)&lt;=0.005,999,B13/(Waterfall!AA13+Waterfall!AB13))</f>
        <v/>
      </c>
      <c r="H13" s="5">
        <f>IF((Waterfall!J13+Waterfall!L13)&lt;=0.005,999,C13/(Waterfall!J13+Waterfall!L13))</f>
        <v/>
      </c>
      <c r="I13" s="7">
        <f>IF(OR(G13&lt;Inputs!$B$57,H13&lt;Inputs!$B$60),1,0)</f>
        <v/>
      </c>
      <c r="J13" s="5">
        <f>IF((Waterfall!AA13+Waterfall!AB13+Waterfall!AC13)&lt;=0.005,999,B13/(Waterfall!AA13+Waterfall!AB13+Waterfall!AC13))</f>
        <v/>
      </c>
      <c r="K13" s="5">
        <f>IF((Waterfall!J13+Waterfall!L13+Waterfall!N13)&lt;=0.005,999,C13/(Waterfall!J13+Waterfall!L13+Waterfall!N13))</f>
        <v/>
      </c>
      <c r="L13" s="7">
        <f>IF(OR(J13&lt;Inputs!$B$58,K13&lt;Inputs!$B$61),1,0)</f>
        <v/>
      </c>
      <c r="M13" s="7">
        <f>IF(F13+I13+L13&gt;0,1,0)</f>
        <v/>
      </c>
      <c r="N13" s="2">
        <f>Waterfall!P13-Waterfall!B13-Waterfall!J13-Waterfall!L13-Waterfall!N13</f>
        <v/>
      </c>
      <c r="O13" s="9">
        <f>IF(Pool!BK13&lt;=0,0,N13*12/Pool!BK13*10000)</f>
        <v/>
      </c>
      <c r="P13" s="3">
        <f>Pool!BT13/Inputs!$B$49</f>
        <v/>
      </c>
      <c r="Q13" s="2">
        <f>Waterfall!AV13</f>
        <v/>
      </c>
      <c r="R13" s="2">
        <f>Waterfall!BO13</f>
        <v/>
      </c>
    </row>
    <row r="14">
      <c r="A14" s="7" t="n">
        <v>9</v>
      </c>
      <c r="B14" s="2">
        <f>Pool!BV14</f>
        <v/>
      </c>
      <c r="C14" s="2">
        <f>MAX(0,Waterfall!P14-Waterfall!B14)</f>
        <v/>
      </c>
      <c r="D14" s="5">
        <f>IF(Waterfall!AA14&lt;=0.005,999,B14/Waterfall!AA14)</f>
        <v/>
      </c>
      <c r="E14" s="5">
        <f>IF(Waterfall!J14&lt;=0.005,999,C14/Waterfall!J14)</f>
        <v/>
      </c>
      <c r="F14" s="7">
        <f>IF(OR(D14&lt;Inputs!$B$56,E14&lt;Inputs!$B$59),1,0)</f>
        <v/>
      </c>
      <c r="G14" s="5">
        <f>IF((Waterfall!AA14+Waterfall!AB14)&lt;=0.005,999,B14/(Waterfall!AA14+Waterfall!AB14))</f>
        <v/>
      </c>
      <c r="H14" s="5">
        <f>IF((Waterfall!J14+Waterfall!L14)&lt;=0.005,999,C14/(Waterfall!J14+Waterfall!L14))</f>
        <v/>
      </c>
      <c r="I14" s="7">
        <f>IF(OR(G14&lt;Inputs!$B$57,H14&lt;Inputs!$B$60),1,0)</f>
        <v/>
      </c>
      <c r="J14" s="5">
        <f>IF((Waterfall!AA14+Waterfall!AB14+Waterfall!AC14)&lt;=0.005,999,B14/(Waterfall!AA14+Waterfall!AB14+Waterfall!AC14))</f>
        <v/>
      </c>
      <c r="K14" s="5">
        <f>IF((Waterfall!J14+Waterfall!L14+Waterfall!N14)&lt;=0.005,999,C14/(Waterfall!J14+Waterfall!L14+Waterfall!N14))</f>
        <v/>
      </c>
      <c r="L14" s="7">
        <f>IF(OR(J14&lt;Inputs!$B$58,K14&lt;Inputs!$B$61),1,0)</f>
        <v/>
      </c>
      <c r="M14" s="7">
        <f>IF(F14+I14+L14&gt;0,1,0)</f>
        <v/>
      </c>
      <c r="N14" s="2">
        <f>Waterfall!P14-Waterfall!B14-Waterfall!J14-Waterfall!L14-Waterfall!N14</f>
        <v/>
      </c>
      <c r="O14" s="9">
        <f>IF(Pool!BK14&lt;=0,0,N14*12/Pool!BK14*10000)</f>
        <v/>
      </c>
      <c r="P14" s="3">
        <f>Pool!BT14/Inputs!$B$49</f>
        <v/>
      </c>
      <c r="Q14" s="2">
        <f>Waterfall!AV14</f>
        <v/>
      </c>
      <c r="R14" s="2">
        <f>Waterfall!BO14</f>
        <v/>
      </c>
    </row>
    <row r="15">
      <c r="A15" s="7" t="n">
        <v>10</v>
      </c>
      <c r="B15" s="2">
        <f>Pool!BV15</f>
        <v/>
      </c>
      <c r="C15" s="2">
        <f>MAX(0,Waterfall!P15-Waterfall!B15)</f>
        <v/>
      </c>
      <c r="D15" s="5">
        <f>IF(Waterfall!AA15&lt;=0.005,999,B15/Waterfall!AA15)</f>
        <v/>
      </c>
      <c r="E15" s="5">
        <f>IF(Waterfall!J15&lt;=0.005,999,C15/Waterfall!J15)</f>
        <v/>
      </c>
      <c r="F15" s="7">
        <f>IF(OR(D15&lt;Inputs!$B$56,E15&lt;Inputs!$B$59),1,0)</f>
        <v/>
      </c>
      <c r="G15" s="5">
        <f>IF((Waterfall!AA15+Waterfall!AB15)&lt;=0.005,999,B15/(Waterfall!AA15+Waterfall!AB15))</f>
        <v/>
      </c>
      <c r="H15" s="5">
        <f>IF((Waterfall!J15+Waterfall!L15)&lt;=0.005,999,C15/(Waterfall!J15+Waterfall!L15))</f>
        <v/>
      </c>
      <c r="I15" s="7">
        <f>IF(OR(G15&lt;Inputs!$B$57,H15&lt;Inputs!$B$60),1,0)</f>
        <v/>
      </c>
      <c r="J15" s="5">
        <f>IF((Waterfall!AA15+Waterfall!AB15+Waterfall!AC15)&lt;=0.005,999,B15/(Waterfall!AA15+Waterfall!AB15+Waterfall!AC15))</f>
        <v/>
      </c>
      <c r="K15" s="5">
        <f>IF((Waterfall!J15+Waterfall!L15+Waterfall!N15)&lt;=0.005,999,C15/(Waterfall!J15+Waterfall!L15+Waterfall!N15))</f>
        <v/>
      </c>
      <c r="L15" s="7">
        <f>IF(OR(J15&lt;Inputs!$B$58,K15&lt;Inputs!$B$61),1,0)</f>
        <v/>
      </c>
      <c r="M15" s="7">
        <f>IF(F15+I15+L15&gt;0,1,0)</f>
        <v/>
      </c>
      <c r="N15" s="2">
        <f>Waterfall!P15-Waterfall!B15-Waterfall!J15-Waterfall!L15-Waterfall!N15</f>
        <v/>
      </c>
      <c r="O15" s="9">
        <f>IF(Pool!BK15&lt;=0,0,N15*12/Pool!BK15*10000)</f>
        <v/>
      </c>
      <c r="P15" s="3">
        <f>Pool!BT15/Inputs!$B$49</f>
        <v/>
      </c>
      <c r="Q15" s="2">
        <f>Waterfall!AV15</f>
        <v/>
      </c>
      <c r="R15" s="2">
        <f>Waterfall!BO15</f>
        <v/>
      </c>
    </row>
    <row r="16">
      <c r="A16" s="7" t="n">
        <v>11</v>
      </c>
      <c r="B16" s="2">
        <f>Pool!BV16</f>
        <v/>
      </c>
      <c r="C16" s="2">
        <f>MAX(0,Waterfall!P16-Waterfall!B16)</f>
        <v/>
      </c>
      <c r="D16" s="5">
        <f>IF(Waterfall!AA16&lt;=0.005,999,B16/Waterfall!AA16)</f>
        <v/>
      </c>
      <c r="E16" s="5">
        <f>IF(Waterfall!J16&lt;=0.005,999,C16/Waterfall!J16)</f>
        <v/>
      </c>
      <c r="F16" s="7">
        <f>IF(OR(D16&lt;Inputs!$B$56,E16&lt;Inputs!$B$59),1,0)</f>
        <v/>
      </c>
      <c r="G16" s="5">
        <f>IF((Waterfall!AA16+Waterfall!AB16)&lt;=0.005,999,B16/(Waterfall!AA16+Waterfall!AB16))</f>
        <v/>
      </c>
      <c r="H16" s="5">
        <f>IF((Waterfall!J16+Waterfall!L16)&lt;=0.005,999,C16/(Waterfall!J16+Waterfall!L16))</f>
        <v/>
      </c>
      <c r="I16" s="7">
        <f>IF(OR(G16&lt;Inputs!$B$57,H16&lt;Inputs!$B$60),1,0)</f>
        <v/>
      </c>
      <c r="J16" s="5">
        <f>IF((Waterfall!AA16+Waterfall!AB16+Waterfall!AC16)&lt;=0.005,999,B16/(Waterfall!AA16+Waterfall!AB16+Waterfall!AC16))</f>
        <v/>
      </c>
      <c r="K16" s="5">
        <f>IF((Waterfall!J16+Waterfall!L16+Waterfall!N16)&lt;=0.005,999,C16/(Waterfall!J16+Waterfall!L16+Waterfall!N16))</f>
        <v/>
      </c>
      <c r="L16" s="7">
        <f>IF(OR(J16&lt;Inputs!$B$58,K16&lt;Inputs!$B$61),1,0)</f>
        <v/>
      </c>
      <c r="M16" s="7">
        <f>IF(F16+I16+L16&gt;0,1,0)</f>
        <v/>
      </c>
      <c r="N16" s="2">
        <f>Waterfall!P16-Waterfall!B16-Waterfall!J16-Waterfall!L16-Waterfall!N16</f>
        <v/>
      </c>
      <c r="O16" s="9">
        <f>IF(Pool!BK16&lt;=0,0,N16*12/Pool!BK16*10000)</f>
        <v/>
      </c>
      <c r="P16" s="3">
        <f>Pool!BT16/Inputs!$B$49</f>
        <v/>
      </c>
      <c r="Q16" s="2">
        <f>Waterfall!AV16</f>
        <v/>
      </c>
      <c r="R16" s="2">
        <f>Waterfall!BO16</f>
        <v/>
      </c>
    </row>
    <row r="17">
      <c r="A17" s="7" t="n">
        <v>12</v>
      </c>
      <c r="B17" s="2">
        <f>Pool!BV17</f>
        <v/>
      </c>
      <c r="C17" s="2">
        <f>MAX(0,Waterfall!P17-Waterfall!B17)</f>
        <v/>
      </c>
      <c r="D17" s="5">
        <f>IF(Waterfall!AA17&lt;=0.005,999,B17/Waterfall!AA17)</f>
        <v/>
      </c>
      <c r="E17" s="5">
        <f>IF(Waterfall!J17&lt;=0.005,999,C17/Waterfall!J17)</f>
        <v/>
      </c>
      <c r="F17" s="7">
        <f>IF(OR(D17&lt;Inputs!$B$56,E17&lt;Inputs!$B$59),1,0)</f>
        <v/>
      </c>
      <c r="G17" s="5">
        <f>IF((Waterfall!AA17+Waterfall!AB17)&lt;=0.005,999,B17/(Waterfall!AA17+Waterfall!AB17))</f>
        <v/>
      </c>
      <c r="H17" s="5">
        <f>IF((Waterfall!J17+Waterfall!L17)&lt;=0.005,999,C17/(Waterfall!J17+Waterfall!L17))</f>
        <v/>
      </c>
      <c r="I17" s="7">
        <f>IF(OR(G17&lt;Inputs!$B$57,H17&lt;Inputs!$B$60),1,0)</f>
        <v/>
      </c>
      <c r="J17" s="5">
        <f>IF((Waterfall!AA17+Waterfall!AB17+Waterfall!AC17)&lt;=0.005,999,B17/(Waterfall!AA17+Waterfall!AB17+Waterfall!AC17))</f>
        <v/>
      </c>
      <c r="K17" s="5">
        <f>IF((Waterfall!J17+Waterfall!L17+Waterfall!N17)&lt;=0.005,999,C17/(Waterfall!J17+Waterfall!L17+Waterfall!N17))</f>
        <v/>
      </c>
      <c r="L17" s="7">
        <f>IF(OR(J17&lt;Inputs!$B$58,K17&lt;Inputs!$B$61),1,0)</f>
        <v/>
      </c>
      <c r="M17" s="7">
        <f>IF(F17+I17+L17&gt;0,1,0)</f>
        <v/>
      </c>
      <c r="N17" s="2">
        <f>Waterfall!P17-Waterfall!B17-Waterfall!J17-Waterfall!L17-Waterfall!N17</f>
        <v/>
      </c>
      <c r="O17" s="9">
        <f>IF(Pool!BK17&lt;=0,0,N17*12/Pool!BK17*10000)</f>
        <v/>
      </c>
      <c r="P17" s="3">
        <f>Pool!BT17/Inputs!$B$49</f>
        <v/>
      </c>
      <c r="Q17" s="2">
        <f>Waterfall!AV17</f>
        <v/>
      </c>
      <c r="R17" s="2">
        <f>Waterfall!BO17</f>
        <v/>
      </c>
    </row>
    <row r="18">
      <c r="A18" s="7" t="n">
        <v>13</v>
      </c>
      <c r="B18" s="2">
        <f>Pool!BV18</f>
        <v/>
      </c>
      <c r="C18" s="2">
        <f>MAX(0,Waterfall!P18-Waterfall!B18)</f>
        <v/>
      </c>
      <c r="D18" s="5">
        <f>IF(Waterfall!AA18&lt;=0.005,999,B18/Waterfall!AA18)</f>
        <v/>
      </c>
      <c r="E18" s="5">
        <f>IF(Waterfall!J18&lt;=0.005,999,C18/Waterfall!J18)</f>
        <v/>
      </c>
      <c r="F18" s="7">
        <f>IF(OR(D18&lt;Inputs!$B$56,E18&lt;Inputs!$B$59),1,0)</f>
        <v/>
      </c>
      <c r="G18" s="5">
        <f>IF((Waterfall!AA18+Waterfall!AB18)&lt;=0.005,999,B18/(Waterfall!AA18+Waterfall!AB18))</f>
        <v/>
      </c>
      <c r="H18" s="5">
        <f>IF((Waterfall!J18+Waterfall!L18)&lt;=0.005,999,C18/(Waterfall!J18+Waterfall!L18))</f>
        <v/>
      </c>
      <c r="I18" s="7">
        <f>IF(OR(G18&lt;Inputs!$B$57,H18&lt;Inputs!$B$60),1,0)</f>
        <v/>
      </c>
      <c r="J18" s="5">
        <f>IF((Waterfall!AA18+Waterfall!AB18+Waterfall!AC18)&lt;=0.005,999,B18/(Waterfall!AA18+Waterfall!AB18+Waterfall!AC18))</f>
        <v/>
      </c>
      <c r="K18" s="5">
        <f>IF((Waterfall!J18+Waterfall!L18+Waterfall!N18)&lt;=0.005,999,C18/(Waterfall!J18+Waterfall!L18+Waterfall!N18))</f>
        <v/>
      </c>
      <c r="L18" s="7">
        <f>IF(OR(J18&lt;Inputs!$B$58,K18&lt;Inputs!$B$61),1,0)</f>
        <v/>
      </c>
      <c r="M18" s="7">
        <f>IF(F18+I18+L18&gt;0,1,0)</f>
        <v/>
      </c>
      <c r="N18" s="2">
        <f>Waterfall!P18-Waterfall!B18-Waterfall!J18-Waterfall!L18-Waterfall!N18</f>
        <v/>
      </c>
      <c r="O18" s="9">
        <f>IF(Pool!BK18&lt;=0,0,N18*12/Pool!BK18*10000)</f>
        <v/>
      </c>
      <c r="P18" s="3">
        <f>Pool!BT18/Inputs!$B$49</f>
        <v/>
      </c>
      <c r="Q18" s="2">
        <f>Waterfall!AV18</f>
        <v/>
      </c>
      <c r="R18" s="2">
        <f>Waterfall!BO18</f>
        <v/>
      </c>
    </row>
    <row r="19">
      <c r="A19" s="7" t="n">
        <v>14</v>
      </c>
      <c r="B19" s="2">
        <f>Pool!BV19</f>
        <v/>
      </c>
      <c r="C19" s="2">
        <f>MAX(0,Waterfall!P19-Waterfall!B19)</f>
        <v/>
      </c>
      <c r="D19" s="5">
        <f>IF(Waterfall!AA19&lt;=0.005,999,B19/Waterfall!AA19)</f>
        <v/>
      </c>
      <c r="E19" s="5">
        <f>IF(Waterfall!J19&lt;=0.005,999,C19/Waterfall!J19)</f>
        <v/>
      </c>
      <c r="F19" s="7">
        <f>IF(OR(D19&lt;Inputs!$B$56,E19&lt;Inputs!$B$59),1,0)</f>
        <v/>
      </c>
      <c r="G19" s="5">
        <f>IF((Waterfall!AA19+Waterfall!AB19)&lt;=0.005,999,B19/(Waterfall!AA19+Waterfall!AB19))</f>
        <v/>
      </c>
      <c r="H19" s="5">
        <f>IF((Waterfall!J19+Waterfall!L19)&lt;=0.005,999,C19/(Waterfall!J19+Waterfall!L19))</f>
        <v/>
      </c>
      <c r="I19" s="7">
        <f>IF(OR(G19&lt;Inputs!$B$57,H19&lt;Inputs!$B$60),1,0)</f>
        <v/>
      </c>
      <c r="J19" s="5">
        <f>IF((Waterfall!AA19+Waterfall!AB19+Waterfall!AC19)&lt;=0.005,999,B19/(Waterfall!AA19+Waterfall!AB19+Waterfall!AC19))</f>
        <v/>
      </c>
      <c r="K19" s="5">
        <f>IF((Waterfall!J19+Waterfall!L19+Waterfall!N19)&lt;=0.005,999,C19/(Waterfall!J19+Waterfall!L19+Waterfall!N19))</f>
        <v/>
      </c>
      <c r="L19" s="7">
        <f>IF(OR(J19&lt;Inputs!$B$58,K19&lt;Inputs!$B$61),1,0)</f>
        <v/>
      </c>
      <c r="M19" s="7">
        <f>IF(F19+I19+L19&gt;0,1,0)</f>
        <v/>
      </c>
      <c r="N19" s="2">
        <f>Waterfall!P19-Waterfall!B19-Waterfall!J19-Waterfall!L19-Waterfall!N19</f>
        <v/>
      </c>
      <c r="O19" s="9">
        <f>IF(Pool!BK19&lt;=0,0,N19*12/Pool!BK19*10000)</f>
        <v/>
      </c>
      <c r="P19" s="3">
        <f>Pool!BT19/Inputs!$B$49</f>
        <v/>
      </c>
      <c r="Q19" s="2">
        <f>Waterfall!AV19</f>
        <v/>
      </c>
      <c r="R19" s="2">
        <f>Waterfall!BO19</f>
        <v/>
      </c>
    </row>
    <row r="20">
      <c r="A20" s="7" t="n">
        <v>15</v>
      </c>
      <c r="B20" s="2">
        <f>Pool!BV20</f>
        <v/>
      </c>
      <c r="C20" s="2">
        <f>MAX(0,Waterfall!P20-Waterfall!B20)</f>
        <v/>
      </c>
      <c r="D20" s="5">
        <f>IF(Waterfall!AA20&lt;=0.005,999,B20/Waterfall!AA20)</f>
        <v/>
      </c>
      <c r="E20" s="5">
        <f>IF(Waterfall!J20&lt;=0.005,999,C20/Waterfall!J20)</f>
        <v/>
      </c>
      <c r="F20" s="7">
        <f>IF(OR(D20&lt;Inputs!$B$56,E20&lt;Inputs!$B$59),1,0)</f>
        <v/>
      </c>
      <c r="G20" s="5">
        <f>IF((Waterfall!AA20+Waterfall!AB20)&lt;=0.005,999,B20/(Waterfall!AA20+Waterfall!AB20))</f>
        <v/>
      </c>
      <c r="H20" s="5">
        <f>IF((Waterfall!J20+Waterfall!L20)&lt;=0.005,999,C20/(Waterfall!J20+Waterfall!L20))</f>
        <v/>
      </c>
      <c r="I20" s="7">
        <f>IF(OR(G20&lt;Inputs!$B$57,H20&lt;Inputs!$B$60),1,0)</f>
        <v/>
      </c>
      <c r="J20" s="5">
        <f>IF((Waterfall!AA20+Waterfall!AB20+Waterfall!AC20)&lt;=0.005,999,B20/(Waterfall!AA20+Waterfall!AB20+Waterfall!AC20))</f>
        <v/>
      </c>
      <c r="K20" s="5">
        <f>IF((Waterfall!J20+Waterfall!L20+Waterfall!N20)&lt;=0.005,999,C20/(Waterfall!J20+Waterfall!L20+Waterfall!N20))</f>
        <v/>
      </c>
      <c r="L20" s="7">
        <f>IF(OR(J20&lt;Inputs!$B$58,K20&lt;Inputs!$B$61),1,0)</f>
        <v/>
      </c>
      <c r="M20" s="7">
        <f>IF(F20+I20+L20&gt;0,1,0)</f>
        <v/>
      </c>
      <c r="N20" s="2">
        <f>Waterfall!P20-Waterfall!B20-Waterfall!J20-Waterfall!L20-Waterfall!N20</f>
        <v/>
      </c>
      <c r="O20" s="9">
        <f>IF(Pool!BK20&lt;=0,0,N20*12/Pool!BK20*10000)</f>
        <v/>
      </c>
      <c r="P20" s="3">
        <f>Pool!BT20/Inputs!$B$49</f>
        <v/>
      </c>
      <c r="Q20" s="2">
        <f>Waterfall!AV20</f>
        <v/>
      </c>
      <c r="R20" s="2">
        <f>Waterfall!BO20</f>
        <v/>
      </c>
    </row>
    <row r="21">
      <c r="A21" s="7" t="n">
        <v>16</v>
      </c>
      <c r="B21" s="2">
        <f>Pool!BV21</f>
        <v/>
      </c>
      <c r="C21" s="2">
        <f>MAX(0,Waterfall!P21-Waterfall!B21)</f>
        <v/>
      </c>
      <c r="D21" s="5">
        <f>IF(Waterfall!AA21&lt;=0.005,999,B21/Waterfall!AA21)</f>
        <v/>
      </c>
      <c r="E21" s="5">
        <f>IF(Waterfall!J21&lt;=0.005,999,C21/Waterfall!J21)</f>
        <v/>
      </c>
      <c r="F21" s="7">
        <f>IF(OR(D21&lt;Inputs!$B$56,E21&lt;Inputs!$B$59),1,0)</f>
        <v/>
      </c>
      <c r="G21" s="5">
        <f>IF((Waterfall!AA21+Waterfall!AB21)&lt;=0.005,999,B21/(Waterfall!AA21+Waterfall!AB21))</f>
        <v/>
      </c>
      <c r="H21" s="5">
        <f>IF((Waterfall!J21+Waterfall!L21)&lt;=0.005,999,C21/(Waterfall!J21+Waterfall!L21))</f>
        <v/>
      </c>
      <c r="I21" s="7">
        <f>IF(OR(G21&lt;Inputs!$B$57,H21&lt;Inputs!$B$60),1,0)</f>
        <v/>
      </c>
      <c r="J21" s="5">
        <f>IF((Waterfall!AA21+Waterfall!AB21+Waterfall!AC21)&lt;=0.005,999,B21/(Waterfall!AA21+Waterfall!AB21+Waterfall!AC21))</f>
        <v/>
      </c>
      <c r="K21" s="5">
        <f>IF((Waterfall!J21+Waterfall!L21+Waterfall!N21)&lt;=0.005,999,C21/(Waterfall!J21+Waterfall!L21+Waterfall!N21))</f>
        <v/>
      </c>
      <c r="L21" s="7">
        <f>IF(OR(J21&lt;Inputs!$B$58,K21&lt;Inputs!$B$61),1,0)</f>
        <v/>
      </c>
      <c r="M21" s="7">
        <f>IF(F21+I21+L21&gt;0,1,0)</f>
        <v/>
      </c>
      <c r="N21" s="2">
        <f>Waterfall!P21-Waterfall!B21-Waterfall!J21-Waterfall!L21-Waterfall!N21</f>
        <v/>
      </c>
      <c r="O21" s="9">
        <f>IF(Pool!BK21&lt;=0,0,N21*12/Pool!BK21*10000)</f>
        <v/>
      </c>
      <c r="P21" s="3">
        <f>Pool!BT21/Inputs!$B$49</f>
        <v/>
      </c>
      <c r="Q21" s="2">
        <f>Waterfall!AV21</f>
        <v/>
      </c>
      <c r="R21" s="2">
        <f>Waterfall!BO21</f>
        <v/>
      </c>
    </row>
    <row r="22">
      <c r="A22" s="7" t="n">
        <v>17</v>
      </c>
      <c r="B22" s="2">
        <f>Pool!BV22</f>
        <v/>
      </c>
      <c r="C22" s="2">
        <f>MAX(0,Waterfall!P22-Waterfall!B22)</f>
        <v/>
      </c>
      <c r="D22" s="5">
        <f>IF(Waterfall!AA22&lt;=0.005,999,B22/Waterfall!AA22)</f>
        <v/>
      </c>
      <c r="E22" s="5">
        <f>IF(Waterfall!J22&lt;=0.005,999,C22/Waterfall!J22)</f>
        <v/>
      </c>
      <c r="F22" s="7">
        <f>IF(OR(D22&lt;Inputs!$B$56,E22&lt;Inputs!$B$59),1,0)</f>
        <v/>
      </c>
      <c r="G22" s="5">
        <f>IF((Waterfall!AA22+Waterfall!AB22)&lt;=0.005,999,B22/(Waterfall!AA22+Waterfall!AB22))</f>
        <v/>
      </c>
      <c r="H22" s="5">
        <f>IF((Waterfall!J22+Waterfall!L22)&lt;=0.005,999,C22/(Waterfall!J22+Waterfall!L22))</f>
        <v/>
      </c>
      <c r="I22" s="7">
        <f>IF(OR(G22&lt;Inputs!$B$57,H22&lt;Inputs!$B$60),1,0)</f>
        <v/>
      </c>
      <c r="J22" s="5">
        <f>IF((Waterfall!AA22+Waterfall!AB22+Waterfall!AC22)&lt;=0.005,999,B22/(Waterfall!AA22+Waterfall!AB22+Waterfall!AC22))</f>
        <v/>
      </c>
      <c r="K22" s="5">
        <f>IF((Waterfall!J22+Waterfall!L22+Waterfall!N22)&lt;=0.005,999,C22/(Waterfall!J22+Waterfall!L22+Waterfall!N22))</f>
        <v/>
      </c>
      <c r="L22" s="7">
        <f>IF(OR(J22&lt;Inputs!$B$58,K22&lt;Inputs!$B$61),1,0)</f>
        <v/>
      </c>
      <c r="M22" s="7">
        <f>IF(F22+I22+L22&gt;0,1,0)</f>
        <v/>
      </c>
      <c r="N22" s="2">
        <f>Waterfall!P22-Waterfall!B22-Waterfall!J22-Waterfall!L22-Waterfall!N22</f>
        <v/>
      </c>
      <c r="O22" s="9">
        <f>IF(Pool!BK22&lt;=0,0,N22*12/Pool!BK22*10000)</f>
        <v/>
      </c>
      <c r="P22" s="3">
        <f>Pool!BT22/Inputs!$B$49</f>
        <v/>
      </c>
      <c r="Q22" s="2">
        <f>Waterfall!AV22</f>
        <v/>
      </c>
      <c r="R22" s="2">
        <f>Waterfall!BO22</f>
        <v/>
      </c>
    </row>
    <row r="23">
      <c r="A23" s="7" t="n">
        <v>18</v>
      </c>
      <c r="B23" s="2">
        <f>Pool!BV23</f>
        <v/>
      </c>
      <c r="C23" s="2">
        <f>MAX(0,Waterfall!P23-Waterfall!B23)</f>
        <v/>
      </c>
      <c r="D23" s="5">
        <f>IF(Waterfall!AA23&lt;=0.005,999,B23/Waterfall!AA23)</f>
        <v/>
      </c>
      <c r="E23" s="5">
        <f>IF(Waterfall!J23&lt;=0.005,999,C23/Waterfall!J23)</f>
        <v/>
      </c>
      <c r="F23" s="7">
        <f>IF(OR(D23&lt;Inputs!$B$56,E23&lt;Inputs!$B$59),1,0)</f>
        <v/>
      </c>
      <c r="G23" s="5">
        <f>IF((Waterfall!AA23+Waterfall!AB23)&lt;=0.005,999,B23/(Waterfall!AA23+Waterfall!AB23))</f>
        <v/>
      </c>
      <c r="H23" s="5">
        <f>IF((Waterfall!J23+Waterfall!L23)&lt;=0.005,999,C23/(Waterfall!J23+Waterfall!L23))</f>
        <v/>
      </c>
      <c r="I23" s="7">
        <f>IF(OR(G23&lt;Inputs!$B$57,H23&lt;Inputs!$B$60),1,0)</f>
        <v/>
      </c>
      <c r="J23" s="5">
        <f>IF((Waterfall!AA23+Waterfall!AB23+Waterfall!AC23)&lt;=0.005,999,B23/(Waterfall!AA23+Waterfall!AB23+Waterfall!AC23))</f>
        <v/>
      </c>
      <c r="K23" s="5">
        <f>IF((Waterfall!J23+Waterfall!L23+Waterfall!N23)&lt;=0.005,999,C23/(Waterfall!J23+Waterfall!L23+Waterfall!N23))</f>
        <v/>
      </c>
      <c r="L23" s="7">
        <f>IF(OR(J23&lt;Inputs!$B$58,K23&lt;Inputs!$B$61),1,0)</f>
        <v/>
      </c>
      <c r="M23" s="7">
        <f>IF(F23+I23+L23&gt;0,1,0)</f>
        <v/>
      </c>
      <c r="N23" s="2">
        <f>Waterfall!P23-Waterfall!B23-Waterfall!J23-Waterfall!L23-Waterfall!N23</f>
        <v/>
      </c>
      <c r="O23" s="9">
        <f>IF(Pool!BK23&lt;=0,0,N23*12/Pool!BK23*10000)</f>
        <v/>
      </c>
      <c r="P23" s="3">
        <f>Pool!BT23/Inputs!$B$49</f>
        <v/>
      </c>
      <c r="Q23" s="2">
        <f>Waterfall!AV23</f>
        <v/>
      </c>
      <c r="R23" s="2">
        <f>Waterfall!BO23</f>
        <v/>
      </c>
    </row>
    <row r="24">
      <c r="A24" s="7" t="n">
        <v>19</v>
      </c>
      <c r="B24" s="2">
        <f>Pool!BV24</f>
        <v/>
      </c>
      <c r="C24" s="2">
        <f>MAX(0,Waterfall!P24-Waterfall!B24)</f>
        <v/>
      </c>
      <c r="D24" s="5">
        <f>IF(Waterfall!AA24&lt;=0.005,999,B24/Waterfall!AA24)</f>
        <v/>
      </c>
      <c r="E24" s="5">
        <f>IF(Waterfall!J24&lt;=0.005,999,C24/Waterfall!J24)</f>
        <v/>
      </c>
      <c r="F24" s="7">
        <f>IF(OR(D24&lt;Inputs!$B$56,E24&lt;Inputs!$B$59),1,0)</f>
        <v/>
      </c>
      <c r="G24" s="5">
        <f>IF((Waterfall!AA24+Waterfall!AB24)&lt;=0.005,999,B24/(Waterfall!AA24+Waterfall!AB24))</f>
        <v/>
      </c>
      <c r="H24" s="5">
        <f>IF((Waterfall!J24+Waterfall!L24)&lt;=0.005,999,C24/(Waterfall!J24+Waterfall!L24))</f>
        <v/>
      </c>
      <c r="I24" s="7">
        <f>IF(OR(G24&lt;Inputs!$B$57,H24&lt;Inputs!$B$60),1,0)</f>
        <v/>
      </c>
      <c r="J24" s="5">
        <f>IF((Waterfall!AA24+Waterfall!AB24+Waterfall!AC24)&lt;=0.005,999,B24/(Waterfall!AA24+Waterfall!AB24+Waterfall!AC24))</f>
        <v/>
      </c>
      <c r="K24" s="5">
        <f>IF((Waterfall!J24+Waterfall!L24+Waterfall!N24)&lt;=0.005,999,C24/(Waterfall!J24+Waterfall!L24+Waterfall!N24))</f>
        <v/>
      </c>
      <c r="L24" s="7">
        <f>IF(OR(J24&lt;Inputs!$B$58,K24&lt;Inputs!$B$61),1,0)</f>
        <v/>
      </c>
      <c r="M24" s="7">
        <f>IF(F24+I24+L24&gt;0,1,0)</f>
        <v/>
      </c>
      <c r="N24" s="2">
        <f>Waterfall!P24-Waterfall!B24-Waterfall!J24-Waterfall!L24-Waterfall!N24</f>
        <v/>
      </c>
      <c r="O24" s="9">
        <f>IF(Pool!BK24&lt;=0,0,N24*12/Pool!BK24*10000)</f>
        <v/>
      </c>
      <c r="P24" s="3">
        <f>Pool!BT24/Inputs!$B$49</f>
        <v/>
      </c>
      <c r="Q24" s="2">
        <f>Waterfall!AV24</f>
        <v/>
      </c>
      <c r="R24" s="2">
        <f>Waterfall!BO24</f>
        <v/>
      </c>
    </row>
    <row r="25">
      <c r="A25" s="7" t="n">
        <v>20</v>
      </c>
      <c r="B25" s="2">
        <f>Pool!BV25</f>
        <v/>
      </c>
      <c r="C25" s="2">
        <f>MAX(0,Waterfall!P25-Waterfall!B25)</f>
        <v/>
      </c>
      <c r="D25" s="5">
        <f>IF(Waterfall!AA25&lt;=0.005,999,B25/Waterfall!AA25)</f>
        <v/>
      </c>
      <c r="E25" s="5">
        <f>IF(Waterfall!J25&lt;=0.005,999,C25/Waterfall!J25)</f>
        <v/>
      </c>
      <c r="F25" s="7">
        <f>IF(OR(D25&lt;Inputs!$B$56,E25&lt;Inputs!$B$59),1,0)</f>
        <v/>
      </c>
      <c r="G25" s="5">
        <f>IF((Waterfall!AA25+Waterfall!AB25)&lt;=0.005,999,B25/(Waterfall!AA25+Waterfall!AB25))</f>
        <v/>
      </c>
      <c r="H25" s="5">
        <f>IF((Waterfall!J25+Waterfall!L25)&lt;=0.005,999,C25/(Waterfall!J25+Waterfall!L25))</f>
        <v/>
      </c>
      <c r="I25" s="7">
        <f>IF(OR(G25&lt;Inputs!$B$57,H25&lt;Inputs!$B$60),1,0)</f>
        <v/>
      </c>
      <c r="J25" s="5">
        <f>IF((Waterfall!AA25+Waterfall!AB25+Waterfall!AC25)&lt;=0.005,999,B25/(Waterfall!AA25+Waterfall!AB25+Waterfall!AC25))</f>
        <v/>
      </c>
      <c r="K25" s="5">
        <f>IF((Waterfall!J25+Waterfall!L25+Waterfall!N25)&lt;=0.005,999,C25/(Waterfall!J25+Waterfall!L25+Waterfall!N25))</f>
        <v/>
      </c>
      <c r="L25" s="7">
        <f>IF(OR(J25&lt;Inputs!$B$58,K25&lt;Inputs!$B$61),1,0)</f>
        <v/>
      </c>
      <c r="M25" s="7">
        <f>IF(F25+I25+L25&gt;0,1,0)</f>
        <v/>
      </c>
      <c r="N25" s="2">
        <f>Waterfall!P25-Waterfall!B25-Waterfall!J25-Waterfall!L25-Waterfall!N25</f>
        <v/>
      </c>
      <c r="O25" s="9">
        <f>IF(Pool!BK25&lt;=0,0,N25*12/Pool!BK25*10000)</f>
        <v/>
      </c>
      <c r="P25" s="3">
        <f>Pool!BT25/Inputs!$B$49</f>
        <v/>
      </c>
      <c r="Q25" s="2">
        <f>Waterfall!AV25</f>
        <v/>
      </c>
      <c r="R25" s="2">
        <f>Waterfall!BO25</f>
        <v/>
      </c>
    </row>
    <row r="26">
      <c r="A26" s="7" t="n">
        <v>21</v>
      </c>
      <c r="B26" s="2">
        <f>Pool!BV26</f>
        <v/>
      </c>
      <c r="C26" s="2">
        <f>MAX(0,Waterfall!P26-Waterfall!B26)</f>
        <v/>
      </c>
      <c r="D26" s="5">
        <f>IF(Waterfall!AA26&lt;=0.005,999,B26/Waterfall!AA26)</f>
        <v/>
      </c>
      <c r="E26" s="5">
        <f>IF(Waterfall!J26&lt;=0.005,999,C26/Waterfall!J26)</f>
        <v/>
      </c>
      <c r="F26" s="7">
        <f>IF(OR(D26&lt;Inputs!$B$56,E26&lt;Inputs!$B$59),1,0)</f>
        <v/>
      </c>
      <c r="G26" s="5">
        <f>IF((Waterfall!AA26+Waterfall!AB26)&lt;=0.005,999,B26/(Waterfall!AA26+Waterfall!AB26))</f>
        <v/>
      </c>
      <c r="H26" s="5">
        <f>IF((Waterfall!J26+Waterfall!L26)&lt;=0.005,999,C26/(Waterfall!J26+Waterfall!L26))</f>
        <v/>
      </c>
      <c r="I26" s="7">
        <f>IF(OR(G26&lt;Inputs!$B$57,H26&lt;Inputs!$B$60),1,0)</f>
        <v/>
      </c>
      <c r="J26" s="5">
        <f>IF((Waterfall!AA26+Waterfall!AB26+Waterfall!AC26)&lt;=0.005,999,B26/(Waterfall!AA26+Waterfall!AB26+Waterfall!AC26))</f>
        <v/>
      </c>
      <c r="K26" s="5">
        <f>IF((Waterfall!J26+Waterfall!L26+Waterfall!N26)&lt;=0.005,999,C26/(Waterfall!J26+Waterfall!L26+Waterfall!N26))</f>
        <v/>
      </c>
      <c r="L26" s="7">
        <f>IF(OR(J26&lt;Inputs!$B$58,K26&lt;Inputs!$B$61),1,0)</f>
        <v/>
      </c>
      <c r="M26" s="7">
        <f>IF(F26+I26+L26&gt;0,1,0)</f>
        <v/>
      </c>
      <c r="N26" s="2">
        <f>Waterfall!P26-Waterfall!B26-Waterfall!J26-Waterfall!L26-Waterfall!N26</f>
        <v/>
      </c>
      <c r="O26" s="9">
        <f>IF(Pool!BK26&lt;=0,0,N26*12/Pool!BK26*10000)</f>
        <v/>
      </c>
      <c r="P26" s="3">
        <f>Pool!BT26/Inputs!$B$49</f>
        <v/>
      </c>
      <c r="Q26" s="2">
        <f>Waterfall!AV26</f>
        <v/>
      </c>
      <c r="R26" s="2">
        <f>Waterfall!BO26</f>
        <v/>
      </c>
    </row>
    <row r="27">
      <c r="A27" s="7" t="n">
        <v>22</v>
      </c>
      <c r="B27" s="2">
        <f>Pool!BV27</f>
        <v/>
      </c>
      <c r="C27" s="2">
        <f>MAX(0,Waterfall!P27-Waterfall!B27)</f>
        <v/>
      </c>
      <c r="D27" s="5">
        <f>IF(Waterfall!AA27&lt;=0.005,999,B27/Waterfall!AA27)</f>
        <v/>
      </c>
      <c r="E27" s="5">
        <f>IF(Waterfall!J27&lt;=0.005,999,C27/Waterfall!J27)</f>
        <v/>
      </c>
      <c r="F27" s="7">
        <f>IF(OR(D27&lt;Inputs!$B$56,E27&lt;Inputs!$B$59),1,0)</f>
        <v/>
      </c>
      <c r="G27" s="5">
        <f>IF((Waterfall!AA27+Waterfall!AB27)&lt;=0.005,999,B27/(Waterfall!AA27+Waterfall!AB27))</f>
        <v/>
      </c>
      <c r="H27" s="5">
        <f>IF((Waterfall!J27+Waterfall!L27)&lt;=0.005,999,C27/(Waterfall!J27+Waterfall!L27))</f>
        <v/>
      </c>
      <c r="I27" s="7">
        <f>IF(OR(G27&lt;Inputs!$B$57,H27&lt;Inputs!$B$60),1,0)</f>
        <v/>
      </c>
      <c r="J27" s="5">
        <f>IF((Waterfall!AA27+Waterfall!AB27+Waterfall!AC27)&lt;=0.005,999,B27/(Waterfall!AA27+Waterfall!AB27+Waterfall!AC27))</f>
        <v/>
      </c>
      <c r="K27" s="5">
        <f>IF((Waterfall!J27+Waterfall!L27+Waterfall!N27)&lt;=0.005,999,C27/(Waterfall!J27+Waterfall!L27+Waterfall!N27))</f>
        <v/>
      </c>
      <c r="L27" s="7">
        <f>IF(OR(J27&lt;Inputs!$B$58,K27&lt;Inputs!$B$61),1,0)</f>
        <v/>
      </c>
      <c r="M27" s="7">
        <f>IF(F27+I27+L27&gt;0,1,0)</f>
        <v/>
      </c>
      <c r="N27" s="2">
        <f>Waterfall!P27-Waterfall!B27-Waterfall!J27-Waterfall!L27-Waterfall!N27</f>
        <v/>
      </c>
      <c r="O27" s="9">
        <f>IF(Pool!BK27&lt;=0,0,N27*12/Pool!BK27*10000)</f>
        <v/>
      </c>
      <c r="P27" s="3">
        <f>Pool!BT27/Inputs!$B$49</f>
        <v/>
      </c>
      <c r="Q27" s="2">
        <f>Waterfall!AV27</f>
        <v/>
      </c>
      <c r="R27" s="2">
        <f>Waterfall!BO27</f>
        <v/>
      </c>
    </row>
    <row r="28">
      <c r="A28" s="7" t="n">
        <v>23</v>
      </c>
      <c r="B28" s="2">
        <f>Pool!BV28</f>
        <v/>
      </c>
      <c r="C28" s="2">
        <f>MAX(0,Waterfall!P28-Waterfall!B28)</f>
        <v/>
      </c>
      <c r="D28" s="5">
        <f>IF(Waterfall!AA28&lt;=0.005,999,B28/Waterfall!AA28)</f>
        <v/>
      </c>
      <c r="E28" s="5">
        <f>IF(Waterfall!J28&lt;=0.005,999,C28/Waterfall!J28)</f>
        <v/>
      </c>
      <c r="F28" s="7">
        <f>IF(OR(D28&lt;Inputs!$B$56,E28&lt;Inputs!$B$59),1,0)</f>
        <v/>
      </c>
      <c r="G28" s="5">
        <f>IF((Waterfall!AA28+Waterfall!AB28)&lt;=0.005,999,B28/(Waterfall!AA28+Waterfall!AB28))</f>
        <v/>
      </c>
      <c r="H28" s="5">
        <f>IF((Waterfall!J28+Waterfall!L28)&lt;=0.005,999,C28/(Waterfall!J28+Waterfall!L28))</f>
        <v/>
      </c>
      <c r="I28" s="7">
        <f>IF(OR(G28&lt;Inputs!$B$57,H28&lt;Inputs!$B$60),1,0)</f>
        <v/>
      </c>
      <c r="J28" s="5">
        <f>IF((Waterfall!AA28+Waterfall!AB28+Waterfall!AC28)&lt;=0.005,999,B28/(Waterfall!AA28+Waterfall!AB28+Waterfall!AC28))</f>
        <v/>
      </c>
      <c r="K28" s="5">
        <f>IF((Waterfall!J28+Waterfall!L28+Waterfall!N28)&lt;=0.005,999,C28/(Waterfall!J28+Waterfall!L28+Waterfall!N28))</f>
        <v/>
      </c>
      <c r="L28" s="7">
        <f>IF(OR(J28&lt;Inputs!$B$58,K28&lt;Inputs!$B$61),1,0)</f>
        <v/>
      </c>
      <c r="M28" s="7">
        <f>IF(F28+I28+L28&gt;0,1,0)</f>
        <v/>
      </c>
      <c r="N28" s="2">
        <f>Waterfall!P28-Waterfall!B28-Waterfall!J28-Waterfall!L28-Waterfall!N28</f>
        <v/>
      </c>
      <c r="O28" s="9">
        <f>IF(Pool!BK28&lt;=0,0,N28*12/Pool!BK28*10000)</f>
        <v/>
      </c>
      <c r="P28" s="3">
        <f>Pool!BT28/Inputs!$B$49</f>
        <v/>
      </c>
      <c r="Q28" s="2">
        <f>Waterfall!AV28</f>
        <v/>
      </c>
      <c r="R28" s="2">
        <f>Waterfall!BO28</f>
        <v/>
      </c>
    </row>
    <row r="29">
      <c r="A29" s="7" t="n">
        <v>24</v>
      </c>
      <c r="B29" s="2">
        <f>Pool!BV29</f>
        <v/>
      </c>
      <c r="C29" s="2">
        <f>MAX(0,Waterfall!P29-Waterfall!B29)</f>
        <v/>
      </c>
      <c r="D29" s="5">
        <f>IF(Waterfall!AA29&lt;=0.005,999,B29/Waterfall!AA29)</f>
        <v/>
      </c>
      <c r="E29" s="5">
        <f>IF(Waterfall!J29&lt;=0.005,999,C29/Waterfall!J29)</f>
        <v/>
      </c>
      <c r="F29" s="7">
        <f>IF(OR(D29&lt;Inputs!$B$56,E29&lt;Inputs!$B$59),1,0)</f>
        <v/>
      </c>
      <c r="G29" s="5">
        <f>IF((Waterfall!AA29+Waterfall!AB29)&lt;=0.005,999,B29/(Waterfall!AA29+Waterfall!AB29))</f>
        <v/>
      </c>
      <c r="H29" s="5">
        <f>IF((Waterfall!J29+Waterfall!L29)&lt;=0.005,999,C29/(Waterfall!J29+Waterfall!L29))</f>
        <v/>
      </c>
      <c r="I29" s="7">
        <f>IF(OR(G29&lt;Inputs!$B$57,H29&lt;Inputs!$B$60),1,0)</f>
        <v/>
      </c>
      <c r="J29" s="5">
        <f>IF((Waterfall!AA29+Waterfall!AB29+Waterfall!AC29)&lt;=0.005,999,B29/(Waterfall!AA29+Waterfall!AB29+Waterfall!AC29))</f>
        <v/>
      </c>
      <c r="K29" s="5">
        <f>IF((Waterfall!J29+Waterfall!L29+Waterfall!N29)&lt;=0.005,999,C29/(Waterfall!J29+Waterfall!L29+Waterfall!N29))</f>
        <v/>
      </c>
      <c r="L29" s="7">
        <f>IF(OR(J29&lt;Inputs!$B$58,K29&lt;Inputs!$B$61),1,0)</f>
        <v/>
      </c>
      <c r="M29" s="7">
        <f>IF(F29+I29+L29&gt;0,1,0)</f>
        <v/>
      </c>
      <c r="N29" s="2">
        <f>Waterfall!P29-Waterfall!B29-Waterfall!J29-Waterfall!L29-Waterfall!N29</f>
        <v/>
      </c>
      <c r="O29" s="9">
        <f>IF(Pool!BK29&lt;=0,0,N29*12/Pool!BK29*10000)</f>
        <v/>
      </c>
      <c r="P29" s="3">
        <f>Pool!BT29/Inputs!$B$49</f>
        <v/>
      </c>
      <c r="Q29" s="2">
        <f>Waterfall!AV29</f>
        <v/>
      </c>
      <c r="R29" s="2">
        <f>Waterfall!BO29</f>
        <v/>
      </c>
    </row>
    <row r="30">
      <c r="A30" s="7" t="n">
        <v>25</v>
      </c>
      <c r="B30" s="2">
        <f>Pool!BV30</f>
        <v/>
      </c>
      <c r="C30" s="2">
        <f>MAX(0,Waterfall!P30-Waterfall!B30)</f>
        <v/>
      </c>
      <c r="D30" s="5">
        <f>IF(Waterfall!AA30&lt;=0.005,999,B30/Waterfall!AA30)</f>
        <v/>
      </c>
      <c r="E30" s="5">
        <f>IF(Waterfall!J30&lt;=0.005,999,C30/Waterfall!J30)</f>
        <v/>
      </c>
      <c r="F30" s="7">
        <f>IF(OR(D30&lt;Inputs!$B$56,E30&lt;Inputs!$B$59),1,0)</f>
        <v/>
      </c>
      <c r="G30" s="5">
        <f>IF((Waterfall!AA30+Waterfall!AB30)&lt;=0.005,999,B30/(Waterfall!AA30+Waterfall!AB30))</f>
        <v/>
      </c>
      <c r="H30" s="5">
        <f>IF((Waterfall!J30+Waterfall!L30)&lt;=0.005,999,C30/(Waterfall!J30+Waterfall!L30))</f>
        <v/>
      </c>
      <c r="I30" s="7">
        <f>IF(OR(G30&lt;Inputs!$B$57,H30&lt;Inputs!$B$60),1,0)</f>
        <v/>
      </c>
      <c r="J30" s="5">
        <f>IF((Waterfall!AA30+Waterfall!AB30+Waterfall!AC30)&lt;=0.005,999,B30/(Waterfall!AA30+Waterfall!AB30+Waterfall!AC30))</f>
        <v/>
      </c>
      <c r="K30" s="5">
        <f>IF((Waterfall!J30+Waterfall!L30+Waterfall!N30)&lt;=0.005,999,C30/(Waterfall!J30+Waterfall!L30+Waterfall!N30))</f>
        <v/>
      </c>
      <c r="L30" s="7">
        <f>IF(OR(J30&lt;Inputs!$B$58,K30&lt;Inputs!$B$61),1,0)</f>
        <v/>
      </c>
      <c r="M30" s="7">
        <f>IF(F30+I30+L30&gt;0,1,0)</f>
        <v/>
      </c>
      <c r="N30" s="2">
        <f>Waterfall!P30-Waterfall!B30-Waterfall!J30-Waterfall!L30-Waterfall!N30</f>
        <v/>
      </c>
      <c r="O30" s="9">
        <f>IF(Pool!BK30&lt;=0,0,N30*12/Pool!BK30*10000)</f>
        <v/>
      </c>
      <c r="P30" s="3">
        <f>Pool!BT30/Inputs!$B$49</f>
        <v/>
      </c>
      <c r="Q30" s="2">
        <f>Waterfall!AV30</f>
        <v/>
      </c>
      <c r="R30" s="2">
        <f>Waterfall!BO30</f>
        <v/>
      </c>
    </row>
    <row r="31">
      <c r="A31" s="7" t="n">
        <v>26</v>
      </c>
      <c r="B31" s="2">
        <f>Pool!BV31</f>
        <v/>
      </c>
      <c r="C31" s="2">
        <f>MAX(0,Waterfall!P31-Waterfall!B31)</f>
        <v/>
      </c>
      <c r="D31" s="5">
        <f>IF(Waterfall!AA31&lt;=0.005,999,B31/Waterfall!AA31)</f>
        <v/>
      </c>
      <c r="E31" s="5">
        <f>IF(Waterfall!J31&lt;=0.005,999,C31/Waterfall!J31)</f>
        <v/>
      </c>
      <c r="F31" s="7">
        <f>IF(OR(D31&lt;Inputs!$B$56,E31&lt;Inputs!$B$59),1,0)</f>
        <v/>
      </c>
      <c r="G31" s="5">
        <f>IF((Waterfall!AA31+Waterfall!AB31)&lt;=0.005,999,B31/(Waterfall!AA31+Waterfall!AB31))</f>
        <v/>
      </c>
      <c r="H31" s="5">
        <f>IF((Waterfall!J31+Waterfall!L31)&lt;=0.005,999,C31/(Waterfall!J31+Waterfall!L31))</f>
        <v/>
      </c>
      <c r="I31" s="7">
        <f>IF(OR(G31&lt;Inputs!$B$57,H31&lt;Inputs!$B$60),1,0)</f>
        <v/>
      </c>
      <c r="J31" s="5">
        <f>IF((Waterfall!AA31+Waterfall!AB31+Waterfall!AC31)&lt;=0.005,999,B31/(Waterfall!AA31+Waterfall!AB31+Waterfall!AC31))</f>
        <v/>
      </c>
      <c r="K31" s="5">
        <f>IF((Waterfall!J31+Waterfall!L31+Waterfall!N31)&lt;=0.005,999,C31/(Waterfall!J31+Waterfall!L31+Waterfall!N31))</f>
        <v/>
      </c>
      <c r="L31" s="7">
        <f>IF(OR(J31&lt;Inputs!$B$58,K31&lt;Inputs!$B$61),1,0)</f>
        <v/>
      </c>
      <c r="M31" s="7">
        <f>IF(F31+I31+L31&gt;0,1,0)</f>
        <v/>
      </c>
      <c r="N31" s="2">
        <f>Waterfall!P31-Waterfall!B31-Waterfall!J31-Waterfall!L31-Waterfall!N31</f>
        <v/>
      </c>
      <c r="O31" s="9">
        <f>IF(Pool!BK31&lt;=0,0,N31*12/Pool!BK31*10000)</f>
        <v/>
      </c>
      <c r="P31" s="3">
        <f>Pool!BT31/Inputs!$B$49</f>
        <v/>
      </c>
      <c r="Q31" s="2">
        <f>Waterfall!AV31</f>
        <v/>
      </c>
      <c r="R31" s="2">
        <f>Waterfall!BO31</f>
        <v/>
      </c>
    </row>
    <row r="32">
      <c r="A32" s="7" t="n">
        <v>27</v>
      </c>
      <c r="B32" s="2">
        <f>Pool!BV32</f>
        <v/>
      </c>
      <c r="C32" s="2">
        <f>MAX(0,Waterfall!P32-Waterfall!B32)</f>
        <v/>
      </c>
      <c r="D32" s="5">
        <f>IF(Waterfall!AA32&lt;=0.005,999,B32/Waterfall!AA32)</f>
        <v/>
      </c>
      <c r="E32" s="5">
        <f>IF(Waterfall!J32&lt;=0.005,999,C32/Waterfall!J32)</f>
        <v/>
      </c>
      <c r="F32" s="7">
        <f>IF(OR(D32&lt;Inputs!$B$56,E32&lt;Inputs!$B$59),1,0)</f>
        <v/>
      </c>
      <c r="G32" s="5">
        <f>IF((Waterfall!AA32+Waterfall!AB32)&lt;=0.005,999,B32/(Waterfall!AA32+Waterfall!AB32))</f>
        <v/>
      </c>
      <c r="H32" s="5">
        <f>IF((Waterfall!J32+Waterfall!L32)&lt;=0.005,999,C32/(Waterfall!J32+Waterfall!L32))</f>
        <v/>
      </c>
      <c r="I32" s="7">
        <f>IF(OR(G32&lt;Inputs!$B$57,H32&lt;Inputs!$B$60),1,0)</f>
        <v/>
      </c>
      <c r="J32" s="5">
        <f>IF((Waterfall!AA32+Waterfall!AB32+Waterfall!AC32)&lt;=0.005,999,B32/(Waterfall!AA32+Waterfall!AB32+Waterfall!AC32))</f>
        <v/>
      </c>
      <c r="K32" s="5">
        <f>IF((Waterfall!J32+Waterfall!L32+Waterfall!N32)&lt;=0.005,999,C32/(Waterfall!J32+Waterfall!L32+Waterfall!N32))</f>
        <v/>
      </c>
      <c r="L32" s="7">
        <f>IF(OR(J32&lt;Inputs!$B$58,K32&lt;Inputs!$B$61),1,0)</f>
        <v/>
      </c>
      <c r="M32" s="7">
        <f>IF(F32+I32+L32&gt;0,1,0)</f>
        <v/>
      </c>
      <c r="N32" s="2">
        <f>Waterfall!P32-Waterfall!B32-Waterfall!J32-Waterfall!L32-Waterfall!N32</f>
        <v/>
      </c>
      <c r="O32" s="9">
        <f>IF(Pool!BK32&lt;=0,0,N32*12/Pool!BK32*10000)</f>
        <v/>
      </c>
      <c r="P32" s="3">
        <f>Pool!BT32/Inputs!$B$49</f>
        <v/>
      </c>
      <c r="Q32" s="2">
        <f>Waterfall!AV32</f>
        <v/>
      </c>
      <c r="R32" s="2">
        <f>Waterfall!BO32</f>
        <v/>
      </c>
    </row>
    <row r="33">
      <c r="A33" s="7" t="n">
        <v>28</v>
      </c>
      <c r="B33" s="2">
        <f>Pool!BV33</f>
        <v/>
      </c>
      <c r="C33" s="2">
        <f>MAX(0,Waterfall!P33-Waterfall!B33)</f>
        <v/>
      </c>
      <c r="D33" s="5">
        <f>IF(Waterfall!AA33&lt;=0.005,999,B33/Waterfall!AA33)</f>
        <v/>
      </c>
      <c r="E33" s="5">
        <f>IF(Waterfall!J33&lt;=0.005,999,C33/Waterfall!J33)</f>
        <v/>
      </c>
      <c r="F33" s="7">
        <f>IF(OR(D33&lt;Inputs!$B$56,E33&lt;Inputs!$B$59),1,0)</f>
        <v/>
      </c>
      <c r="G33" s="5">
        <f>IF((Waterfall!AA33+Waterfall!AB33)&lt;=0.005,999,B33/(Waterfall!AA33+Waterfall!AB33))</f>
        <v/>
      </c>
      <c r="H33" s="5">
        <f>IF((Waterfall!J33+Waterfall!L33)&lt;=0.005,999,C33/(Waterfall!J33+Waterfall!L33))</f>
        <v/>
      </c>
      <c r="I33" s="7">
        <f>IF(OR(G33&lt;Inputs!$B$57,H33&lt;Inputs!$B$60),1,0)</f>
        <v/>
      </c>
      <c r="J33" s="5">
        <f>IF((Waterfall!AA33+Waterfall!AB33+Waterfall!AC33)&lt;=0.005,999,B33/(Waterfall!AA33+Waterfall!AB33+Waterfall!AC33))</f>
        <v/>
      </c>
      <c r="K33" s="5">
        <f>IF((Waterfall!J33+Waterfall!L33+Waterfall!N33)&lt;=0.005,999,C33/(Waterfall!J33+Waterfall!L33+Waterfall!N33))</f>
        <v/>
      </c>
      <c r="L33" s="7">
        <f>IF(OR(J33&lt;Inputs!$B$58,K33&lt;Inputs!$B$61),1,0)</f>
        <v/>
      </c>
      <c r="M33" s="7">
        <f>IF(F33+I33+L33&gt;0,1,0)</f>
        <v/>
      </c>
      <c r="N33" s="2">
        <f>Waterfall!P33-Waterfall!B33-Waterfall!J33-Waterfall!L33-Waterfall!N33</f>
        <v/>
      </c>
      <c r="O33" s="9">
        <f>IF(Pool!BK33&lt;=0,0,N33*12/Pool!BK33*10000)</f>
        <v/>
      </c>
      <c r="P33" s="3">
        <f>Pool!BT33/Inputs!$B$49</f>
        <v/>
      </c>
      <c r="Q33" s="2">
        <f>Waterfall!AV33</f>
        <v/>
      </c>
      <c r="R33" s="2">
        <f>Waterfall!BO33</f>
        <v/>
      </c>
    </row>
    <row r="34">
      <c r="A34" s="7" t="n">
        <v>29</v>
      </c>
      <c r="B34" s="2">
        <f>Pool!BV34</f>
        <v/>
      </c>
      <c r="C34" s="2">
        <f>MAX(0,Waterfall!P34-Waterfall!B34)</f>
        <v/>
      </c>
      <c r="D34" s="5">
        <f>IF(Waterfall!AA34&lt;=0.005,999,B34/Waterfall!AA34)</f>
        <v/>
      </c>
      <c r="E34" s="5">
        <f>IF(Waterfall!J34&lt;=0.005,999,C34/Waterfall!J34)</f>
        <v/>
      </c>
      <c r="F34" s="7">
        <f>IF(OR(D34&lt;Inputs!$B$56,E34&lt;Inputs!$B$59),1,0)</f>
        <v/>
      </c>
      <c r="G34" s="5">
        <f>IF((Waterfall!AA34+Waterfall!AB34)&lt;=0.005,999,B34/(Waterfall!AA34+Waterfall!AB34))</f>
        <v/>
      </c>
      <c r="H34" s="5">
        <f>IF((Waterfall!J34+Waterfall!L34)&lt;=0.005,999,C34/(Waterfall!J34+Waterfall!L34))</f>
        <v/>
      </c>
      <c r="I34" s="7">
        <f>IF(OR(G34&lt;Inputs!$B$57,H34&lt;Inputs!$B$60),1,0)</f>
        <v/>
      </c>
      <c r="J34" s="5">
        <f>IF((Waterfall!AA34+Waterfall!AB34+Waterfall!AC34)&lt;=0.005,999,B34/(Waterfall!AA34+Waterfall!AB34+Waterfall!AC34))</f>
        <v/>
      </c>
      <c r="K34" s="5">
        <f>IF((Waterfall!J34+Waterfall!L34+Waterfall!N34)&lt;=0.005,999,C34/(Waterfall!J34+Waterfall!L34+Waterfall!N34))</f>
        <v/>
      </c>
      <c r="L34" s="7">
        <f>IF(OR(J34&lt;Inputs!$B$58,K34&lt;Inputs!$B$61),1,0)</f>
        <v/>
      </c>
      <c r="M34" s="7">
        <f>IF(F34+I34+L34&gt;0,1,0)</f>
        <v/>
      </c>
      <c r="N34" s="2">
        <f>Waterfall!P34-Waterfall!B34-Waterfall!J34-Waterfall!L34-Waterfall!N34</f>
        <v/>
      </c>
      <c r="O34" s="9">
        <f>IF(Pool!BK34&lt;=0,0,N34*12/Pool!BK34*10000)</f>
        <v/>
      </c>
      <c r="P34" s="3">
        <f>Pool!BT34/Inputs!$B$49</f>
        <v/>
      </c>
      <c r="Q34" s="2">
        <f>Waterfall!AV34</f>
        <v/>
      </c>
      <c r="R34" s="2">
        <f>Waterfall!BO34</f>
        <v/>
      </c>
    </row>
    <row r="35">
      <c r="A35" s="7" t="n">
        <v>30</v>
      </c>
      <c r="B35" s="2">
        <f>Pool!BV35</f>
        <v/>
      </c>
      <c r="C35" s="2">
        <f>MAX(0,Waterfall!P35-Waterfall!B35)</f>
        <v/>
      </c>
      <c r="D35" s="5">
        <f>IF(Waterfall!AA35&lt;=0.005,999,B35/Waterfall!AA35)</f>
        <v/>
      </c>
      <c r="E35" s="5">
        <f>IF(Waterfall!J35&lt;=0.005,999,C35/Waterfall!J35)</f>
        <v/>
      </c>
      <c r="F35" s="7">
        <f>IF(OR(D35&lt;Inputs!$B$56,E35&lt;Inputs!$B$59),1,0)</f>
        <v/>
      </c>
      <c r="G35" s="5">
        <f>IF((Waterfall!AA35+Waterfall!AB35)&lt;=0.005,999,B35/(Waterfall!AA35+Waterfall!AB35))</f>
        <v/>
      </c>
      <c r="H35" s="5">
        <f>IF((Waterfall!J35+Waterfall!L35)&lt;=0.005,999,C35/(Waterfall!J35+Waterfall!L35))</f>
        <v/>
      </c>
      <c r="I35" s="7">
        <f>IF(OR(G35&lt;Inputs!$B$57,H35&lt;Inputs!$B$60),1,0)</f>
        <v/>
      </c>
      <c r="J35" s="5">
        <f>IF((Waterfall!AA35+Waterfall!AB35+Waterfall!AC35)&lt;=0.005,999,B35/(Waterfall!AA35+Waterfall!AB35+Waterfall!AC35))</f>
        <v/>
      </c>
      <c r="K35" s="5">
        <f>IF((Waterfall!J35+Waterfall!L35+Waterfall!N35)&lt;=0.005,999,C35/(Waterfall!J35+Waterfall!L35+Waterfall!N35))</f>
        <v/>
      </c>
      <c r="L35" s="7">
        <f>IF(OR(J35&lt;Inputs!$B$58,K35&lt;Inputs!$B$61),1,0)</f>
        <v/>
      </c>
      <c r="M35" s="7">
        <f>IF(F35+I35+L35&gt;0,1,0)</f>
        <v/>
      </c>
      <c r="N35" s="2">
        <f>Waterfall!P35-Waterfall!B35-Waterfall!J35-Waterfall!L35-Waterfall!N35</f>
        <v/>
      </c>
      <c r="O35" s="9">
        <f>IF(Pool!BK35&lt;=0,0,N35*12/Pool!BK35*10000)</f>
        <v/>
      </c>
      <c r="P35" s="3">
        <f>Pool!BT35/Inputs!$B$49</f>
        <v/>
      </c>
      <c r="Q35" s="2">
        <f>Waterfall!AV35</f>
        <v/>
      </c>
      <c r="R35" s="2">
        <f>Waterfall!BO35</f>
        <v/>
      </c>
    </row>
    <row r="36">
      <c r="A36" s="7" t="n">
        <v>31</v>
      </c>
      <c r="B36" s="2">
        <f>Pool!BV36</f>
        <v/>
      </c>
      <c r="C36" s="2">
        <f>MAX(0,Waterfall!P36-Waterfall!B36)</f>
        <v/>
      </c>
      <c r="D36" s="5">
        <f>IF(Waterfall!AA36&lt;=0.005,999,B36/Waterfall!AA36)</f>
        <v/>
      </c>
      <c r="E36" s="5">
        <f>IF(Waterfall!J36&lt;=0.005,999,C36/Waterfall!J36)</f>
        <v/>
      </c>
      <c r="F36" s="7">
        <f>IF(OR(D36&lt;Inputs!$B$56,E36&lt;Inputs!$B$59),1,0)</f>
        <v/>
      </c>
      <c r="G36" s="5">
        <f>IF((Waterfall!AA36+Waterfall!AB36)&lt;=0.005,999,B36/(Waterfall!AA36+Waterfall!AB36))</f>
        <v/>
      </c>
      <c r="H36" s="5">
        <f>IF((Waterfall!J36+Waterfall!L36)&lt;=0.005,999,C36/(Waterfall!J36+Waterfall!L36))</f>
        <v/>
      </c>
      <c r="I36" s="7">
        <f>IF(OR(G36&lt;Inputs!$B$57,H36&lt;Inputs!$B$60),1,0)</f>
        <v/>
      </c>
      <c r="J36" s="5">
        <f>IF((Waterfall!AA36+Waterfall!AB36+Waterfall!AC36)&lt;=0.005,999,B36/(Waterfall!AA36+Waterfall!AB36+Waterfall!AC36))</f>
        <v/>
      </c>
      <c r="K36" s="5">
        <f>IF((Waterfall!J36+Waterfall!L36+Waterfall!N36)&lt;=0.005,999,C36/(Waterfall!J36+Waterfall!L36+Waterfall!N36))</f>
        <v/>
      </c>
      <c r="L36" s="7">
        <f>IF(OR(J36&lt;Inputs!$B$58,K36&lt;Inputs!$B$61),1,0)</f>
        <v/>
      </c>
      <c r="M36" s="7">
        <f>IF(F36+I36+L36&gt;0,1,0)</f>
        <v/>
      </c>
      <c r="N36" s="2">
        <f>Waterfall!P36-Waterfall!B36-Waterfall!J36-Waterfall!L36-Waterfall!N36</f>
        <v/>
      </c>
      <c r="O36" s="9">
        <f>IF(Pool!BK36&lt;=0,0,N36*12/Pool!BK36*10000)</f>
        <v/>
      </c>
      <c r="P36" s="3">
        <f>Pool!BT36/Inputs!$B$49</f>
        <v/>
      </c>
      <c r="Q36" s="2">
        <f>Waterfall!AV36</f>
        <v/>
      </c>
      <c r="R36" s="2">
        <f>Waterfall!BO36</f>
        <v/>
      </c>
    </row>
    <row r="37">
      <c r="A37" s="7" t="n">
        <v>32</v>
      </c>
      <c r="B37" s="2">
        <f>Pool!BV37</f>
        <v/>
      </c>
      <c r="C37" s="2">
        <f>MAX(0,Waterfall!P37-Waterfall!B37)</f>
        <v/>
      </c>
      <c r="D37" s="5">
        <f>IF(Waterfall!AA37&lt;=0.005,999,B37/Waterfall!AA37)</f>
        <v/>
      </c>
      <c r="E37" s="5">
        <f>IF(Waterfall!J37&lt;=0.005,999,C37/Waterfall!J37)</f>
        <v/>
      </c>
      <c r="F37" s="7">
        <f>IF(OR(D37&lt;Inputs!$B$56,E37&lt;Inputs!$B$59),1,0)</f>
        <v/>
      </c>
      <c r="G37" s="5">
        <f>IF((Waterfall!AA37+Waterfall!AB37)&lt;=0.005,999,B37/(Waterfall!AA37+Waterfall!AB37))</f>
        <v/>
      </c>
      <c r="H37" s="5">
        <f>IF((Waterfall!J37+Waterfall!L37)&lt;=0.005,999,C37/(Waterfall!J37+Waterfall!L37))</f>
        <v/>
      </c>
      <c r="I37" s="7">
        <f>IF(OR(G37&lt;Inputs!$B$57,H37&lt;Inputs!$B$60),1,0)</f>
        <v/>
      </c>
      <c r="J37" s="5">
        <f>IF((Waterfall!AA37+Waterfall!AB37+Waterfall!AC37)&lt;=0.005,999,B37/(Waterfall!AA37+Waterfall!AB37+Waterfall!AC37))</f>
        <v/>
      </c>
      <c r="K37" s="5">
        <f>IF((Waterfall!J37+Waterfall!L37+Waterfall!N37)&lt;=0.005,999,C37/(Waterfall!J37+Waterfall!L37+Waterfall!N37))</f>
        <v/>
      </c>
      <c r="L37" s="7">
        <f>IF(OR(J37&lt;Inputs!$B$58,K37&lt;Inputs!$B$61),1,0)</f>
        <v/>
      </c>
      <c r="M37" s="7">
        <f>IF(F37+I37+L37&gt;0,1,0)</f>
        <v/>
      </c>
      <c r="N37" s="2">
        <f>Waterfall!P37-Waterfall!B37-Waterfall!J37-Waterfall!L37-Waterfall!N37</f>
        <v/>
      </c>
      <c r="O37" s="9">
        <f>IF(Pool!BK37&lt;=0,0,N37*12/Pool!BK37*10000)</f>
        <v/>
      </c>
      <c r="P37" s="3">
        <f>Pool!BT37/Inputs!$B$49</f>
        <v/>
      </c>
      <c r="Q37" s="2">
        <f>Waterfall!AV37</f>
        <v/>
      </c>
      <c r="R37" s="2">
        <f>Waterfall!BO37</f>
        <v/>
      </c>
    </row>
    <row r="38">
      <c r="A38" s="7" t="n">
        <v>33</v>
      </c>
      <c r="B38" s="2">
        <f>Pool!BV38</f>
        <v/>
      </c>
      <c r="C38" s="2">
        <f>MAX(0,Waterfall!P38-Waterfall!B38)</f>
        <v/>
      </c>
      <c r="D38" s="5">
        <f>IF(Waterfall!AA38&lt;=0.005,999,B38/Waterfall!AA38)</f>
        <v/>
      </c>
      <c r="E38" s="5">
        <f>IF(Waterfall!J38&lt;=0.005,999,C38/Waterfall!J38)</f>
        <v/>
      </c>
      <c r="F38" s="7">
        <f>IF(OR(D38&lt;Inputs!$B$56,E38&lt;Inputs!$B$59),1,0)</f>
        <v/>
      </c>
      <c r="G38" s="5">
        <f>IF((Waterfall!AA38+Waterfall!AB38)&lt;=0.005,999,B38/(Waterfall!AA38+Waterfall!AB38))</f>
        <v/>
      </c>
      <c r="H38" s="5">
        <f>IF((Waterfall!J38+Waterfall!L38)&lt;=0.005,999,C38/(Waterfall!J38+Waterfall!L38))</f>
        <v/>
      </c>
      <c r="I38" s="7">
        <f>IF(OR(G38&lt;Inputs!$B$57,H38&lt;Inputs!$B$60),1,0)</f>
        <v/>
      </c>
      <c r="J38" s="5">
        <f>IF((Waterfall!AA38+Waterfall!AB38+Waterfall!AC38)&lt;=0.005,999,B38/(Waterfall!AA38+Waterfall!AB38+Waterfall!AC38))</f>
        <v/>
      </c>
      <c r="K38" s="5">
        <f>IF((Waterfall!J38+Waterfall!L38+Waterfall!N38)&lt;=0.005,999,C38/(Waterfall!J38+Waterfall!L38+Waterfall!N38))</f>
        <v/>
      </c>
      <c r="L38" s="7">
        <f>IF(OR(J38&lt;Inputs!$B$58,K38&lt;Inputs!$B$61),1,0)</f>
        <v/>
      </c>
      <c r="M38" s="7">
        <f>IF(F38+I38+L38&gt;0,1,0)</f>
        <v/>
      </c>
      <c r="N38" s="2">
        <f>Waterfall!P38-Waterfall!B38-Waterfall!J38-Waterfall!L38-Waterfall!N38</f>
        <v/>
      </c>
      <c r="O38" s="9">
        <f>IF(Pool!BK38&lt;=0,0,N38*12/Pool!BK38*10000)</f>
        <v/>
      </c>
      <c r="P38" s="3">
        <f>Pool!BT38/Inputs!$B$49</f>
        <v/>
      </c>
      <c r="Q38" s="2">
        <f>Waterfall!AV38</f>
        <v/>
      </c>
      <c r="R38" s="2">
        <f>Waterfall!BO38</f>
        <v/>
      </c>
    </row>
    <row r="39">
      <c r="A39" s="7" t="n">
        <v>34</v>
      </c>
      <c r="B39" s="2">
        <f>Pool!BV39</f>
        <v/>
      </c>
      <c r="C39" s="2">
        <f>MAX(0,Waterfall!P39-Waterfall!B39)</f>
        <v/>
      </c>
      <c r="D39" s="5">
        <f>IF(Waterfall!AA39&lt;=0.005,999,B39/Waterfall!AA39)</f>
        <v/>
      </c>
      <c r="E39" s="5">
        <f>IF(Waterfall!J39&lt;=0.005,999,C39/Waterfall!J39)</f>
        <v/>
      </c>
      <c r="F39" s="7">
        <f>IF(OR(D39&lt;Inputs!$B$56,E39&lt;Inputs!$B$59),1,0)</f>
        <v/>
      </c>
      <c r="G39" s="5">
        <f>IF((Waterfall!AA39+Waterfall!AB39)&lt;=0.005,999,B39/(Waterfall!AA39+Waterfall!AB39))</f>
        <v/>
      </c>
      <c r="H39" s="5">
        <f>IF((Waterfall!J39+Waterfall!L39)&lt;=0.005,999,C39/(Waterfall!J39+Waterfall!L39))</f>
        <v/>
      </c>
      <c r="I39" s="7">
        <f>IF(OR(G39&lt;Inputs!$B$57,H39&lt;Inputs!$B$60),1,0)</f>
        <v/>
      </c>
      <c r="J39" s="5">
        <f>IF((Waterfall!AA39+Waterfall!AB39+Waterfall!AC39)&lt;=0.005,999,B39/(Waterfall!AA39+Waterfall!AB39+Waterfall!AC39))</f>
        <v/>
      </c>
      <c r="K39" s="5">
        <f>IF((Waterfall!J39+Waterfall!L39+Waterfall!N39)&lt;=0.005,999,C39/(Waterfall!J39+Waterfall!L39+Waterfall!N39))</f>
        <v/>
      </c>
      <c r="L39" s="7">
        <f>IF(OR(J39&lt;Inputs!$B$58,K39&lt;Inputs!$B$61),1,0)</f>
        <v/>
      </c>
      <c r="M39" s="7">
        <f>IF(F39+I39+L39&gt;0,1,0)</f>
        <v/>
      </c>
      <c r="N39" s="2">
        <f>Waterfall!P39-Waterfall!B39-Waterfall!J39-Waterfall!L39-Waterfall!N39</f>
        <v/>
      </c>
      <c r="O39" s="9">
        <f>IF(Pool!BK39&lt;=0,0,N39*12/Pool!BK39*10000)</f>
        <v/>
      </c>
      <c r="P39" s="3">
        <f>Pool!BT39/Inputs!$B$49</f>
        <v/>
      </c>
      <c r="Q39" s="2">
        <f>Waterfall!AV39</f>
        <v/>
      </c>
      <c r="R39" s="2">
        <f>Waterfall!BO39</f>
        <v/>
      </c>
    </row>
    <row r="40">
      <c r="A40" s="7" t="n">
        <v>35</v>
      </c>
      <c r="B40" s="2">
        <f>Pool!BV40</f>
        <v/>
      </c>
      <c r="C40" s="2">
        <f>MAX(0,Waterfall!P40-Waterfall!B40)</f>
        <v/>
      </c>
      <c r="D40" s="5">
        <f>IF(Waterfall!AA40&lt;=0.005,999,B40/Waterfall!AA40)</f>
        <v/>
      </c>
      <c r="E40" s="5">
        <f>IF(Waterfall!J40&lt;=0.005,999,C40/Waterfall!J40)</f>
        <v/>
      </c>
      <c r="F40" s="7">
        <f>IF(OR(D40&lt;Inputs!$B$56,E40&lt;Inputs!$B$59),1,0)</f>
        <v/>
      </c>
      <c r="G40" s="5">
        <f>IF((Waterfall!AA40+Waterfall!AB40)&lt;=0.005,999,B40/(Waterfall!AA40+Waterfall!AB40))</f>
        <v/>
      </c>
      <c r="H40" s="5">
        <f>IF((Waterfall!J40+Waterfall!L40)&lt;=0.005,999,C40/(Waterfall!J40+Waterfall!L40))</f>
        <v/>
      </c>
      <c r="I40" s="7">
        <f>IF(OR(G40&lt;Inputs!$B$57,H40&lt;Inputs!$B$60),1,0)</f>
        <v/>
      </c>
      <c r="J40" s="5">
        <f>IF((Waterfall!AA40+Waterfall!AB40+Waterfall!AC40)&lt;=0.005,999,B40/(Waterfall!AA40+Waterfall!AB40+Waterfall!AC40))</f>
        <v/>
      </c>
      <c r="K40" s="5">
        <f>IF((Waterfall!J40+Waterfall!L40+Waterfall!N40)&lt;=0.005,999,C40/(Waterfall!J40+Waterfall!L40+Waterfall!N40))</f>
        <v/>
      </c>
      <c r="L40" s="7">
        <f>IF(OR(J40&lt;Inputs!$B$58,K40&lt;Inputs!$B$61),1,0)</f>
        <v/>
      </c>
      <c r="M40" s="7">
        <f>IF(F40+I40+L40&gt;0,1,0)</f>
        <v/>
      </c>
      <c r="N40" s="2">
        <f>Waterfall!P40-Waterfall!B40-Waterfall!J40-Waterfall!L40-Waterfall!N40</f>
        <v/>
      </c>
      <c r="O40" s="9">
        <f>IF(Pool!BK40&lt;=0,0,N40*12/Pool!BK40*10000)</f>
        <v/>
      </c>
      <c r="P40" s="3">
        <f>Pool!BT40/Inputs!$B$49</f>
        <v/>
      </c>
      <c r="Q40" s="2">
        <f>Waterfall!AV40</f>
        <v/>
      </c>
      <c r="R40" s="2">
        <f>Waterfall!BO40</f>
        <v/>
      </c>
    </row>
    <row r="41">
      <c r="A41" s="7" t="n">
        <v>36</v>
      </c>
      <c r="B41" s="2">
        <f>Pool!BV41</f>
        <v/>
      </c>
      <c r="C41" s="2">
        <f>MAX(0,Waterfall!P41-Waterfall!B41)</f>
        <v/>
      </c>
      <c r="D41" s="5">
        <f>IF(Waterfall!AA41&lt;=0.005,999,B41/Waterfall!AA41)</f>
        <v/>
      </c>
      <c r="E41" s="5">
        <f>IF(Waterfall!J41&lt;=0.005,999,C41/Waterfall!J41)</f>
        <v/>
      </c>
      <c r="F41" s="7">
        <f>IF(OR(D41&lt;Inputs!$B$56,E41&lt;Inputs!$B$59),1,0)</f>
        <v/>
      </c>
      <c r="G41" s="5">
        <f>IF((Waterfall!AA41+Waterfall!AB41)&lt;=0.005,999,B41/(Waterfall!AA41+Waterfall!AB41))</f>
        <v/>
      </c>
      <c r="H41" s="5">
        <f>IF((Waterfall!J41+Waterfall!L41)&lt;=0.005,999,C41/(Waterfall!J41+Waterfall!L41))</f>
        <v/>
      </c>
      <c r="I41" s="7">
        <f>IF(OR(G41&lt;Inputs!$B$57,H41&lt;Inputs!$B$60),1,0)</f>
        <v/>
      </c>
      <c r="J41" s="5">
        <f>IF((Waterfall!AA41+Waterfall!AB41+Waterfall!AC41)&lt;=0.005,999,B41/(Waterfall!AA41+Waterfall!AB41+Waterfall!AC41))</f>
        <v/>
      </c>
      <c r="K41" s="5">
        <f>IF((Waterfall!J41+Waterfall!L41+Waterfall!N41)&lt;=0.005,999,C41/(Waterfall!J41+Waterfall!L41+Waterfall!N41))</f>
        <v/>
      </c>
      <c r="L41" s="7">
        <f>IF(OR(J41&lt;Inputs!$B$58,K41&lt;Inputs!$B$61),1,0)</f>
        <v/>
      </c>
      <c r="M41" s="7">
        <f>IF(F41+I41+L41&gt;0,1,0)</f>
        <v/>
      </c>
      <c r="N41" s="2">
        <f>Waterfall!P41-Waterfall!B41-Waterfall!J41-Waterfall!L41-Waterfall!N41</f>
        <v/>
      </c>
      <c r="O41" s="9">
        <f>IF(Pool!BK41&lt;=0,0,N41*12/Pool!BK41*10000)</f>
        <v/>
      </c>
      <c r="P41" s="3">
        <f>Pool!BT41/Inputs!$B$49</f>
        <v/>
      </c>
      <c r="Q41" s="2">
        <f>Waterfall!AV41</f>
        <v/>
      </c>
      <c r="R41" s="2">
        <f>Waterfall!BO41</f>
        <v/>
      </c>
    </row>
    <row r="42">
      <c r="A42" s="7" t="n">
        <v>37</v>
      </c>
      <c r="B42" s="2">
        <f>Pool!BV42</f>
        <v/>
      </c>
      <c r="C42" s="2">
        <f>MAX(0,Waterfall!P42-Waterfall!B42)</f>
        <v/>
      </c>
      <c r="D42" s="5">
        <f>IF(Waterfall!AA42&lt;=0.005,999,B42/Waterfall!AA42)</f>
        <v/>
      </c>
      <c r="E42" s="5">
        <f>IF(Waterfall!J42&lt;=0.005,999,C42/Waterfall!J42)</f>
        <v/>
      </c>
      <c r="F42" s="7">
        <f>IF(OR(D42&lt;Inputs!$B$56,E42&lt;Inputs!$B$59),1,0)</f>
        <v/>
      </c>
      <c r="G42" s="5">
        <f>IF((Waterfall!AA42+Waterfall!AB42)&lt;=0.005,999,B42/(Waterfall!AA42+Waterfall!AB42))</f>
        <v/>
      </c>
      <c r="H42" s="5">
        <f>IF((Waterfall!J42+Waterfall!L42)&lt;=0.005,999,C42/(Waterfall!J42+Waterfall!L42))</f>
        <v/>
      </c>
      <c r="I42" s="7">
        <f>IF(OR(G42&lt;Inputs!$B$57,H42&lt;Inputs!$B$60),1,0)</f>
        <v/>
      </c>
      <c r="J42" s="5">
        <f>IF((Waterfall!AA42+Waterfall!AB42+Waterfall!AC42)&lt;=0.005,999,B42/(Waterfall!AA42+Waterfall!AB42+Waterfall!AC42))</f>
        <v/>
      </c>
      <c r="K42" s="5">
        <f>IF((Waterfall!J42+Waterfall!L42+Waterfall!N42)&lt;=0.005,999,C42/(Waterfall!J42+Waterfall!L42+Waterfall!N42))</f>
        <v/>
      </c>
      <c r="L42" s="7">
        <f>IF(OR(J42&lt;Inputs!$B$58,K42&lt;Inputs!$B$61),1,0)</f>
        <v/>
      </c>
      <c r="M42" s="7">
        <f>IF(F42+I42+L42&gt;0,1,0)</f>
        <v/>
      </c>
      <c r="N42" s="2">
        <f>Waterfall!P42-Waterfall!B42-Waterfall!J42-Waterfall!L42-Waterfall!N42</f>
        <v/>
      </c>
      <c r="O42" s="9">
        <f>IF(Pool!BK42&lt;=0,0,N42*12/Pool!BK42*10000)</f>
        <v/>
      </c>
      <c r="P42" s="3">
        <f>Pool!BT42/Inputs!$B$49</f>
        <v/>
      </c>
      <c r="Q42" s="2">
        <f>Waterfall!AV42</f>
        <v/>
      </c>
      <c r="R42" s="2">
        <f>Waterfall!BO42</f>
        <v/>
      </c>
    </row>
    <row r="43">
      <c r="A43" s="7" t="n">
        <v>38</v>
      </c>
      <c r="B43" s="2">
        <f>Pool!BV43</f>
        <v/>
      </c>
      <c r="C43" s="2">
        <f>MAX(0,Waterfall!P43-Waterfall!B43)</f>
        <v/>
      </c>
      <c r="D43" s="5">
        <f>IF(Waterfall!AA43&lt;=0.005,999,B43/Waterfall!AA43)</f>
        <v/>
      </c>
      <c r="E43" s="5">
        <f>IF(Waterfall!J43&lt;=0.005,999,C43/Waterfall!J43)</f>
        <v/>
      </c>
      <c r="F43" s="7">
        <f>IF(OR(D43&lt;Inputs!$B$56,E43&lt;Inputs!$B$59),1,0)</f>
        <v/>
      </c>
      <c r="G43" s="5">
        <f>IF((Waterfall!AA43+Waterfall!AB43)&lt;=0.005,999,B43/(Waterfall!AA43+Waterfall!AB43))</f>
        <v/>
      </c>
      <c r="H43" s="5">
        <f>IF((Waterfall!J43+Waterfall!L43)&lt;=0.005,999,C43/(Waterfall!J43+Waterfall!L43))</f>
        <v/>
      </c>
      <c r="I43" s="7">
        <f>IF(OR(G43&lt;Inputs!$B$57,H43&lt;Inputs!$B$60),1,0)</f>
        <v/>
      </c>
      <c r="J43" s="5">
        <f>IF((Waterfall!AA43+Waterfall!AB43+Waterfall!AC43)&lt;=0.005,999,B43/(Waterfall!AA43+Waterfall!AB43+Waterfall!AC43))</f>
        <v/>
      </c>
      <c r="K43" s="5">
        <f>IF((Waterfall!J43+Waterfall!L43+Waterfall!N43)&lt;=0.005,999,C43/(Waterfall!J43+Waterfall!L43+Waterfall!N43))</f>
        <v/>
      </c>
      <c r="L43" s="7">
        <f>IF(OR(J43&lt;Inputs!$B$58,K43&lt;Inputs!$B$61),1,0)</f>
        <v/>
      </c>
      <c r="M43" s="7">
        <f>IF(F43+I43+L43&gt;0,1,0)</f>
        <v/>
      </c>
      <c r="N43" s="2">
        <f>Waterfall!P43-Waterfall!B43-Waterfall!J43-Waterfall!L43-Waterfall!N43</f>
        <v/>
      </c>
      <c r="O43" s="9">
        <f>IF(Pool!BK43&lt;=0,0,N43*12/Pool!BK43*10000)</f>
        <v/>
      </c>
      <c r="P43" s="3">
        <f>Pool!BT43/Inputs!$B$49</f>
        <v/>
      </c>
      <c r="Q43" s="2">
        <f>Waterfall!AV43</f>
        <v/>
      </c>
      <c r="R43" s="2">
        <f>Waterfall!BO43</f>
        <v/>
      </c>
    </row>
    <row r="44">
      <c r="A44" s="7" t="n">
        <v>39</v>
      </c>
      <c r="B44" s="2">
        <f>Pool!BV44</f>
        <v/>
      </c>
      <c r="C44" s="2">
        <f>MAX(0,Waterfall!P44-Waterfall!B44)</f>
        <v/>
      </c>
      <c r="D44" s="5">
        <f>IF(Waterfall!AA44&lt;=0.005,999,B44/Waterfall!AA44)</f>
        <v/>
      </c>
      <c r="E44" s="5">
        <f>IF(Waterfall!J44&lt;=0.005,999,C44/Waterfall!J44)</f>
        <v/>
      </c>
      <c r="F44" s="7">
        <f>IF(OR(D44&lt;Inputs!$B$56,E44&lt;Inputs!$B$59),1,0)</f>
        <v/>
      </c>
      <c r="G44" s="5">
        <f>IF((Waterfall!AA44+Waterfall!AB44)&lt;=0.005,999,B44/(Waterfall!AA44+Waterfall!AB44))</f>
        <v/>
      </c>
      <c r="H44" s="5">
        <f>IF((Waterfall!J44+Waterfall!L44)&lt;=0.005,999,C44/(Waterfall!J44+Waterfall!L44))</f>
        <v/>
      </c>
      <c r="I44" s="7">
        <f>IF(OR(G44&lt;Inputs!$B$57,H44&lt;Inputs!$B$60),1,0)</f>
        <v/>
      </c>
      <c r="J44" s="5">
        <f>IF((Waterfall!AA44+Waterfall!AB44+Waterfall!AC44)&lt;=0.005,999,B44/(Waterfall!AA44+Waterfall!AB44+Waterfall!AC44))</f>
        <v/>
      </c>
      <c r="K44" s="5">
        <f>IF((Waterfall!J44+Waterfall!L44+Waterfall!N44)&lt;=0.005,999,C44/(Waterfall!J44+Waterfall!L44+Waterfall!N44))</f>
        <v/>
      </c>
      <c r="L44" s="7">
        <f>IF(OR(J44&lt;Inputs!$B$58,K44&lt;Inputs!$B$61),1,0)</f>
        <v/>
      </c>
      <c r="M44" s="7">
        <f>IF(F44+I44+L44&gt;0,1,0)</f>
        <v/>
      </c>
      <c r="N44" s="2">
        <f>Waterfall!P44-Waterfall!B44-Waterfall!J44-Waterfall!L44-Waterfall!N44</f>
        <v/>
      </c>
      <c r="O44" s="9">
        <f>IF(Pool!BK44&lt;=0,0,N44*12/Pool!BK44*10000)</f>
        <v/>
      </c>
      <c r="P44" s="3">
        <f>Pool!BT44/Inputs!$B$49</f>
        <v/>
      </c>
      <c r="Q44" s="2">
        <f>Waterfall!AV44</f>
        <v/>
      </c>
      <c r="R44" s="2">
        <f>Waterfall!BO44</f>
        <v/>
      </c>
    </row>
    <row r="45">
      <c r="A45" s="7" t="n">
        <v>40</v>
      </c>
      <c r="B45" s="2">
        <f>Pool!BV45</f>
        <v/>
      </c>
      <c r="C45" s="2">
        <f>MAX(0,Waterfall!P45-Waterfall!B45)</f>
        <v/>
      </c>
      <c r="D45" s="5">
        <f>IF(Waterfall!AA45&lt;=0.005,999,B45/Waterfall!AA45)</f>
        <v/>
      </c>
      <c r="E45" s="5">
        <f>IF(Waterfall!J45&lt;=0.005,999,C45/Waterfall!J45)</f>
        <v/>
      </c>
      <c r="F45" s="7">
        <f>IF(OR(D45&lt;Inputs!$B$56,E45&lt;Inputs!$B$59),1,0)</f>
        <v/>
      </c>
      <c r="G45" s="5">
        <f>IF((Waterfall!AA45+Waterfall!AB45)&lt;=0.005,999,B45/(Waterfall!AA45+Waterfall!AB45))</f>
        <v/>
      </c>
      <c r="H45" s="5">
        <f>IF((Waterfall!J45+Waterfall!L45)&lt;=0.005,999,C45/(Waterfall!J45+Waterfall!L45))</f>
        <v/>
      </c>
      <c r="I45" s="7">
        <f>IF(OR(G45&lt;Inputs!$B$57,H45&lt;Inputs!$B$60),1,0)</f>
        <v/>
      </c>
      <c r="J45" s="5">
        <f>IF((Waterfall!AA45+Waterfall!AB45+Waterfall!AC45)&lt;=0.005,999,B45/(Waterfall!AA45+Waterfall!AB45+Waterfall!AC45))</f>
        <v/>
      </c>
      <c r="K45" s="5">
        <f>IF((Waterfall!J45+Waterfall!L45+Waterfall!N45)&lt;=0.005,999,C45/(Waterfall!J45+Waterfall!L45+Waterfall!N45))</f>
        <v/>
      </c>
      <c r="L45" s="7">
        <f>IF(OR(J45&lt;Inputs!$B$58,K45&lt;Inputs!$B$61),1,0)</f>
        <v/>
      </c>
      <c r="M45" s="7">
        <f>IF(F45+I45+L45&gt;0,1,0)</f>
        <v/>
      </c>
      <c r="N45" s="2">
        <f>Waterfall!P45-Waterfall!B45-Waterfall!J45-Waterfall!L45-Waterfall!N45</f>
        <v/>
      </c>
      <c r="O45" s="9">
        <f>IF(Pool!BK45&lt;=0,0,N45*12/Pool!BK45*10000)</f>
        <v/>
      </c>
      <c r="P45" s="3">
        <f>Pool!BT45/Inputs!$B$49</f>
        <v/>
      </c>
      <c r="Q45" s="2">
        <f>Waterfall!AV45</f>
        <v/>
      </c>
      <c r="R45" s="2">
        <f>Waterfall!BO45</f>
        <v/>
      </c>
    </row>
    <row r="46">
      <c r="A46" s="7" t="n">
        <v>41</v>
      </c>
      <c r="B46" s="2">
        <f>Pool!BV46</f>
        <v/>
      </c>
      <c r="C46" s="2">
        <f>MAX(0,Waterfall!P46-Waterfall!B46)</f>
        <v/>
      </c>
      <c r="D46" s="5">
        <f>IF(Waterfall!AA46&lt;=0.005,999,B46/Waterfall!AA46)</f>
        <v/>
      </c>
      <c r="E46" s="5">
        <f>IF(Waterfall!J46&lt;=0.005,999,C46/Waterfall!J46)</f>
        <v/>
      </c>
      <c r="F46" s="7">
        <f>IF(OR(D46&lt;Inputs!$B$56,E46&lt;Inputs!$B$59),1,0)</f>
        <v/>
      </c>
      <c r="G46" s="5">
        <f>IF((Waterfall!AA46+Waterfall!AB46)&lt;=0.005,999,B46/(Waterfall!AA46+Waterfall!AB46))</f>
        <v/>
      </c>
      <c r="H46" s="5">
        <f>IF((Waterfall!J46+Waterfall!L46)&lt;=0.005,999,C46/(Waterfall!J46+Waterfall!L46))</f>
        <v/>
      </c>
      <c r="I46" s="7">
        <f>IF(OR(G46&lt;Inputs!$B$57,H46&lt;Inputs!$B$60),1,0)</f>
        <v/>
      </c>
      <c r="J46" s="5">
        <f>IF((Waterfall!AA46+Waterfall!AB46+Waterfall!AC46)&lt;=0.005,999,B46/(Waterfall!AA46+Waterfall!AB46+Waterfall!AC46))</f>
        <v/>
      </c>
      <c r="K46" s="5">
        <f>IF((Waterfall!J46+Waterfall!L46+Waterfall!N46)&lt;=0.005,999,C46/(Waterfall!J46+Waterfall!L46+Waterfall!N46))</f>
        <v/>
      </c>
      <c r="L46" s="7">
        <f>IF(OR(J46&lt;Inputs!$B$58,K46&lt;Inputs!$B$61),1,0)</f>
        <v/>
      </c>
      <c r="M46" s="7">
        <f>IF(F46+I46+L46&gt;0,1,0)</f>
        <v/>
      </c>
      <c r="N46" s="2">
        <f>Waterfall!P46-Waterfall!B46-Waterfall!J46-Waterfall!L46-Waterfall!N46</f>
        <v/>
      </c>
      <c r="O46" s="9">
        <f>IF(Pool!BK46&lt;=0,0,N46*12/Pool!BK46*10000)</f>
        <v/>
      </c>
      <c r="P46" s="3">
        <f>Pool!BT46/Inputs!$B$49</f>
        <v/>
      </c>
      <c r="Q46" s="2">
        <f>Waterfall!AV46</f>
        <v/>
      </c>
      <c r="R46" s="2">
        <f>Waterfall!BO46</f>
        <v/>
      </c>
    </row>
    <row r="47">
      <c r="A47" s="7" t="n">
        <v>42</v>
      </c>
      <c r="B47" s="2">
        <f>Pool!BV47</f>
        <v/>
      </c>
      <c r="C47" s="2">
        <f>MAX(0,Waterfall!P47-Waterfall!B47)</f>
        <v/>
      </c>
      <c r="D47" s="5">
        <f>IF(Waterfall!AA47&lt;=0.005,999,B47/Waterfall!AA47)</f>
        <v/>
      </c>
      <c r="E47" s="5">
        <f>IF(Waterfall!J47&lt;=0.005,999,C47/Waterfall!J47)</f>
        <v/>
      </c>
      <c r="F47" s="7">
        <f>IF(OR(D47&lt;Inputs!$B$56,E47&lt;Inputs!$B$59),1,0)</f>
        <v/>
      </c>
      <c r="G47" s="5">
        <f>IF((Waterfall!AA47+Waterfall!AB47)&lt;=0.005,999,B47/(Waterfall!AA47+Waterfall!AB47))</f>
        <v/>
      </c>
      <c r="H47" s="5">
        <f>IF((Waterfall!J47+Waterfall!L47)&lt;=0.005,999,C47/(Waterfall!J47+Waterfall!L47))</f>
        <v/>
      </c>
      <c r="I47" s="7">
        <f>IF(OR(G47&lt;Inputs!$B$57,H47&lt;Inputs!$B$60),1,0)</f>
        <v/>
      </c>
      <c r="J47" s="5">
        <f>IF((Waterfall!AA47+Waterfall!AB47+Waterfall!AC47)&lt;=0.005,999,B47/(Waterfall!AA47+Waterfall!AB47+Waterfall!AC47))</f>
        <v/>
      </c>
      <c r="K47" s="5">
        <f>IF((Waterfall!J47+Waterfall!L47+Waterfall!N47)&lt;=0.005,999,C47/(Waterfall!J47+Waterfall!L47+Waterfall!N47))</f>
        <v/>
      </c>
      <c r="L47" s="7">
        <f>IF(OR(J47&lt;Inputs!$B$58,K47&lt;Inputs!$B$61),1,0)</f>
        <v/>
      </c>
      <c r="M47" s="7">
        <f>IF(F47+I47+L47&gt;0,1,0)</f>
        <v/>
      </c>
      <c r="N47" s="2">
        <f>Waterfall!P47-Waterfall!B47-Waterfall!J47-Waterfall!L47-Waterfall!N47</f>
        <v/>
      </c>
      <c r="O47" s="9">
        <f>IF(Pool!BK47&lt;=0,0,N47*12/Pool!BK47*10000)</f>
        <v/>
      </c>
      <c r="P47" s="3">
        <f>Pool!BT47/Inputs!$B$49</f>
        <v/>
      </c>
      <c r="Q47" s="2">
        <f>Waterfall!AV47</f>
        <v/>
      </c>
      <c r="R47" s="2">
        <f>Waterfall!BO47</f>
        <v/>
      </c>
    </row>
    <row r="48">
      <c r="A48" s="7" t="n">
        <v>43</v>
      </c>
      <c r="B48" s="2">
        <f>Pool!BV48</f>
        <v/>
      </c>
      <c r="C48" s="2">
        <f>MAX(0,Waterfall!P48-Waterfall!B48)</f>
        <v/>
      </c>
      <c r="D48" s="5">
        <f>IF(Waterfall!AA48&lt;=0.005,999,B48/Waterfall!AA48)</f>
        <v/>
      </c>
      <c r="E48" s="5">
        <f>IF(Waterfall!J48&lt;=0.005,999,C48/Waterfall!J48)</f>
        <v/>
      </c>
      <c r="F48" s="7">
        <f>IF(OR(D48&lt;Inputs!$B$56,E48&lt;Inputs!$B$59),1,0)</f>
        <v/>
      </c>
      <c r="G48" s="5">
        <f>IF((Waterfall!AA48+Waterfall!AB48)&lt;=0.005,999,B48/(Waterfall!AA48+Waterfall!AB48))</f>
        <v/>
      </c>
      <c r="H48" s="5">
        <f>IF((Waterfall!J48+Waterfall!L48)&lt;=0.005,999,C48/(Waterfall!J48+Waterfall!L48))</f>
        <v/>
      </c>
      <c r="I48" s="7">
        <f>IF(OR(G48&lt;Inputs!$B$57,H48&lt;Inputs!$B$60),1,0)</f>
        <v/>
      </c>
      <c r="J48" s="5">
        <f>IF((Waterfall!AA48+Waterfall!AB48+Waterfall!AC48)&lt;=0.005,999,B48/(Waterfall!AA48+Waterfall!AB48+Waterfall!AC48))</f>
        <v/>
      </c>
      <c r="K48" s="5">
        <f>IF((Waterfall!J48+Waterfall!L48+Waterfall!N48)&lt;=0.005,999,C48/(Waterfall!J48+Waterfall!L48+Waterfall!N48))</f>
        <v/>
      </c>
      <c r="L48" s="7">
        <f>IF(OR(J48&lt;Inputs!$B$58,K48&lt;Inputs!$B$61),1,0)</f>
        <v/>
      </c>
      <c r="M48" s="7">
        <f>IF(F48+I48+L48&gt;0,1,0)</f>
        <v/>
      </c>
      <c r="N48" s="2">
        <f>Waterfall!P48-Waterfall!B48-Waterfall!J48-Waterfall!L48-Waterfall!N48</f>
        <v/>
      </c>
      <c r="O48" s="9">
        <f>IF(Pool!BK48&lt;=0,0,N48*12/Pool!BK48*10000)</f>
        <v/>
      </c>
      <c r="P48" s="3">
        <f>Pool!BT48/Inputs!$B$49</f>
        <v/>
      </c>
      <c r="Q48" s="2">
        <f>Waterfall!AV48</f>
        <v/>
      </c>
      <c r="R48" s="2">
        <f>Waterfall!BO48</f>
        <v/>
      </c>
    </row>
    <row r="49">
      <c r="A49" s="7" t="n">
        <v>44</v>
      </c>
      <c r="B49" s="2">
        <f>Pool!BV49</f>
        <v/>
      </c>
      <c r="C49" s="2">
        <f>MAX(0,Waterfall!P49-Waterfall!B49)</f>
        <v/>
      </c>
      <c r="D49" s="5">
        <f>IF(Waterfall!AA49&lt;=0.005,999,B49/Waterfall!AA49)</f>
        <v/>
      </c>
      <c r="E49" s="5">
        <f>IF(Waterfall!J49&lt;=0.005,999,C49/Waterfall!J49)</f>
        <v/>
      </c>
      <c r="F49" s="7">
        <f>IF(OR(D49&lt;Inputs!$B$56,E49&lt;Inputs!$B$59),1,0)</f>
        <v/>
      </c>
      <c r="G49" s="5">
        <f>IF((Waterfall!AA49+Waterfall!AB49)&lt;=0.005,999,B49/(Waterfall!AA49+Waterfall!AB49))</f>
        <v/>
      </c>
      <c r="H49" s="5">
        <f>IF((Waterfall!J49+Waterfall!L49)&lt;=0.005,999,C49/(Waterfall!J49+Waterfall!L49))</f>
        <v/>
      </c>
      <c r="I49" s="7">
        <f>IF(OR(G49&lt;Inputs!$B$57,H49&lt;Inputs!$B$60),1,0)</f>
        <v/>
      </c>
      <c r="J49" s="5">
        <f>IF((Waterfall!AA49+Waterfall!AB49+Waterfall!AC49)&lt;=0.005,999,B49/(Waterfall!AA49+Waterfall!AB49+Waterfall!AC49))</f>
        <v/>
      </c>
      <c r="K49" s="5">
        <f>IF((Waterfall!J49+Waterfall!L49+Waterfall!N49)&lt;=0.005,999,C49/(Waterfall!J49+Waterfall!L49+Waterfall!N49))</f>
        <v/>
      </c>
      <c r="L49" s="7">
        <f>IF(OR(J49&lt;Inputs!$B$58,K49&lt;Inputs!$B$61),1,0)</f>
        <v/>
      </c>
      <c r="M49" s="7">
        <f>IF(F49+I49+L49&gt;0,1,0)</f>
        <v/>
      </c>
      <c r="N49" s="2">
        <f>Waterfall!P49-Waterfall!B49-Waterfall!J49-Waterfall!L49-Waterfall!N49</f>
        <v/>
      </c>
      <c r="O49" s="9">
        <f>IF(Pool!BK49&lt;=0,0,N49*12/Pool!BK49*10000)</f>
        <v/>
      </c>
      <c r="P49" s="3">
        <f>Pool!BT49/Inputs!$B$49</f>
        <v/>
      </c>
      <c r="Q49" s="2">
        <f>Waterfall!AV49</f>
        <v/>
      </c>
      <c r="R49" s="2">
        <f>Waterfall!BO49</f>
        <v/>
      </c>
    </row>
    <row r="50">
      <c r="A50" s="7" t="n">
        <v>45</v>
      </c>
      <c r="B50" s="2">
        <f>Pool!BV50</f>
        <v/>
      </c>
      <c r="C50" s="2">
        <f>MAX(0,Waterfall!P50-Waterfall!B50)</f>
        <v/>
      </c>
      <c r="D50" s="5">
        <f>IF(Waterfall!AA50&lt;=0.005,999,B50/Waterfall!AA50)</f>
        <v/>
      </c>
      <c r="E50" s="5">
        <f>IF(Waterfall!J50&lt;=0.005,999,C50/Waterfall!J50)</f>
        <v/>
      </c>
      <c r="F50" s="7">
        <f>IF(OR(D50&lt;Inputs!$B$56,E50&lt;Inputs!$B$59),1,0)</f>
        <v/>
      </c>
      <c r="G50" s="5">
        <f>IF((Waterfall!AA50+Waterfall!AB50)&lt;=0.005,999,B50/(Waterfall!AA50+Waterfall!AB50))</f>
        <v/>
      </c>
      <c r="H50" s="5">
        <f>IF((Waterfall!J50+Waterfall!L50)&lt;=0.005,999,C50/(Waterfall!J50+Waterfall!L50))</f>
        <v/>
      </c>
      <c r="I50" s="7">
        <f>IF(OR(G50&lt;Inputs!$B$57,H50&lt;Inputs!$B$60),1,0)</f>
        <v/>
      </c>
      <c r="J50" s="5">
        <f>IF((Waterfall!AA50+Waterfall!AB50+Waterfall!AC50)&lt;=0.005,999,B50/(Waterfall!AA50+Waterfall!AB50+Waterfall!AC50))</f>
        <v/>
      </c>
      <c r="K50" s="5">
        <f>IF((Waterfall!J50+Waterfall!L50+Waterfall!N50)&lt;=0.005,999,C50/(Waterfall!J50+Waterfall!L50+Waterfall!N50))</f>
        <v/>
      </c>
      <c r="L50" s="7">
        <f>IF(OR(J50&lt;Inputs!$B$58,K50&lt;Inputs!$B$61),1,0)</f>
        <v/>
      </c>
      <c r="M50" s="7">
        <f>IF(F50+I50+L50&gt;0,1,0)</f>
        <v/>
      </c>
      <c r="N50" s="2">
        <f>Waterfall!P50-Waterfall!B50-Waterfall!J50-Waterfall!L50-Waterfall!N50</f>
        <v/>
      </c>
      <c r="O50" s="9">
        <f>IF(Pool!BK50&lt;=0,0,N50*12/Pool!BK50*10000)</f>
        <v/>
      </c>
      <c r="P50" s="3">
        <f>Pool!BT50/Inputs!$B$49</f>
        <v/>
      </c>
      <c r="Q50" s="2">
        <f>Waterfall!AV50</f>
        <v/>
      </c>
      <c r="R50" s="2">
        <f>Waterfall!BO50</f>
        <v/>
      </c>
    </row>
    <row r="51">
      <c r="A51" s="7" t="n">
        <v>46</v>
      </c>
      <c r="B51" s="2">
        <f>Pool!BV51</f>
        <v/>
      </c>
      <c r="C51" s="2">
        <f>MAX(0,Waterfall!P51-Waterfall!B51)</f>
        <v/>
      </c>
      <c r="D51" s="5">
        <f>IF(Waterfall!AA51&lt;=0.005,999,B51/Waterfall!AA51)</f>
        <v/>
      </c>
      <c r="E51" s="5">
        <f>IF(Waterfall!J51&lt;=0.005,999,C51/Waterfall!J51)</f>
        <v/>
      </c>
      <c r="F51" s="7">
        <f>IF(OR(D51&lt;Inputs!$B$56,E51&lt;Inputs!$B$59),1,0)</f>
        <v/>
      </c>
      <c r="G51" s="5">
        <f>IF((Waterfall!AA51+Waterfall!AB51)&lt;=0.005,999,B51/(Waterfall!AA51+Waterfall!AB51))</f>
        <v/>
      </c>
      <c r="H51" s="5">
        <f>IF((Waterfall!J51+Waterfall!L51)&lt;=0.005,999,C51/(Waterfall!J51+Waterfall!L51))</f>
        <v/>
      </c>
      <c r="I51" s="7">
        <f>IF(OR(G51&lt;Inputs!$B$57,H51&lt;Inputs!$B$60),1,0)</f>
        <v/>
      </c>
      <c r="J51" s="5">
        <f>IF((Waterfall!AA51+Waterfall!AB51+Waterfall!AC51)&lt;=0.005,999,B51/(Waterfall!AA51+Waterfall!AB51+Waterfall!AC51))</f>
        <v/>
      </c>
      <c r="K51" s="5">
        <f>IF((Waterfall!J51+Waterfall!L51+Waterfall!N51)&lt;=0.005,999,C51/(Waterfall!J51+Waterfall!L51+Waterfall!N51))</f>
        <v/>
      </c>
      <c r="L51" s="7">
        <f>IF(OR(J51&lt;Inputs!$B$58,K51&lt;Inputs!$B$61),1,0)</f>
        <v/>
      </c>
      <c r="M51" s="7">
        <f>IF(F51+I51+L51&gt;0,1,0)</f>
        <v/>
      </c>
      <c r="N51" s="2">
        <f>Waterfall!P51-Waterfall!B51-Waterfall!J51-Waterfall!L51-Waterfall!N51</f>
        <v/>
      </c>
      <c r="O51" s="9">
        <f>IF(Pool!BK51&lt;=0,0,N51*12/Pool!BK51*10000)</f>
        <v/>
      </c>
      <c r="P51" s="3">
        <f>Pool!BT51/Inputs!$B$49</f>
        <v/>
      </c>
      <c r="Q51" s="2">
        <f>Waterfall!AV51</f>
        <v/>
      </c>
      <c r="R51" s="2">
        <f>Waterfall!BO51</f>
        <v/>
      </c>
    </row>
    <row r="52">
      <c r="A52" s="7" t="n">
        <v>47</v>
      </c>
      <c r="B52" s="2">
        <f>Pool!BV52</f>
        <v/>
      </c>
      <c r="C52" s="2">
        <f>MAX(0,Waterfall!P52-Waterfall!B52)</f>
        <v/>
      </c>
      <c r="D52" s="5">
        <f>IF(Waterfall!AA52&lt;=0.005,999,B52/Waterfall!AA52)</f>
        <v/>
      </c>
      <c r="E52" s="5">
        <f>IF(Waterfall!J52&lt;=0.005,999,C52/Waterfall!J52)</f>
        <v/>
      </c>
      <c r="F52" s="7">
        <f>IF(OR(D52&lt;Inputs!$B$56,E52&lt;Inputs!$B$59),1,0)</f>
        <v/>
      </c>
      <c r="G52" s="5">
        <f>IF((Waterfall!AA52+Waterfall!AB52)&lt;=0.005,999,B52/(Waterfall!AA52+Waterfall!AB52))</f>
        <v/>
      </c>
      <c r="H52" s="5">
        <f>IF((Waterfall!J52+Waterfall!L52)&lt;=0.005,999,C52/(Waterfall!J52+Waterfall!L52))</f>
        <v/>
      </c>
      <c r="I52" s="7">
        <f>IF(OR(G52&lt;Inputs!$B$57,H52&lt;Inputs!$B$60),1,0)</f>
        <v/>
      </c>
      <c r="J52" s="5">
        <f>IF((Waterfall!AA52+Waterfall!AB52+Waterfall!AC52)&lt;=0.005,999,B52/(Waterfall!AA52+Waterfall!AB52+Waterfall!AC52))</f>
        <v/>
      </c>
      <c r="K52" s="5">
        <f>IF((Waterfall!J52+Waterfall!L52+Waterfall!N52)&lt;=0.005,999,C52/(Waterfall!J52+Waterfall!L52+Waterfall!N52))</f>
        <v/>
      </c>
      <c r="L52" s="7">
        <f>IF(OR(J52&lt;Inputs!$B$58,K52&lt;Inputs!$B$61),1,0)</f>
        <v/>
      </c>
      <c r="M52" s="7">
        <f>IF(F52+I52+L52&gt;0,1,0)</f>
        <v/>
      </c>
      <c r="N52" s="2">
        <f>Waterfall!P52-Waterfall!B52-Waterfall!J52-Waterfall!L52-Waterfall!N52</f>
        <v/>
      </c>
      <c r="O52" s="9">
        <f>IF(Pool!BK52&lt;=0,0,N52*12/Pool!BK52*10000)</f>
        <v/>
      </c>
      <c r="P52" s="3">
        <f>Pool!BT52/Inputs!$B$49</f>
        <v/>
      </c>
      <c r="Q52" s="2">
        <f>Waterfall!AV52</f>
        <v/>
      </c>
      <c r="R52" s="2">
        <f>Waterfall!BO52</f>
        <v/>
      </c>
    </row>
    <row r="53">
      <c r="A53" s="7" t="n">
        <v>48</v>
      </c>
      <c r="B53" s="2">
        <f>Pool!BV53</f>
        <v/>
      </c>
      <c r="C53" s="2">
        <f>MAX(0,Waterfall!P53-Waterfall!B53)</f>
        <v/>
      </c>
      <c r="D53" s="5">
        <f>IF(Waterfall!AA53&lt;=0.005,999,B53/Waterfall!AA53)</f>
        <v/>
      </c>
      <c r="E53" s="5">
        <f>IF(Waterfall!J53&lt;=0.005,999,C53/Waterfall!J53)</f>
        <v/>
      </c>
      <c r="F53" s="7">
        <f>IF(OR(D53&lt;Inputs!$B$56,E53&lt;Inputs!$B$59),1,0)</f>
        <v/>
      </c>
      <c r="G53" s="5">
        <f>IF((Waterfall!AA53+Waterfall!AB53)&lt;=0.005,999,B53/(Waterfall!AA53+Waterfall!AB53))</f>
        <v/>
      </c>
      <c r="H53" s="5">
        <f>IF((Waterfall!J53+Waterfall!L53)&lt;=0.005,999,C53/(Waterfall!J53+Waterfall!L53))</f>
        <v/>
      </c>
      <c r="I53" s="7">
        <f>IF(OR(G53&lt;Inputs!$B$57,H53&lt;Inputs!$B$60),1,0)</f>
        <v/>
      </c>
      <c r="J53" s="5">
        <f>IF((Waterfall!AA53+Waterfall!AB53+Waterfall!AC53)&lt;=0.005,999,B53/(Waterfall!AA53+Waterfall!AB53+Waterfall!AC53))</f>
        <v/>
      </c>
      <c r="K53" s="5">
        <f>IF((Waterfall!J53+Waterfall!L53+Waterfall!N53)&lt;=0.005,999,C53/(Waterfall!J53+Waterfall!L53+Waterfall!N53))</f>
        <v/>
      </c>
      <c r="L53" s="7">
        <f>IF(OR(J53&lt;Inputs!$B$58,K53&lt;Inputs!$B$61),1,0)</f>
        <v/>
      </c>
      <c r="M53" s="7">
        <f>IF(F53+I53+L53&gt;0,1,0)</f>
        <v/>
      </c>
      <c r="N53" s="2">
        <f>Waterfall!P53-Waterfall!B53-Waterfall!J53-Waterfall!L53-Waterfall!N53</f>
        <v/>
      </c>
      <c r="O53" s="9">
        <f>IF(Pool!BK53&lt;=0,0,N53*12/Pool!BK53*10000)</f>
        <v/>
      </c>
      <c r="P53" s="3">
        <f>Pool!BT53/Inputs!$B$49</f>
        <v/>
      </c>
      <c r="Q53" s="2">
        <f>Waterfall!AV53</f>
        <v/>
      </c>
      <c r="R53" s="2">
        <f>Waterfall!BO53</f>
        <v/>
      </c>
    </row>
    <row r="54">
      <c r="A54" s="7" t="n">
        <v>49</v>
      </c>
      <c r="B54" s="2">
        <f>Pool!BV54</f>
        <v/>
      </c>
      <c r="C54" s="2">
        <f>MAX(0,Waterfall!P54-Waterfall!B54)</f>
        <v/>
      </c>
      <c r="D54" s="5">
        <f>IF(Waterfall!AA54&lt;=0.005,999,B54/Waterfall!AA54)</f>
        <v/>
      </c>
      <c r="E54" s="5">
        <f>IF(Waterfall!J54&lt;=0.005,999,C54/Waterfall!J54)</f>
        <v/>
      </c>
      <c r="F54" s="7">
        <f>IF(OR(D54&lt;Inputs!$B$56,E54&lt;Inputs!$B$59),1,0)</f>
        <v/>
      </c>
      <c r="G54" s="5">
        <f>IF((Waterfall!AA54+Waterfall!AB54)&lt;=0.005,999,B54/(Waterfall!AA54+Waterfall!AB54))</f>
        <v/>
      </c>
      <c r="H54" s="5">
        <f>IF((Waterfall!J54+Waterfall!L54)&lt;=0.005,999,C54/(Waterfall!J54+Waterfall!L54))</f>
        <v/>
      </c>
      <c r="I54" s="7">
        <f>IF(OR(G54&lt;Inputs!$B$57,H54&lt;Inputs!$B$60),1,0)</f>
        <v/>
      </c>
      <c r="J54" s="5">
        <f>IF((Waterfall!AA54+Waterfall!AB54+Waterfall!AC54)&lt;=0.005,999,B54/(Waterfall!AA54+Waterfall!AB54+Waterfall!AC54))</f>
        <v/>
      </c>
      <c r="K54" s="5">
        <f>IF((Waterfall!J54+Waterfall!L54+Waterfall!N54)&lt;=0.005,999,C54/(Waterfall!J54+Waterfall!L54+Waterfall!N54))</f>
        <v/>
      </c>
      <c r="L54" s="7">
        <f>IF(OR(J54&lt;Inputs!$B$58,K54&lt;Inputs!$B$61),1,0)</f>
        <v/>
      </c>
      <c r="M54" s="7">
        <f>IF(F54+I54+L54&gt;0,1,0)</f>
        <v/>
      </c>
      <c r="N54" s="2">
        <f>Waterfall!P54-Waterfall!B54-Waterfall!J54-Waterfall!L54-Waterfall!N54</f>
        <v/>
      </c>
      <c r="O54" s="9">
        <f>IF(Pool!BK54&lt;=0,0,N54*12/Pool!BK54*10000)</f>
        <v/>
      </c>
      <c r="P54" s="3">
        <f>Pool!BT54/Inputs!$B$49</f>
        <v/>
      </c>
      <c r="Q54" s="2">
        <f>Waterfall!AV54</f>
        <v/>
      </c>
      <c r="R54" s="2">
        <f>Waterfall!BO54</f>
        <v/>
      </c>
    </row>
    <row r="55">
      <c r="A55" s="7" t="n">
        <v>50</v>
      </c>
      <c r="B55" s="2">
        <f>Pool!BV55</f>
        <v/>
      </c>
      <c r="C55" s="2">
        <f>MAX(0,Waterfall!P55-Waterfall!B55)</f>
        <v/>
      </c>
      <c r="D55" s="5">
        <f>IF(Waterfall!AA55&lt;=0.005,999,B55/Waterfall!AA55)</f>
        <v/>
      </c>
      <c r="E55" s="5">
        <f>IF(Waterfall!J55&lt;=0.005,999,C55/Waterfall!J55)</f>
        <v/>
      </c>
      <c r="F55" s="7">
        <f>IF(OR(D55&lt;Inputs!$B$56,E55&lt;Inputs!$B$59),1,0)</f>
        <v/>
      </c>
      <c r="G55" s="5">
        <f>IF((Waterfall!AA55+Waterfall!AB55)&lt;=0.005,999,B55/(Waterfall!AA55+Waterfall!AB55))</f>
        <v/>
      </c>
      <c r="H55" s="5">
        <f>IF((Waterfall!J55+Waterfall!L55)&lt;=0.005,999,C55/(Waterfall!J55+Waterfall!L55))</f>
        <v/>
      </c>
      <c r="I55" s="7">
        <f>IF(OR(G55&lt;Inputs!$B$57,H55&lt;Inputs!$B$60),1,0)</f>
        <v/>
      </c>
      <c r="J55" s="5">
        <f>IF((Waterfall!AA55+Waterfall!AB55+Waterfall!AC55)&lt;=0.005,999,B55/(Waterfall!AA55+Waterfall!AB55+Waterfall!AC55))</f>
        <v/>
      </c>
      <c r="K55" s="5">
        <f>IF((Waterfall!J55+Waterfall!L55+Waterfall!N55)&lt;=0.005,999,C55/(Waterfall!J55+Waterfall!L55+Waterfall!N55))</f>
        <v/>
      </c>
      <c r="L55" s="7">
        <f>IF(OR(J55&lt;Inputs!$B$58,K55&lt;Inputs!$B$61),1,0)</f>
        <v/>
      </c>
      <c r="M55" s="7">
        <f>IF(F55+I55+L55&gt;0,1,0)</f>
        <v/>
      </c>
      <c r="N55" s="2">
        <f>Waterfall!P55-Waterfall!B55-Waterfall!J55-Waterfall!L55-Waterfall!N55</f>
        <v/>
      </c>
      <c r="O55" s="9">
        <f>IF(Pool!BK55&lt;=0,0,N55*12/Pool!BK55*10000)</f>
        <v/>
      </c>
      <c r="P55" s="3">
        <f>Pool!BT55/Inputs!$B$49</f>
        <v/>
      </c>
      <c r="Q55" s="2">
        <f>Waterfall!AV55</f>
        <v/>
      </c>
      <c r="R55" s="2">
        <f>Waterfall!BO55</f>
        <v/>
      </c>
    </row>
    <row r="56">
      <c r="A56" s="7" t="n">
        <v>51</v>
      </c>
      <c r="B56" s="2">
        <f>Pool!BV56</f>
        <v/>
      </c>
      <c r="C56" s="2">
        <f>MAX(0,Waterfall!P56-Waterfall!B56)</f>
        <v/>
      </c>
      <c r="D56" s="5">
        <f>IF(Waterfall!AA56&lt;=0.005,999,B56/Waterfall!AA56)</f>
        <v/>
      </c>
      <c r="E56" s="5">
        <f>IF(Waterfall!J56&lt;=0.005,999,C56/Waterfall!J56)</f>
        <v/>
      </c>
      <c r="F56" s="7">
        <f>IF(OR(D56&lt;Inputs!$B$56,E56&lt;Inputs!$B$59),1,0)</f>
        <v/>
      </c>
      <c r="G56" s="5">
        <f>IF((Waterfall!AA56+Waterfall!AB56)&lt;=0.005,999,B56/(Waterfall!AA56+Waterfall!AB56))</f>
        <v/>
      </c>
      <c r="H56" s="5">
        <f>IF((Waterfall!J56+Waterfall!L56)&lt;=0.005,999,C56/(Waterfall!J56+Waterfall!L56))</f>
        <v/>
      </c>
      <c r="I56" s="7">
        <f>IF(OR(G56&lt;Inputs!$B$57,H56&lt;Inputs!$B$60),1,0)</f>
        <v/>
      </c>
      <c r="J56" s="5">
        <f>IF((Waterfall!AA56+Waterfall!AB56+Waterfall!AC56)&lt;=0.005,999,B56/(Waterfall!AA56+Waterfall!AB56+Waterfall!AC56))</f>
        <v/>
      </c>
      <c r="K56" s="5">
        <f>IF((Waterfall!J56+Waterfall!L56+Waterfall!N56)&lt;=0.005,999,C56/(Waterfall!J56+Waterfall!L56+Waterfall!N56))</f>
        <v/>
      </c>
      <c r="L56" s="7">
        <f>IF(OR(J56&lt;Inputs!$B$58,K56&lt;Inputs!$B$61),1,0)</f>
        <v/>
      </c>
      <c r="M56" s="7">
        <f>IF(F56+I56+L56&gt;0,1,0)</f>
        <v/>
      </c>
      <c r="N56" s="2">
        <f>Waterfall!P56-Waterfall!B56-Waterfall!J56-Waterfall!L56-Waterfall!N56</f>
        <v/>
      </c>
      <c r="O56" s="9">
        <f>IF(Pool!BK56&lt;=0,0,N56*12/Pool!BK56*10000)</f>
        <v/>
      </c>
      <c r="P56" s="3">
        <f>Pool!BT56/Inputs!$B$49</f>
        <v/>
      </c>
      <c r="Q56" s="2">
        <f>Waterfall!AV56</f>
        <v/>
      </c>
      <c r="R56" s="2">
        <f>Waterfall!BO56</f>
        <v/>
      </c>
    </row>
    <row r="57">
      <c r="A57" s="7" t="n">
        <v>52</v>
      </c>
      <c r="B57" s="2">
        <f>Pool!BV57</f>
        <v/>
      </c>
      <c r="C57" s="2">
        <f>MAX(0,Waterfall!P57-Waterfall!B57)</f>
        <v/>
      </c>
      <c r="D57" s="5">
        <f>IF(Waterfall!AA57&lt;=0.005,999,B57/Waterfall!AA57)</f>
        <v/>
      </c>
      <c r="E57" s="5">
        <f>IF(Waterfall!J57&lt;=0.005,999,C57/Waterfall!J57)</f>
        <v/>
      </c>
      <c r="F57" s="7">
        <f>IF(OR(D57&lt;Inputs!$B$56,E57&lt;Inputs!$B$59),1,0)</f>
        <v/>
      </c>
      <c r="G57" s="5">
        <f>IF((Waterfall!AA57+Waterfall!AB57)&lt;=0.005,999,B57/(Waterfall!AA57+Waterfall!AB57))</f>
        <v/>
      </c>
      <c r="H57" s="5">
        <f>IF((Waterfall!J57+Waterfall!L57)&lt;=0.005,999,C57/(Waterfall!J57+Waterfall!L57))</f>
        <v/>
      </c>
      <c r="I57" s="7">
        <f>IF(OR(G57&lt;Inputs!$B$57,H57&lt;Inputs!$B$60),1,0)</f>
        <v/>
      </c>
      <c r="J57" s="5">
        <f>IF((Waterfall!AA57+Waterfall!AB57+Waterfall!AC57)&lt;=0.005,999,B57/(Waterfall!AA57+Waterfall!AB57+Waterfall!AC57))</f>
        <v/>
      </c>
      <c r="K57" s="5">
        <f>IF((Waterfall!J57+Waterfall!L57+Waterfall!N57)&lt;=0.005,999,C57/(Waterfall!J57+Waterfall!L57+Waterfall!N57))</f>
        <v/>
      </c>
      <c r="L57" s="7">
        <f>IF(OR(J57&lt;Inputs!$B$58,K57&lt;Inputs!$B$61),1,0)</f>
        <v/>
      </c>
      <c r="M57" s="7">
        <f>IF(F57+I57+L57&gt;0,1,0)</f>
        <v/>
      </c>
      <c r="N57" s="2">
        <f>Waterfall!P57-Waterfall!B57-Waterfall!J57-Waterfall!L57-Waterfall!N57</f>
        <v/>
      </c>
      <c r="O57" s="9">
        <f>IF(Pool!BK57&lt;=0,0,N57*12/Pool!BK57*10000)</f>
        <v/>
      </c>
      <c r="P57" s="3">
        <f>Pool!BT57/Inputs!$B$49</f>
        <v/>
      </c>
      <c r="Q57" s="2">
        <f>Waterfall!AV57</f>
        <v/>
      </c>
      <c r="R57" s="2">
        <f>Waterfall!BO57</f>
        <v/>
      </c>
    </row>
    <row r="58">
      <c r="A58" s="7" t="n">
        <v>53</v>
      </c>
      <c r="B58" s="2">
        <f>Pool!BV58</f>
        <v/>
      </c>
      <c r="C58" s="2">
        <f>MAX(0,Waterfall!P58-Waterfall!B58)</f>
        <v/>
      </c>
      <c r="D58" s="5">
        <f>IF(Waterfall!AA58&lt;=0.005,999,B58/Waterfall!AA58)</f>
        <v/>
      </c>
      <c r="E58" s="5">
        <f>IF(Waterfall!J58&lt;=0.005,999,C58/Waterfall!J58)</f>
        <v/>
      </c>
      <c r="F58" s="7">
        <f>IF(OR(D58&lt;Inputs!$B$56,E58&lt;Inputs!$B$59),1,0)</f>
        <v/>
      </c>
      <c r="G58" s="5">
        <f>IF((Waterfall!AA58+Waterfall!AB58)&lt;=0.005,999,B58/(Waterfall!AA58+Waterfall!AB58))</f>
        <v/>
      </c>
      <c r="H58" s="5">
        <f>IF((Waterfall!J58+Waterfall!L58)&lt;=0.005,999,C58/(Waterfall!J58+Waterfall!L58))</f>
        <v/>
      </c>
      <c r="I58" s="7">
        <f>IF(OR(G58&lt;Inputs!$B$57,H58&lt;Inputs!$B$60),1,0)</f>
        <v/>
      </c>
      <c r="J58" s="5">
        <f>IF((Waterfall!AA58+Waterfall!AB58+Waterfall!AC58)&lt;=0.005,999,B58/(Waterfall!AA58+Waterfall!AB58+Waterfall!AC58))</f>
        <v/>
      </c>
      <c r="K58" s="5">
        <f>IF((Waterfall!J58+Waterfall!L58+Waterfall!N58)&lt;=0.005,999,C58/(Waterfall!J58+Waterfall!L58+Waterfall!N58))</f>
        <v/>
      </c>
      <c r="L58" s="7">
        <f>IF(OR(J58&lt;Inputs!$B$58,K58&lt;Inputs!$B$61),1,0)</f>
        <v/>
      </c>
      <c r="M58" s="7">
        <f>IF(F58+I58+L58&gt;0,1,0)</f>
        <v/>
      </c>
      <c r="N58" s="2">
        <f>Waterfall!P58-Waterfall!B58-Waterfall!J58-Waterfall!L58-Waterfall!N58</f>
        <v/>
      </c>
      <c r="O58" s="9">
        <f>IF(Pool!BK58&lt;=0,0,N58*12/Pool!BK58*10000)</f>
        <v/>
      </c>
      <c r="P58" s="3">
        <f>Pool!BT58/Inputs!$B$49</f>
        <v/>
      </c>
      <c r="Q58" s="2">
        <f>Waterfall!AV58</f>
        <v/>
      </c>
      <c r="R58" s="2">
        <f>Waterfall!BO58</f>
        <v/>
      </c>
    </row>
    <row r="59">
      <c r="A59" s="7" t="n">
        <v>54</v>
      </c>
      <c r="B59" s="2">
        <f>Pool!BV59</f>
        <v/>
      </c>
      <c r="C59" s="2">
        <f>MAX(0,Waterfall!P59-Waterfall!B59)</f>
        <v/>
      </c>
      <c r="D59" s="5">
        <f>IF(Waterfall!AA59&lt;=0.005,999,B59/Waterfall!AA59)</f>
        <v/>
      </c>
      <c r="E59" s="5">
        <f>IF(Waterfall!J59&lt;=0.005,999,C59/Waterfall!J59)</f>
        <v/>
      </c>
      <c r="F59" s="7">
        <f>IF(OR(D59&lt;Inputs!$B$56,E59&lt;Inputs!$B$59),1,0)</f>
        <v/>
      </c>
      <c r="G59" s="5">
        <f>IF((Waterfall!AA59+Waterfall!AB59)&lt;=0.005,999,B59/(Waterfall!AA59+Waterfall!AB59))</f>
        <v/>
      </c>
      <c r="H59" s="5">
        <f>IF((Waterfall!J59+Waterfall!L59)&lt;=0.005,999,C59/(Waterfall!J59+Waterfall!L59))</f>
        <v/>
      </c>
      <c r="I59" s="7">
        <f>IF(OR(G59&lt;Inputs!$B$57,H59&lt;Inputs!$B$60),1,0)</f>
        <v/>
      </c>
      <c r="J59" s="5">
        <f>IF((Waterfall!AA59+Waterfall!AB59+Waterfall!AC59)&lt;=0.005,999,B59/(Waterfall!AA59+Waterfall!AB59+Waterfall!AC59))</f>
        <v/>
      </c>
      <c r="K59" s="5">
        <f>IF((Waterfall!J59+Waterfall!L59+Waterfall!N59)&lt;=0.005,999,C59/(Waterfall!J59+Waterfall!L59+Waterfall!N59))</f>
        <v/>
      </c>
      <c r="L59" s="7">
        <f>IF(OR(J59&lt;Inputs!$B$58,K59&lt;Inputs!$B$61),1,0)</f>
        <v/>
      </c>
      <c r="M59" s="7">
        <f>IF(F59+I59+L59&gt;0,1,0)</f>
        <v/>
      </c>
      <c r="N59" s="2">
        <f>Waterfall!P59-Waterfall!B59-Waterfall!J59-Waterfall!L59-Waterfall!N59</f>
        <v/>
      </c>
      <c r="O59" s="9">
        <f>IF(Pool!BK59&lt;=0,0,N59*12/Pool!BK59*10000)</f>
        <v/>
      </c>
      <c r="P59" s="3">
        <f>Pool!BT59/Inputs!$B$49</f>
        <v/>
      </c>
      <c r="Q59" s="2">
        <f>Waterfall!AV59</f>
        <v/>
      </c>
      <c r="R59" s="2">
        <f>Waterfall!BO59</f>
        <v/>
      </c>
    </row>
    <row r="60">
      <c r="A60" s="7" t="n">
        <v>55</v>
      </c>
      <c r="B60" s="2">
        <f>Pool!BV60</f>
        <v/>
      </c>
      <c r="C60" s="2">
        <f>MAX(0,Waterfall!P60-Waterfall!B60)</f>
        <v/>
      </c>
      <c r="D60" s="5">
        <f>IF(Waterfall!AA60&lt;=0.005,999,B60/Waterfall!AA60)</f>
        <v/>
      </c>
      <c r="E60" s="5">
        <f>IF(Waterfall!J60&lt;=0.005,999,C60/Waterfall!J60)</f>
        <v/>
      </c>
      <c r="F60" s="7">
        <f>IF(OR(D60&lt;Inputs!$B$56,E60&lt;Inputs!$B$59),1,0)</f>
        <v/>
      </c>
      <c r="G60" s="5">
        <f>IF((Waterfall!AA60+Waterfall!AB60)&lt;=0.005,999,B60/(Waterfall!AA60+Waterfall!AB60))</f>
        <v/>
      </c>
      <c r="H60" s="5">
        <f>IF((Waterfall!J60+Waterfall!L60)&lt;=0.005,999,C60/(Waterfall!J60+Waterfall!L60))</f>
        <v/>
      </c>
      <c r="I60" s="7">
        <f>IF(OR(G60&lt;Inputs!$B$57,H60&lt;Inputs!$B$60),1,0)</f>
        <v/>
      </c>
      <c r="J60" s="5">
        <f>IF((Waterfall!AA60+Waterfall!AB60+Waterfall!AC60)&lt;=0.005,999,B60/(Waterfall!AA60+Waterfall!AB60+Waterfall!AC60))</f>
        <v/>
      </c>
      <c r="K60" s="5">
        <f>IF((Waterfall!J60+Waterfall!L60+Waterfall!N60)&lt;=0.005,999,C60/(Waterfall!J60+Waterfall!L60+Waterfall!N60))</f>
        <v/>
      </c>
      <c r="L60" s="7">
        <f>IF(OR(J60&lt;Inputs!$B$58,K60&lt;Inputs!$B$61),1,0)</f>
        <v/>
      </c>
      <c r="M60" s="7">
        <f>IF(F60+I60+L60&gt;0,1,0)</f>
        <v/>
      </c>
      <c r="N60" s="2">
        <f>Waterfall!P60-Waterfall!B60-Waterfall!J60-Waterfall!L60-Waterfall!N60</f>
        <v/>
      </c>
      <c r="O60" s="9">
        <f>IF(Pool!BK60&lt;=0,0,N60*12/Pool!BK60*10000)</f>
        <v/>
      </c>
      <c r="P60" s="3">
        <f>Pool!BT60/Inputs!$B$49</f>
        <v/>
      </c>
      <c r="Q60" s="2">
        <f>Waterfall!AV60</f>
        <v/>
      </c>
      <c r="R60" s="2">
        <f>Waterfall!BO60</f>
        <v/>
      </c>
    </row>
    <row r="61">
      <c r="A61" s="7" t="n">
        <v>56</v>
      </c>
      <c r="B61" s="2">
        <f>Pool!BV61</f>
        <v/>
      </c>
      <c r="C61" s="2">
        <f>MAX(0,Waterfall!P61-Waterfall!B61)</f>
        <v/>
      </c>
      <c r="D61" s="5">
        <f>IF(Waterfall!AA61&lt;=0.005,999,B61/Waterfall!AA61)</f>
        <v/>
      </c>
      <c r="E61" s="5">
        <f>IF(Waterfall!J61&lt;=0.005,999,C61/Waterfall!J61)</f>
        <v/>
      </c>
      <c r="F61" s="7">
        <f>IF(OR(D61&lt;Inputs!$B$56,E61&lt;Inputs!$B$59),1,0)</f>
        <v/>
      </c>
      <c r="G61" s="5">
        <f>IF((Waterfall!AA61+Waterfall!AB61)&lt;=0.005,999,B61/(Waterfall!AA61+Waterfall!AB61))</f>
        <v/>
      </c>
      <c r="H61" s="5">
        <f>IF((Waterfall!J61+Waterfall!L61)&lt;=0.005,999,C61/(Waterfall!J61+Waterfall!L61))</f>
        <v/>
      </c>
      <c r="I61" s="7">
        <f>IF(OR(G61&lt;Inputs!$B$57,H61&lt;Inputs!$B$60),1,0)</f>
        <v/>
      </c>
      <c r="J61" s="5">
        <f>IF((Waterfall!AA61+Waterfall!AB61+Waterfall!AC61)&lt;=0.005,999,B61/(Waterfall!AA61+Waterfall!AB61+Waterfall!AC61))</f>
        <v/>
      </c>
      <c r="K61" s="5">
        <f>IF((Waterfall!J61+Waterfall!L61+Waterfall!N61)&lt;=0.005,999,C61/(Waterfall!J61+Waterfall!L61+Waterfall!N61))</f>
        <v/>
      </c>
      <c r="L61" s="7">
        <f>IF(OR(J61&lt;Inputs!$B$58,K61&lt;Inputs!$B$61),1,0)</f>
        <v/>
      </c>
      <c r="M61" s="7">
        <f>IF(F61+I61+L61&gt;0,1,0)</f>
        <v/>
      </c>
      <c r="N61" s="2">
        <f>Waterfall!P61-Waterfall!B61-Waterfall!J61-Waterfall!L61-Waterfall!N61</f>
        <v/>
      </c>
      <c r="O61" s="9">
        <f>IF(Pool!BK61&lt;=0,0,N61*12/Pool!BK61*10000)</f>
        <v/>
      </c>
      <c r="P61" s="3">
        <f>Pool!BT61/Inputs!$B$49</f>
        <v/>
      </c>
      <c r="Q61" s="2">
        <f>Waterfall!AV61</f>
        <v/>
      </c>
      <c r="R61" s="2">
        <f>Waterfall!BO61</f>
        <v/>
      </c>
    </row>
    <row r="62">
      <c r="A62" s="7" t="n">
        <v>57</v>
      </c>
      <c r="B62" s="2">
        <f>Pool!BV62</f>
        <v/>
      </c>
      <c r="C62" s="2">
        <f>MAX(0,Waterfall!P62-Waterfall!B62)</f>
        <v/>
      </c>
      <c r="D62" s="5">
        <f>IF(Waterfall!AA62&lt;=0.005,999,B62/Waterfall!AA62)</f>
        <v/>
      </c>
      <c r="E62" s="5">
        <f>IF(Waterfall!J62&lt;=0.005,999,C62/Waterfall!J62)</f>
        <v/>
      </c>
      <c r="F62" s="7">
        <f>IF(OR(D62&lt;Inputs!$B$56,E62&lt;Inputs!$B$59),1,0)</f>
        <v/>
      </c>
      <c r="G62" s="5">
        <f>IF((Waterfall!AA62+Waterfall!AB62)&lt;=0.005,999,B62/(Waterfall!AA62+Waterfall!AB62))</f>
        <v/>
      </c>
      <c r="H62" s="5">
        <f>IF((Waterfall!J62+Waterfall!L62)&lt;=0.005,999,C62/(Waterfall!J62+Waterfall!L62))</f>
        <v/>
      </c>
      <c r="I62" s="7">
        <f>IF(OR(G62&lt;Inputs!$B$57,H62&lt;Inputs!$B$60),1,0)</f>
        <v/>
      </c>
      <c r="J62" s="5">
        <f>IF((Waterfall!AA62+Waterfall!AB62+Waterfall!AC62)&lt;=0.005,999,B62/(Waterfall!AA62+Waterfall!AB62+Waterfall!AC62))</f>
        <v/>
      </c>
      <c r="K62" s="5">
        <f>IF((Waterfall!J62+Waterfall!L62+Waterfall!N62)&lt;=0.005,999,C62/(Waterfall!J62+Waterfall!L62+Waterfall!N62))</f>
        <v/>
      </c>
      <c r="L62" s="7">
        <f>IF(OR(J62&lt;Inputs!$B$58,K62&lt;Inputs!$B$61),1,0)</f>
        <v/>
      </c>
      <c r="M62" s="7">
        <f>IF(F62+I62+L62&gt;0,1,0)</f>
        <v/>
      </c>
      <c r="N62" s="2">
        <f>Waterfall!P62-Waterfall!B62-Waterfall!J62-Waterfall!L62-Waterfall!N62</f>
        <v/>
      </c>
      <c r="O62" s="9">
        <f>IF(Pool!BK62&lt;=0,0,N62*12/Pool!BK62*10000)</f>
        <v/>
      </c>
      <c r="P62" s="3">
        <f>Pool!BT62/Inputs!$B$49</f>
        <v/>
      </c>
      <c r="Q62" s="2">
        <f>Waterfall!AV62</f>
        <v/>
      </c>
      <c r="R62" s="2">
        <f>Waterfall!BO62</f>
        <v/>
      </c>
    </row>
    <row r="63">
      <c r="A63" s="7" t="n">
        <v>58</v>
      </c>
      <c r="B63" s="2">
        <f>Pool!BV63</f>
        <v/>
      </c>
      <c r="C63" s="2">
        <f>MAX(0,Waterfall!P63-Waterfall!B63)</f>
        <v/>
      </c>
      <c r="D63" s="5">
        <f>IF(Waterfall!AA63&lt;=0.005,999,B63/Waterfall!AA63)</f>
        <v/>
      </c>
      <c r="E63" s="5">
        <f>IF(Waterfall!J63&lt;=0.005,999,C63/Waterfall!J63)</f>
        <v/>
      </c>
      <c r="F63" s="7">
        <f>IF(OR(D63&lt;Inputs!$B$56,E63&lt;Inputs!$B$59),1,0)</f>
        <v/>
      </c>
      <c r="G63" s="5">
        <f>IF((Waterfall!AA63+Waterfall!AB63)&lt;=0.005,999,B63/(Waterfall!AA63+Waterfall!AB63))</f>
        <v/>
      </c>
      <c r="H63" s="5">
        <f>IF((Waterfall!J63+Waterfall!L63)&lt;=0.005,999,C63/(Waterfall!J63+Waterfall!L63))</f>
        <v/>
      </c>
      <c r="I63" s="7">
        <f>IF(OR(G63&lt;Inputs!$B$57,H63&lt;Inputs!$B$60),1,0)</f>
        <v/>
      </c>
      <c r="J63" s="5">
        <f>IF((Waterfall!AA63+Waterfall!AB63+Waterfall!AC63)&lt;=0.005,999,B63/(Waterfall!AA63+Waterfall!AB63+Waterfall!AC63))</f>
        <v/>
      </c>
      <c r="K63" s="5">
        <f>IF((Waterfall!J63+Waterfall!L63+Waterfall!N63)&lt;=0.005,999,C63/(Waterfall!J63+Waterfall!L63+Waterfall!N63))</f>
        <v/>
      </c>
      <c r="L63" s="7">
        <f>IF(OR(J63&lt;Inputs!$B$58,K63&lt;Inputs!$B$61),1,0)</f>
        <v/>
      </c>
      <c r="M63" s="7">
        <f>IF(F63+I63+L63&gt;0,1,0)</f>
        <v/>
      </c>
      <c r="N63" s="2">
        <f>Waterfall!P63-Waterfall!B63-Waterfall!J63-Waterfall!L63-Waterfall!N63</f>
        <v/>
      </c>
      <c r="O63" s="9">
        <f>IF(Pool!BK63&lt;=0,0,N63*12/Pool!BK63*10000)</f>
        <v/>
      </c>
      <c r="P63" s="3">
        <f>Pool!BT63/Inputs!$B$49</f>
        <v/>
      </c>
      <c r="Q63" s="2">
        <f>Waterfall!AV63</f>
        <v/>
      </c>
      <c r="R63" s="2">
        <f>Waterfall!BO63</f>
        <v/>
      </c>
    </row>
    <row r="64">
      <c r="A64" s="7" t="n">
        <v>59</v>
      </c>
      <c r="B64" s="2">
        <f>Pool!BV64</f>
        <v/>
      </c>
      <c r="C64" s="2">
        <f>MAX(0,Waterfall!P64-Waterfall!B64)</f>
        <v/>
      </c>
      <c r="D64" s="5">
        <f>IF(Waterfall!AA64&lt;=0.005,999,B64/Waterfall!AA64)</f>
        <v/>
      </c>
      <c r="E64" s="5">
        <f>IF(Waterfall!J64&lt;=0.005,999,C64/Waterfall!J64)</f>
        <v/>
      </c>
      <c r="F64" s="7">
        <f>IF(OR(D64&lt;Inputs!$B$56,E64&lt;Inputs!$B$59),1,0)</f>
        <v/>
      </c>
      <c r="G64" s="5">
        <f>IF((Waterfall!AA64+Waterfall!AB64)&lt;=0.005,999,B64/(Waterfall!AA64+Waterfall!AB64))</f>
        <v/>
      </c>
      <c r="H64" s="5">
        <f>IF((Waterfall!J64+Waterfall!L64)&lt;=0.005,999,C64/(Waterfall!J64+Waterfall!L64))</f>
        <v/>
      </c>
      <c r="I64" s="7">
        <f>IF(OR(G64&lt;Inputs!$B$57,H64&lt;Inputs!$B$60),1,0)</f>
        <v/>
      </c>
      <c r="J64" s="5">
        <f>IF((Waterfall!AA64+Waterfall!AB64+Waterfall!AC64)&lt;=0.005,999,B64/(Waterfall!AA64+Waterfall!AB64+Waterfall!AC64))</f>
        <v/>
      </c>
      <c r="K64" s="5">
        <f>IF((Waterfall!J64+Waterfall!L64+Waterfall!N64)&lt;=0.005,999,C64/(Waterfall!J64+Waterfall!L64+Waterfall!N64))</f>
        <v/>
      </c>
      <c r="L64" s="7">
        <f>IF(OR(J64&lt;Inputs!$B$58,K64&lt;Inputs!$B$61),1,0)</f>
        <v/>
      </c>
      <c r="M64" s="7">
        <f>IF(F64+I64+L64&gt;0,1,0)</f>
        <v/>
      </c>
      <c r="N64" s="2">
        <f>Waterfall!P64-Waterfall!B64-Waterfall!J64-Waterfall!L64-Waterfall!N64</f>
        <v/>
      </c>
      <c r="O64" s="9">
        <f>IF(Pool!BK64&lt;=0,0,N64*12/Pool!BK64*10000)</f>
        <v/>
      </c>
      <c r="P64" s="3">
        <f>Pool!BT64/Inputs!$B$49</f>
        <v/>
      </c>
      <c r="Q64" s="2">
        <f>Waterfall!AV64</f>
        <v/>
      </c>
      <c r="R64" s="2">
        <f>Waterfall!BO64</f>
        <v/>
      </c>
    </row>
    <row r="65">
      <c r="A65" s="7" t="n">
        <v>60</v>
      </c>
      <c r="B65" s="2">
        <f>Pool!BV65</f>
        <v/>
      </c>
      <c r="C65" s="2">
        <f>MAX(0,Waterfall!P65-Waterfall!B65)</f>
        <v/>
      </c>
      <c r="D65" s="5">
        <f>IF(Waterfall!AA65&lt;=0.005,999,B65/Waterfall!AA65)</f>
        <v/>
      </c>
      <c r="E65" s="5">
        <f>IF(Waterfall!J65&lt;=0.005,999,C65/Waterfall!J65)</f>
        <v/>
      </c>
      <c r="F65" s="7">
        <f>IF(OR(D65&lt;Inputs!$B$56,E65&lt;Inputs!$B$59),1,0)</f>
        <v/>
      </c>
      <c r="G65" s="5">
        <f>IF((Waterfall!AA65+Waterfall!AB65)&lt;=0.005,999,B65/(Waterfall!AA65+Waterfall!AB65))</f>
        <v/>
      </c>
      <c r="H65" s="5">
        <f>IF((Waterfall!J65+Waterfall!L65)&lt;=0.005,999,C65/(Waterfall!J65+Waterfall!L65))</f>
        <v/>
      </c>
      <c r="I65" s="7">
        <f>IF(OR(G65&lt;Inputs!$B$57,H65&lt;Inputs!$B$60),1,0)</f>
        <v/>
      </c>
      <c r="J65" s="5">
        <f>IF((Waterfall!AA65+Waterfall!AB65+Waterfall!AC65)&lt;=0.005,999,B65/(Waterfall!AA65+Waterfall!AB65+Waterfall!AC65))</f>
        <v/>
      </c>
      <c r="K65" s="5">
        <f>IF((Waterfall!J65+Waterfall!L65+Waterfall!N65)&lt;=0.005,999,C65/(Waterfall!J65+Waterfall!L65+Waterfall!N65))</f>
        <v/>
      </c>
      <c r="L65" s="7">
        <f>IF(OR(J65&lt;Inputs!$B$58,K65&lt;Inputs!$B$61),1,0)</f>
        <v/>
      </c>
      <c r="M65" s="7">
        <f>IF(F65+I65+L65&gt;0,1,0)</f>
        <v/>
      </c>
      <c r="N65" s="2">
        <f>Waterfall!P65-Waterfall!B65-Waterfall!J65-Waterfall!L65-Waterfall!N65</f>
        <v/>
      </c>
      <c r="O65" s="9">
        <f>IF(Pool!BK65&lt;=0,0,N65*12/Pool!BK65*10000)</f>
        <v/>
      </c>
      <c r="P65" s="3">
        <f>Pool!BT65/Inputs!$B$49</f>
        <v/>
      </c>
      <c r="Q65" s="2">
        <f>Waterfall!AV65</f>
        <v/>
      </c>
      <c r="R65" s="2">
        <f>Waterfall!BO65</f>
        <v/>
      </c>
    </row>
    <row r="66">
      <c r="A66" s="7" t="n">
        <v>61</v>
      </c>
      <c r="B66" s="2">
        <f>Pool!BV66</f>
        <v/>
      </c>
      <c r="C66" s="2">
        <f>MAX(0,Waterfall!P66-Waterfall!B66)</f>
        <v/>
      </c>
      <c r="D66" s="5">
        <f>IF(Waterfall!AA66&lt;=0.005,999,B66/Waterfall!AA66)</f>
        <v/>
      </c>
      <c r="E66" s="5">
        <f>IF(Waterfall!J66&lt;=0.005,999,C66/Waterfall!J66)</f>
        <v/>
      </c>
      <c r="F66" s="7">
        <f>IF(OR(D66&lt;Inputs!$B$56,E66&lt;Inputs!$B$59),1,0)</f>
        <v/>
      </c>
      <c r="G66" s="5">
        <f>IF((Waterfall!AA66+Waterfall!AB66)&lt;=0.005,999,B66/(Waterfall!AA66+Waterfall!AB66))</f>
        <v/>
      </c>
      <c r="H66" s="5">
        <f>IF((Waterfall!J66+Waterfall!L66)&lt;=0.005,999,C66/(Waterfall!J66+Waterfall!L66))</f>
        <v/>
      </c>
      <c r="I66" s="7">
        <f>IF(OR(G66&lt;Inputs!$B$57,H66&lt;Inputs!$B$60),1,0)</f>
        <v/>
      </c>
      <c r="J66" s="5">
        <f>IF((Waterfall!AA66+Waterfall!AB66+Waterfall!AC66)&lt;=0.005,999,B66/(Waterfall!AA66+Waterfall!AB66+Waterfall!AC66))</f>
        <v/>
      </c>
      <c r="K66" s="5">
        <f>IF((Waterfall!J66+Waterfall!L66+Waterfall!N66)&lt;=0.005,999,C66/(Waterfall!J66+Waterfall!L66+Waterfall!N66))</f>
        <v/>
      </c>
      <c r="L66" s="7">
        <f>IF(OR(J66&lt;Inputs!$B$58,K66&lt;Inputs!$B$61),1,0)</f>
        <v/>
      </c>
      <c r="M66" s="7">
        <f>IF(F66+I66+L66&gt;0,1,0)</f>
        <v/>
      </c>
      <c r="N66" s="2">
        <f>Waterfall!P66-Waterfall!B66-Waterfall!J66-Waterfall!L66-Waterfall!N66</f>
        <v/>
      </c>
      <c r="O66" s="9">
        <f>IF(Pool!BK66&lt;=0,0,N66*12/Pool!BK66*10000)</f>
        <v/>
      </c>
      <c r="P66" s="3">
        <f>Pool!BT66/Inputs!$B$49</f>
        <v/>
      </c>
      <c r="Q66" s="2">
        <f>Waterfall!AV66</f>
        <v/>
      </c>
      <c r="R66" s="2">
        <f>Waterfall!BO66</f>
        <v/>
      </c>
    </row>
    <row r="67">
      <c r="A67" s="7" t="n">
        <v>62</v>
      </c>
      <c r="B67" s="2">
        <f>Pool!BV67</f>
        <v/>
      </c>
      <c r="C67" s="2">
        <f>MAX(0,Waterfall!P67-Waterfall!B67)</f>
        <v/>
      </c>
      <c r="D67" s="5">
        <f>IF(Waterfall!AA67&lt;=0.005,999,B67/Waterfall!AA67)</f>
        <v/>
      </c>
      <c r="E67" s="5">
        <f>IF(Waterfall!J67&lt;=0.005,999,C67/Waterfall!J67)</f>
        <v/>
      </c>
      <c r="F67" s="7">
        <f>IF(OR(D67&lt;Inputs!$B$56,E67&lt;Inputs!$B$59),1,0)</f>
        <v/>
      </c>
      <c r="G67" s="5">
        <f>IF((Waterfall!AA67+Waterfall!AB67)&lt;=0.005,999,B67/(Waterfall!AA67+Waterfall!AB67))</f>
        <v/>
      </c>
      <c r="H67" s="5">
        <f>IF((Waterfall!J67+Waterfall!L67)&lt;=0.005,999,C67/(Waterfall!J67+Waterfall!L67))</f>
        <v/>
      </c>
      <c r="I67" s="7">
        <f>IF(OR(G67&lt;Inputs!$B$57,H67&lt;Inputs!$B$60),1,0)</f>
        <v/>
      </c>
      <c r="J67" s="5">
        <f>IF((Waterfall!AA67+Waterfall!AB67+Waterfall!AC67)&lt;=0.005,999,B67/(Waterfall!AA67+Waterfall!AB67+Waterfall!AC67))</f>
        <v/>
      </c>
      <c r="K67" s="5">
        <f>IF((Waterfall!J67+Waterfall!L67+Waterfall!N67)&lt;=0.005,999,C67/(Waterfall!J67+Waterfall!L67+Waterfall!N67))</f>
        <v/>
      </c>
      <c r="L67" s="7">
        <f>IF(OR(J67&lt;Inputs!$B$58,K67&lt;Inputs!$B$61),1,0)</f>
        <v/>
      </c>
      <c r="M67" s="7">
        <f>IF(F67+I67+L67&gt;0,1,0)</f>
        <v/>
      </c>
      <c r="N67" s="2">
        <f>Waterfall!P67-Waterfall!B67-Waterfall!J67-Waterfall!L67-Waterfall!N67</f>
        <v/>
      </c>
      <c r="O67" s="9">
        <f>IF(Pool!BK67&lt;=0,0,N67*12/Pool!BK67*10000)</f>
        <v/>
      </c>
      <c r="P67" s="3">
        <f>Pool!BT67/Inputs!$B$49</f>
        <v/>
      </c>
      <c r="Q67" s="2">
        <f>Waterfall!AV67</f>
        <v/>
      </c>
      <c r="R67" s="2">
        <f>Waterfall!BO67</f>
        <v/>
      </c>
    </row>
    <row r="68">
      <c r="A68" s="7" t="n">
        <v>63</v>
      </c>
      <c r="B68" s="2">
        <f>Pool!BV68</f>
        <v/>
      </c>
      <c r="C68" s="2">
        <f>MAX(0,Waterfall!P68-Waterfall!B68)</f>
        <v/>
      </c>
      <c r="D68" s="5">
        <f>IF(Waterfall!AA68&lt;=0.005,999,B68/Waterfall!AA68)</f>
        <v/>
      </c>
      <c r="E68" s="5">
        <f>IF(Waterfall!J68&lt;=0.005,999,C68/Waterfall!J68)</f>
        <v/>
      </c>
      <c r="F68" s="7">
        <f>IF(OR(D68&lt;Inputs!$B$56,E68&lt;Inputs!$B$59),1,0)</f>
        <v/>
      </c>
      <c r="G68" s="5">
        <f>IF((Waterfall!AA68+Waterfall!AB68)&lt;=0.005,999,B68/(Waterfall!AA68+Waterfall!AB68))</f>
        <v/>
      </c>
      <c r="H68" s="5">
        <f>IF((Waterfall!J68+Waterfall!L68)&lt;=0.005,999,C68/(Waterfall!J68+Waterfall!L68))</f>
        <v/>
      </c>
      <c r="I68" s="7">
        <f>IF(OR(G68&lt;Inputs!$B$57,H68&lt;Inputs!$B$60),1,0)</f>
        <v/>
      </c>
      <c r="J68" s="5">
        <f>IF((Waterfall!AA68+Waterfall!AB68+Waterfall!AC68)&lt;=0.005,999,B68/(Waterfall!AA68+Waterfall!AB68+Waterfall!AC68))</f>
        <v/>
      </c>
      <c r="K68" s="5">
        <f>IF((Waterfall!J68+Waterfall!L68+Waterfall!N68)&lt;=0.005,999,C68/(Waterfall!J68+Waterfall!L68+Waterfall!N68))</f>
        <v/>
      </c>
      <c r="L68" s="7">
        <f>IF(OR(J68&lt;Inputs!$B$58,K68&lt;Inputs!$B$61),1,0)</f>
        <v/>
      </c>
      <c r="M68" s="7">
        <f>IF(F68+I68+L68&gt;0,1,0)</f>
        <v/>
      </c>
      <c r="N68" s="2">
        <f>Waterfall!P68-Waterfall!B68-Waterfall!J68-Waterfall!L68-Waterfall!N68</f>
        <v/>
      </c>
      <c r="O68" s="9">
        <f>IF(Pool!BK68&lt;=0,0,N68*12/Pool!BK68*10000)</f>
        <v/>
      </c>
      <c r="P68" s="3">
        <f>Pool!BT68/Inputs!$B$49</f>
        <v/>
      </c>
      <c r="Q68" s="2">
        <f>Waterfall!AV68</f>
        <v/>
      </c>
      <c r="R68" s="2">
        <f>Waterfall!BO68</f>
        <v/>
      </c>
    </row>
    <row r="69">
      <c r="A69" s="7" t="n">
        <v>64</v>
      </c>
      <c r="B69" s="2">
        <f>Pool!BV69</f>
        <v/>
      </c>
      <c r="C69" s="2">
        <f>MAX(0,Waterfall!P69-Waterfall!B69)</f>
        <v/>
      </c>
      <c r="D69" s="5">
        <f>IF(Waterfall!AA69&lt;=0.005,999,B69/Waterfall!AA69)</f>
        <v/>
      </c>
      <c r="E69" s="5">
        <f>IF(Waterfall!J69&lt;=0.005,999,C69/Waterfall!J69)</f>
        <v/>
      </c>
      <c r="F69" s="7">
        <f>IF(OR(D69&lt;Inputs!$B$56,E69&lt;Inputs!$B$59),1,0)</f>
        <v/>
      </c>
      <c r="G69" s="5">
        <f>IF((Waterfall!AA69+Waterfall!AB69)&lt;=0.005,999,B69/(Waterfall!AA69+Waterfall!AB69))</f>
        <v/>
      </c>
      <c r="H69" s="5">
        <f>IF((Waterfall!J69+Waterfall!L69)&lt;=0.005,999,C69/(Waterfall!J69+Waterfall!L69))</f>
        <v/>
      </c>
      <c r="I69" s="7">
        <f>IF(OR(G69&lt;Inputs!$B$57,H69&lt;Inputs!$B$60),1,0)</f>
        <v/>
      </c>
      <c r="J69" s="5">
        <f>IF((Waterfall!AA69+Waterfall!AB69+Waterfall!AC69)&lt;=0.005,999,B69/(Waterfall!AA69+Waterfall!AB69+Waterfall!AC69))</f>
        <v/>
      </c>
      <c r="K69" s="5">
        <f>IF((Waterfall!J69+Waterfall!L69+Waterfall!N69)&lt;=0.005,999,C69/(Waterfall!J69+Waterfall!L69+Waterfall!N69))</f>
        <v/>
      </c>
      <c r="L69" s="7">
        <f>IF(OR(J69&lt;Inputs!$B$58,K69&lt;Inputs!$B$61),1,0)</f>
        <v/>
      </c>
      <c r="M69" s="7">
        <f>IF(F69+I69+L69&gt;0,1,0)</f>
        <v/>
      </c>
      <c r="N69" s="2">
        <f>Waterfall!P69-Waterfall!B69-Waterfall!J69-Waterfall!L69-Waterfall!N69</f>
        <v/>
      </c>
      <c r="O69" s="9">
        <f>IF(Pool!BK69&lt;=0,0,N69*12/Pool!BK69*10000)</f>
        <v/>
      </c>
      <c r="P69" s="3">
        <f>Pool!BT69/Inputs!$B$49</f>
        <v/>
      </c>
      <c r="Q69" s="2">
        <f>Waterfall!AV69</f>
        <v/>
      </c>
      <c r="R69" s="2">
        <f>Waterfall!BO69</f>
        <v/>
      </c>
    </row>
    <row r="70">
      <c r="A70" s="7" t="n">
        <v>65</v>
      </c>
      <c r="B70" s="2">
        <f>Pool!BV70</f>
        <v/>
      </c>
      <c r="C70" s="2">
        <f>MAX(0,Waterfall!P70-Waterfall!B70)</f>
        <v/>
      </c>
      <c r="D70" s="5">
        <f>IF(Waterfall!AA70&lt;=0.005,999,B70/Waterfall!AA70)</f>
        <v/>
      </c>
      <c r="E70" s="5">
        <f>IF(Waterfall!J70&lt;=0.005,999,C70/Waterfall!J70)</f>
        <v/>
      </c>
      <c r="F70" s="7">
        <f>IF(OR(D70&lt;Inputs!$B$56,E70&lt;Inputs!$B$59),1,0)</f>
        <v/>
      </c>
      <c r="G70" s="5">
        <f>IF((Waterfall!AA70+Waterfall!AB70)&lt;=0.005,999,B70/(Waterfall!AA70+Waterfall!AB70))</f>
        <v/>
      </c>
      <c r="H70" s="5">
        <f>IF((Waterfall!J70+Waterfall!L70)&lt;=0.005,999,C70/(Waterfall!J70+Waterfall!L70))</f>
        <v/>
      </c>
      <c r="I70" s="7">
        <f>IF(OR(G70&lt;Inputs!$B$57,H70&lt;Inputs!$B$60),1,0)</f>
        <v/>
      </c>
      <c r="J70" s="5">
        <f>IF((Waterfall!AA70+Waterfall!AB70+Waterfall!AC70)&lt;=0.005,999,B70/(Waterfall!AA70+Waterfall!AB70+Waterfall!AC70))</f>
        <v/>
      </c>
      <c r="K70" s="5">
        <f>IF((Waterfall!J70+Waterfall!L70+Waterfall!N70)&lt;=0.005,999,C70/(Waterfall!J70+Waterfall!L70+Waterfall!N70))</f>
        <v/>
      </c>
      <c r="L70" s="7">
        <f>IF(OR(J70&lt;Inputs!$B$58,K70&lt;Inputs!$B$61),1,0)</f>
        <v/>
      </c>
      <c r="M70" s="7">
        <f>IF(F70+I70+L70&gt;0,1,0)</f>
        <v/>
      </c>
      <c r="N70" s="2">
        <f>Waterfall!P70-Waterfall!B70-Waterfall!J70-Waterfall!L70-Waterfall!N70</f>
        <v/>
      </c>
      <c r="O70" s="9">
        <f>IF(Pool!BK70&lt;=0,0,N70*12/Pool!BK70*10000)</f>
        <v/>
      </c>
      <c r="P70" s="3">
        <f>Pool!BT70/Inputs!$B$49</f>
        <v/>
      </c>
      <c r="Q70" s="2">
        <f>Waterfall!AV70</f>
        <v/>
      </c>
      <c r="R70" s="2">
        <f>Waterfall!BO70</f>
        <v/>
      </c>
    </row>
    <row r="71">
      <c r="A71" s="7" t="n">
        <v>66</v>
      </c>
      <c r="B71" s="2">
        <f>Pool!BV71</f>
        <v/>
      </c>
      <c r="C71" s="2">
        <f>MAX(0,Waterfall!P71-Waterfall!B71)</f>
        <v/>
      </c>
      <c r="D71" s="5">
        <f>IF(Waterfall!AA71&lt;=0.005,999,B71/Waterfall!AA71)</f>
        <v/>
      </c>
      <c r="E71" s="5">
        <f>IF(Waterfall!J71&lt;=0.005,999,C71/Waterfall!J71)</f>
        <v/>
      </c>
      <c r="F71" s="7">
        <f>IF(OR(D71&lt;Inputs!$B$56,E71&lt;Inputs!$B$59),1,0)</f>
        <v/>
      </c>
      <c r="G71" s="5">
        <f>IF((Waterfall!AA71+Waterfall!AB71)&lt;=0.005,999,B71/(Waterfall!AA71+Waterfall!AB71))</f>
        <v/>
      </c>
      <c r="H71" s="5">
        <f>IF((Waterfall!J71+Waterfall!L71)&lt;=0.005,999,C71/(Waterfall!J71+Waterfall!L71))</f>
        <v/>
      </c>
      <c r="I71" s="7">
        <f>IF(OR(G71&lt;Inputs!$B$57,H71&lt;Inputs!$B$60),1,0)</f>
        <v/>
      </c>
      <c r="J71" s="5">
        <f>IF((Waterfall!AA71+Waterfall!AB71+Waterfall!AC71)&lt;=0.005,999,B71/(Waterfall!AA71+Waterfall!AB71+Waterfall!AC71))</f>
        <v/>
      </c>
      <c r="K71" s="5">
        <f>IF((Waterfall!J71+Waterfall!L71+Waterfall!N71)&lt;=0.005,999,C71/(Waterfall!J71+Waterfall!L71+Waterfall!N71))</f>
        <v/>
      </c>
      <c r="L71" s="7">
        <f>IF(OR(J71&lt;Inputs!$B$58,K71&lt;Inputs!$B$61),1,0)</f>
        <v/>
      </c>
      <c r="M71" s="7">
        <f>IF(F71+I71+L71&gt;0,1,0)</f>
        <v/>
      </c>
      <c r="N71" s="2">
        <f>Waterfall!P71-Waterfall!B71-Waterfall!J71-Waterfall!L71-Waterfall!N71</f>
        <v/>
      </c>
      <c r="O71" s="9">
        <f>IF(Pool!BK71&lt;=0,0,N71*12/Pool!BK71*10000)</f>
        <v/>
      </c>
      <c r="P71" s="3">
        <f>Pool!BT71/Inputs!$B$49</f>
        <v/>
      </c>
      <c r="Q71" s="2">
        <f>Waterfall!AV71</f>
        <v/>
      </c>
      <c r="R71" s="2">
        <f>Waterfall!BO71</f>
        <v/>
      </c>
    </row>
    <row r="72">
      <c r="A72" s="7" t="n">
        <v>67</v>
      </c>
      <c r="B72" s="2">
        <f>Pool!BV72</f>
        <v/>
      </c>
      <c r="C72" s="2">
        <f>MAX(0,Waterfall!P72-Waterfall!B72)</f>
        <v/>
      </c>
      <c r="D72" s="5">
        <f>IF(Waterfall!AA72&lt;=0.005,999,B72/Waterfall!AA72)</f>
        <v/>
      </c>
      <c r="E72" s="5">
        <f>IF(Waterfall!J72&lt;=0.005,999,C72/Waterfall!J72)</f>
        <v/>
      </c>
      <c r="F72" s="7">
        <f>IF(OR(D72&lt;Inputs!$B$56,E72&lt;Inputs!$B$59),1,0)</f>
        <v/>
      </c>
      <c r="G72" s="5">
        <f>IF((Waterfall!AA72+Waterfall!AB72)&lt;=0.005,999,B72/(Waterfall!AA72+Waterfall!AB72))</f>
        <v/>
      </c>
      <c r="H72" s="5">
        <f>IF((Waterfall!J72+Waterfall!L72)&lt;=0.005,999,C72/(Waterfall!J72+Waterfall!L72))</f>
        <v/>
      </c>
      <c r="I72" s="7">
        <f>IF(OR(G72&lt;Inputs!$B$57,H72&lt;Inputs!$B$60),1,0)</f>
        <v/>
      </c>
      <c r="J72" s="5">
        <f>IF((Waterfall!AA72+Waterfall!AB72+Waterfall!AC72)&lt;=0.005,999,B72/(Waterfall!AA72+Waterfall!AB72+Waterfall!AC72))</f>
        <v/>
      </c>
      <c r="K72" s="5">
        <f>IF((Waterfall!J72+Waterfall!L72+Waterfall!N72)&lt;=0.005,999,C72/(Waterfall!J72+Waterfall!L72+Waterfall!N72))</f>
        <v/>
      </c>
      <c r="L72" s="7">
        <f>IF(OR(J72&lt;Inputs!$B$58,K72&lt;Inputs!$B$61),1,0)</f>
        <v/>
      </c>
      <c r="M72" s="7">
        <f>IF(F72+I72+L72&gt;0,1,0)</f>
        <v/>
      </c>
      <c r="N72" s="2">
        <f>Waterfall!P72-Waterfall!B72-Waterfall!J72-Waterfall!L72-Waterfall!N72</f>
        <v/>
      </c>
      <c r="O72" s="9">
        <f>IF(Pool!BK72&lt;=0,0,N72*12/Pool!BK72*10000)</f>
        <v/>
      </c>
      <c r="P72" s="3">
        <f>Pool!BT72/Inputs!$B$49</f>
        <v/>
      </c>
      <c r="Q72" s="2">
        <f>Waterfall!AV72</f>
        <v/>
      </c>
      <c r="R72" s="2">
        <f>Waterfall!BO72</f>
        <v/>
      </c>
    </row>
    <row r="73">
      <c r="A73" s="7" t="n">
        <v>68</v>
      </c>
      <c r="B73" s="2">
        <f>Pool!BV73</f>
        <v/>
      </c>
      <c r="C73" s="2">
        <f>MAX(0,Waterfall!P73-Waterfall!B73)</f>
        <v/>
      </c>
      <c r="D73" s="5">
        <f>IF(Waterfall!AA73&lt;=0.005,999,B73/Waterfall!AA73)</f>
        <v/>
      </c>
      <c r="E73" s="5">
        <f>IF(Waterfall!J73&lt;=0.005,999,C73/Waterfall!J73)</f>
        <v/>
      </c>
      <c r="F73" s="7">
        <f>IF(OR(D73&lt;Inputs!$B$56,E73&lt;Inputs!$B$59),1,0)</f>
        <v/>
      </c>
      <c r="G73" s="5">
        <f>IF((Waterfall!AA73+Waterfall!AB73)&lt;=0.005,999,B73/(Waterfall!AA73+Waterfall!AB73))</f>
        <v/>
      </c>
      <c r="H73" s="5">
        <f>IF((Waterfall!J73+Waterfall!L73)&lt;=0.005,999,C73/(Waterfall!J73+Waterfall!L73))</f>
        <v/>
      </c>
      <c r="I73" s="7">
        <f>IF(OR(G73&lt;Inputs!$B$57,H73&lt;Inputs!$B$60),1,0)</f>
        <v/>
      </c>
      <c r="J73" s="5">
        <f>IF((Waterfall!AA73+Waterfall!AB73+Waterfall!AC73)&lt;=0.005,999,B73/(Waterfall!AA73+Waterfall!AB73+Waterfall!AC73))</f>
        <v/>
      </c>
      <c r="K73" s="5">
        <f>IF((Waterfall!J73+Waterfall!L73+Waterfall!N73)&lt;=0.005,999,C73/(Waterfall!J73+Waterfall!L73+Waterfall!N73))</f>
        <v/>
      </c>
      <c r="L73" s="7">
        <f>IF(OR(J73&lt;Inputs!$B$58,K73&lt;Inputs!$B$61),1,0)</f>
        <v/>
      </c>
      <c r="M73" s="7">
        <f>IF(F73+I73+L73&gt;0,1,0)</f>
        <v/>
      </c>
      <c r="N73" s="2">
        <f>Waterfall!P73-Waterfall!B73-Waterfall!J73-Waterfall!L73-Waterfall!N73</f>
        <v/>
      </c>
      <c r="O73" s="9">
        <f>IF(Pool!BK73&lt;=0,0,N73*12/Pool!BK73*10000)</f>
        <v/>
      </c>
      <c r="P73" s="3">
        <f>Pool!BT73/Inputs!$B$49</f>
        <v/>
      </c>
      <c r="Q73" s="2">
        <f>Waterfall!AV73</f>
        <v/>
      </c>
      <c r="R73" s="2">
        <f>Waterfall!BO73</f>
        <v/>
      </c>
    </row>
    <row r="74">
      <c r="A74" s="7" t="n">
        <v>69</v>
      </c>
      <c r="B74" s="2">
        <f>Pool!BV74</f>
        <v/>
      </c>
      <c r="C74" s="2">
        <f>MAX(0,Waterfall!P74-Waterfall!B74)</f>
        <v/>
      </c>
      <c r="D74" s="5">
        <f>IF(Waterfall!AA74&lt;=0.005,999,B74/Waterfall!AA74)</f>
        <v/>
      </c>
      <c r="E74" s="5">
        <f>IF(Waterfall!J74&lt;=0.005,999,C74/Waterfall!J74)</f>
        <v/>
      </c>
      <c r="F74" s="7">
        <f>IF(OR(D74&lt;Inputs!$B$56,E74&lt;Inputs!$B$59),1,0)</f>
        <v/>
      </c>
      <c r="G74" s="5">
        <f>IF((Waterfall!AA74+Waterfall!AB74)&lt;=0.005,999,B74/(Waterfall!AA74+Waterfall!AB74))</f>
        <v/>
      </c>
      <c r="H74" s="5">
        <f>IF((Waterfall!J74+Waterfall!L74)&lt;=0.005,999,C74/(Waterfall!J74+Waterfall!L74))</f>
        <v/>
      </c>
      <c r="I74" s="7">
        <f>IF(OR(G74&lt;Inputs!$B$57,H74&lt;Inputs!$B$60),1,0)</f>
        <v/>
      </c>
      <c r="J74" s="5">
        <f>IF((Waterfall!AA74+Waterfall!AB74+Waterfall!AC74)&lt;=0.005,999,B74/(Waterfall!AA74+Waterfall!AB74+Waterfall!AC74))</f>
        <v/>
      </c>
      <c r="K74" s="5">
        <f>IF((Waterfall!J74+Waterfall!L74+Waterfall!N74)&lt;=0.005,999,C74/(Waterfall!J74+Waterfall!L74+Waterfall!N74))</f>
        <v/>
      </c>
      <c r="L74" s="7">
        <f>IF(OR(J74&lt;Inputs!$B$58,K74&lt;Inputs!$B$61),1,0)</f>
        <v/>
      </c>
      <c r="M74" s="7">
        <f>IF(F74+I74+L74&gt;0,1,0)</f>
        <v/>
      </c>
      <c r="N74" s="2">
        <f>Waterfall!P74-Waterfall!B74-Waterfall!J74-Waterfall!L74-Waterfall!N74</f>
        <v/>
      </c>
      <c r="O74" s="9">
        <f>IF(Pool!BK74&lt;=0,0,N74*12/Pool!BK74*10000)</f>
        <v/>
      </c>
      <c r="P74" s="3">
        <f>Pool!BT74/Inputs!$B$49</f>
        <v/>
      </c>
      <c r="Q74" s="2">
        <f>Waterfall!AV74</f>
        <v/>
      </c>
      <c r="R74" s="2">
        <f>Waterfall!BO74</f>
        <v/>
      </c>
    </row>
    <row r="75">
      <c r="A75" s="7" t="n">
        <v>70</v>
      </c>
      <c r="B75" s="2">
        <f>Pool!BV75</f>
        <v/>
      </c>
      <c r="C75" s="2">
        <f>MAX(0,Waterfall!P75-Waterfall!B75)</f>
        <v/>
      </c>
      <c r="D75" s="5">
        <f>IF(Waterfall!AA75&lt;=0.005,999,B75/Waterfall!AA75)</f>
        <v/>
      </c>
      <c r="E75" s="5">
        <f>IF(Waterfall!J75&lt;=0.005,999,C75/Waterfall!J75)</f>
        <v/>
      </c>
      <c r="F75" s="7">
        <f>IF(OR(D75&lt;Inputs!$B$56,E75&lt;Inputs!$B$59),1,0)</f>
        <v/>
      </c>
      <c r="G75" s="5">
        <f>IF((Waterfall!AA75+Waterfall!AB75)&lt;=0.005,999,B75/(Waterfall!AA75+Waterfall!AB75))</f>
        <v/>
      </c>
      <c r="H75" s="5">
        <f>IF((Waterfall!J75+Waterfall!L75)&lt;=0.005,999,C75/(Waterfall!J75+Waterfall!L75))</f>
        <v/>
      </c>
      <c r="I75" s="7">
        <f>IF(OR(G75&lt;Inputs!$B$57,H75&lt;Inputs!$B$60),1,0)</f>
        <v/>
      </c>
      <c r="J75" s="5">
        <f>IF((Waterfall!AA75+Waterfall!AB75+Waterfall!AC75)&lt;=0.005,999,B75/(Waterfall!AA75+Waterfall!AB75+Waterfall!AC75))</f>
        <v/>
      </c>
      <c r="K75" s="5">
        <f>IF((Waterfall!J75+Waterfall!L75+Waterfall!N75)&lt;=0.005,999,C75/(Waterfall!J75+Waterfall!L75+Waterfall!N75))</f>
        <v/>
      </c>
      <c r="L75" s="7">
        <f>IF(OR(J75&lt;Inputs!$B$58,K75&lt;Inputs!$B$61),1,0)</f>
        <v/>
      </c>
      <c r="M75" s="7">
        <f>IF(F75+I75+L75&gt;0,1,0)</f>
        <v/>
      </c>
      <c r="N75" s="2">
        <f>Waterfall!P75-Waterfall!B75-Waterfall!J75-Waterfall!L75-Waterfall!N75</f>
        <v/>
      </c>
      <c r="O75" s="9">
        <f>IF(Pool!BK75&lt;=0,0,N75*12/Pool!BK75*10000)</f>
        <v/>
      </c>
      <c r="P75" s="3">
        <f>Pool!BT75/Inputs!$B$49</f>
        <v/>
      </c>
      <c r="Q75" s="2">
        <f>Waterfall!AV75</f>
        <v/>
      </c>
      <c r="R75" s="2">
        <f>Waterfall!BO75</f>
        <v/>
      </c>
    </row>
    <row r="76">
      <c r="A76" s="7" t="n">
        <v>71</v>
      </c>
      <c r="B76" s="2">
        <f>Pool!BV76</f>
        <v/>
      </c>
      <c r="C76" s="2">
        <f>MAX(0,Waterfall!P76-Waterfall!B76)</f>
        <v/>
      </c>
      <c r="D76" s="5">
        <f>IF(Waterfall!AA76&lt;=0.005,999,B76/Waterfall!AA76)</f>
        <v/>
      </c>
      <c r="E76" s="5">
        <f>IF(Waterfall!J76&lt;=0.005,999,C76/Waterfall!J76)</f>
        <v/>
      </c>
      <c r="F76" s="7">
        <f>IF(OR(D76&lt;Inputs!$B$56,E76&lt;Inputs!$B$59),1,0)</f>
        <v/>
      </c>
      <c r="G76" s="5">
        <f>IF((Waterfall!AA76+Waterfall!AB76)&lt;=0.005,999,B76/(Waterfall!AA76+Waterfall!AB76))</f>
        <v/>
      </c>
      <c r="H76" s="5">
        <f>IF((Waterfall!J76+Waterfall!L76)&lt;=0.005,999,C76/(Waterfall!J76+Waterfall!L76))</f>
        <v/>
      </c>
      <c r="I76" s="7">
        <f>IF(OR(G76&lt;Inputs!$B$57,H76&lt;Inputs!$B$60),1,0)</f>
        <v/>
      </c>
      <c r="J76" s="5">
        <f>IF((Waterfall!AA76+Waterfall!AB76+Waterfall!AC76)&lt;=0.005,999,B76/(Waterfall!AA76+Waterfall!AB76+Waterfall!AC76))</f>
        <v/>
      </c>
      <c r="K76" s="5">
        <f>IF((Waterfall!J76+Waterfall!L76+Waterfall!N76)&lt;=0.005,999,C76/(Waterfall!J76+Waterfall!L76+Waterfall!N76))</f>
        <v/>
      </c>
      <c r="L76" s="7">
        <f>IF(OR(J76&lt;Inputs!$B$58,K76&lt;Inputs!$B$61),1,0)</f>
        <v/>
      </c>
      <c r="M76" s="7">
        <f>IF(F76+I76+L76&gt;0,1,0)</f>
        <v/>
      </c>
      <c r="N76" s="2">
        <f>Waterfall!P76-Waterfall!B76-Waterfall!J76-Waterfall!L76-Waterfall!N76</f>
        <v/>
      </c>
      <c r="O76" s="9">
        <f>IF(Pool!BK76&lt;=0,0,N76*12/Pool!BK76*10000)</f>
        <v/>
      </c>
      <c r="P76" s="3">
        <f>Pool!BT76/Inputs!$B$49</f>
        <v/>
      </c>
      <c r="Q76" s="2">
        <f>Waterfall!AV76</f>
        <v/>
      </c>
      <c r="R76" s="2">
        <f>Waterfall!BO76</f>
        <v/>
      </c>
    </row>
    <row r="77">
      <c r="A77" s="7" t="n">
        <v>72</v>
      </c>
      <c r="B77" s="2">
        <f>Pool!BV77</f>
        <v/>
      </c>
      <c r="C77" s="2">
        <f>MAX(0,Waterfall!P77-Waterfall!B77)</f>
        <v/>
      </c>
      <c r="D77" s="5">
        <f>IF(Waterfall!AA77&lt;=0.005,999,B77/Waterfall!AA77)</f>
        <v/>
      </c>
      <c r="E77" s="5">
        <f>IF(Waterfall!J77&lt;=0.005,999,C77/Waterfall!J77)</f>
        <v/>
      </c>
      <c r="F77" s="7">
        <f>IF(OR(D77&lt;Inputs!$B$56,E77&lt;Inputs!$B$59),1,0)</f>
        <v/>
      </c>
      <c r="G77" s="5">
        <f>IF((Waterfall!AA77+Waterfall!AB77)&lt;=0.005,999,B77/(Waterfall!AA77+Waterfall!AB77))</f>
        <v/>
      </c>
      <c r="H77" s="5">
        <f>IF((Waterfall!J77+Waterfall!L77)&lt;=0.005,999,C77/(Waterfall!J77+Waterfall!L77))</f>
        <v/>
      </c>
      <c r="I77" s="7">
        <f>IF(OR(G77&lt;Inputs!$B$57,H77&lt;Inputs!$B$60),1,0)</f>
        <v/>
      </c>
      <c r="J77" s="5">
        <f>IF((Waterfall!AA77+Waterfall!AB77+Waterfall!AC77)&lt;=0.005,999,B77/(Waterfall!AA77+Waterfall!AB77+Waterfall!AC77))</f>
        <v/>
      </c>
      <c r="K77" s="5">
        <f>IF((Waterfall!J77+Waterfall!L77+Waterfall!N77)&lt;=0.005,999,C77/(Waterfall!J77+Waterfall!L77+Waterfall!N77))</f>
        <v/>
      </c>
      <c r="L77" s="7">
        <f>IF(OR(J77&lt;Inputs!$B$58,K77&lt;Inputs!$B$61),1,0)</f>
        <v/>
      </c>
      <c r="M77" s="7">
        <f>IF(F77+I77+L77&gt;0,1,0)</f>
        <v/>
      </c>
      <c r="N77" s="2">
        <f>Waterfall!P77-Waterfall!B77-Waterfall!J77-Waterfall!L77-Waterfall!N77</f>
        <v/>
      </c>
      <c r="O77" s="9">
        <f>IF(Pool!BK77&lt;=0,0,N77*12/Pool!BK77*10000)</f>
        <v/>
      </c>
      <c r="P77" s="3">
        <f>Pool!BT77/Inputs!$B$49</f>
        <v/>
      </c>
      <c r="Q77" s="2">
        <f>Waterfall!AV77</f>
        <v/>
      </c>
      <c r="R77" s="2">
        <f>Waterfall!BO77</f>
        <v/>
      </c>
    </row>
    <row r="78">
      <c r="A78" s="7" t="n">
        <v>73</v>
      </c>
      <c r="B78" s="2">
        <f>Pool!BV78</f>
        <v/>
      </c>
      <c r="C78" s="2">
        <f>MAX(0,Waterfall!P78-Waterfall!B78)</f>
        <v/>
      </c>
      <c r="D78" s="5">
        <f>IF(Waterfall!AA78&lt;=0.005,999,B78/Waterfall!AA78)</f>
        <v/>
      </c>
      <c r="E78" s="5">
        <f>IF(Waterfall!J78&lt;=0.005,999,C78/Waterfall!J78)</f>
        <v/>
      </c>
      <c r="F78" s="7">
        <f>IF(OR(D78&lt;Inputs!$B$56,E78&lt;Inputs!$B$59),1,0)</f>
        <v/>
      </c>
      <c r="G78" s="5">
        <f>IF((Waterfall!AA78+Waterfall!AB78)&lt;=0.005,999,B78/(Waterfall!AA78+Waterfall!AB78))</f>
        <v/>
      </c>
      <c r="H78" s="5">
        <f>IF((Waterfall!J78+Waterfall!L78)&lt;=0.005,999,C78/(Waterfall!J78+Waterfall!L78))</f>
        <v/>
      </c>
      <c r="I78" s="7">
        <f>IF(OR(G78&lt;Inputs!$B$57,H78&lt;Inputs!$B$60),1,0)</f>
        <v/>
      </c>
      <c r="J78" s="5">
        <f>IF((Waterfall!AA78+Waterfall!AB78+Waterfall!AC78)&lt;=0.005,999,B78/(Waterfall!AA78+Waterfall!AB78+Waterfall!AC78))</f>
        <v/>
      </c>
      <c r="K78" s="5">
        <f>IF((Waterfall!J78+Waterfall!L78+Waterfall!N78)&lt;=0.005,999,C78/(Waterfall!J78+Waterfall!L78+Waterfall!N78))</f>
        <v/>
      </c>
      <c r="L78" s="7">
        <f>IF(OR(J78&lt;Inputs!$B$58,K78&lt;Inputs!$B$61),1,0)</f>
        <v/>
      </c>
      <c r="M78" s="7">
        <f>IF(F78+I78+L78&gt;0,1,0)</f>
        <v/>
      </c>
      <c r="N78" s="2">
        <f>Waterfall!P78-Waterfall!B78-Waterfall!J78-Waterfall!L78-Waterfall!N78</f>
        <v/>
      </c>
      <c r="O78" s="9">
        <f>IF(Pool!BK78&lt;=0,0,N78*12/Pool!BK78*10000)</f>
        <v/>
      </c>
      <c r="P78" s="3">
        <f>Pool!BT78/Inputs!$B$49</f>
        <v/>
      </c>
      <c r="Q78" s="2">
        <f>Waterfall!AV78</f>
        <v/>
      </c>
      <c r="R78" s="2">
        <f>Waterfall!BO78</f>
        <v/>
      </c>
    </row>
    <row r="79">
      <c r="A79" s="7" t="n">
        <v>74</v>
      </c>
      <c r="B79" s="2">
        <f>Pool!BV79</f>
        <v/>
      </c>
      <c r="C79" s="2">
        <f>MAX(0,Waterfall!P79-Waterfall!B79)</f>
        <v/>
      </c>
      <c r="D79" s="5">
        <f>IF(Waterfall!AA79&lt;=0.005,999,B79/Waterfall!AA79)</f>
        <v/>
      </c>
      <c r="E79" s="5">
        <f>IF(Waterfall!J79&lt;=0.005,999,C79/Waterfall!J79)</f>
        <v/>
      </c>
      <c r="F79" s="7">
        <f>IF(OR(D79&lt;Inputs!$B$56,E79&lt;Inputs!$B$59),1,0)</f>
        <v/>
      </c>
      <c r="G79" s="5">
        <f>IF((Waterfall!AA79+Waterfall!AB79)&lt;=0.005,999,B79/(Waterfall!AA79+Waterfall!AB79))</f>
        <v/>
      </c>
      <c r="H79" s="5">
        <f>IF((Waterfall!J79+Waterfall!L79)&lt;=0.005,999,C79/(Waterfall!J79+Waterfall!L79))</f>
        <v/>
      </c>
      <c r="I79" s="7">
        <f>IF(OR(G79&lt;Inputs!$B$57,H79&lt;Inputs!$B$60),1,0)</f>
        <v/>
      </c>
      <c r="J79" s="5">
        <f>IF((Waterfall!AA79+Waterfall!AB79+Waterfall!AC79)&lt;=0.005,999,B79/(Waterfall!AA79+Waterfall!AB79+Waterfall!AC79))</f>
        <v/>
      </c>
      <c r="K79" s="5">
        <f>IF((Waterfall!J79+Waterfall!L79+Waterfall!N79)&lt;=0.005,999,C79/(Waterfall!J79+Waterfall!L79+Waterfall!N79))</f>
        <v/>
      </c>
      <c r="L79" s="7">
        <f>IF(OR(J79&lt;Inputs!$B$58,K79&lt;Inputs!$B$61),1,0)</f>
        <v/>
      </c>
      <c r="M79" s="7">
        <f>IF(F79+I79+L79&gt;0,1,0)</f>
        <v/>
      </c>
      <c r="N79" s="2">
        <f>Waterfall!P79-Waterfall!B79-Waterfall!J79-Waterfall!L79-Waterfall!N79</f>
        <v/>
      </c>
      <c r="O79" s="9">
        <f>IF(Pool!BK79&lt;=0,0,N79*12/Pool!BK79*10000)</f>
        <v/>
      </c>
      <c r="P79" s="3">
        <f>Pool!BT79/Inputs!$B$49</f>
        <v/>
      </c>
      <c r="Q79" s="2">
        <f>Waterfall!AV79</f>
        <v/>
      </c>
      <c r="R79" s="2">
        <f>Waterfall!BO79</f>
        <v/>
      </c>
    </row>
    <row r="80">
      <c r="A80" s="7" t="n">
        <v>75</v>
      </c>
      <c r="B80" s="2">
        <f>Pool!BV80</f>
        <v/>
      </c>
      <c r="C80" s="2">
        <f>MAX(0,Waterfall!P80-Waterfall!B80)</f>
        <v/>
      </c>
      <c r="D80" s="5">
        <f>IF(Waterfall!AA80&lt;=0.005,999,B80/Waterfall!AA80)</f>
        <v/>
      </c>
      <c r="E80" s="5">
        <f>IF(Waterfall!J80&lt;=0.005,999,C80/Waterfall!J80)</f>
        <v/>
      </c>
      <c r="F80" s="7">
        <f>IF(OR(D80&lt;Inputs!$B$56,E80&lt;Inputs!$B$59),1,0)</f>
        <v/>
      </c>
      <c r="G80" s="5">
        <f>IF((Waterfall!AA80+Waterfall!AB80)&lt;=0.005,999,B80/(Waterfall!AA80+Waterfall!AB80))</f>
        <v/>
      </c>
      <c r="H80" s="5">
        <f>IF((Waterfall!J80+Waterfall!L80)&lt;=0.005,999,C80/(Waterfall!J80+Waterfall!L80))</f>
        <v/>
      </c>
      <c r="I80" s="7">
        <f>IF(OR(G80&lt;Inputs!$B$57,H80&lt;Inputs!$B$60),1,0)</f>
        <v/>
      </c>
      <c r="J80" s="5">
        <f>IF((Waterfall!AA80+Waterfall!AB80+Waterfall!AC80)&lt;=0.005,999,B80/(Waterfall!AA80+Waterfall!AB80+Waterfall!AC80))</f>
        <v/>
      </c>
      <c r="K80" s="5">
        <f>IF((Waterfall!J80+Waterfall!L80+Waterfall!N80)&lt;=0.005,999,C80/(Waterfall!J80+Waterfall!L80+Waterfall!N80))</f>
        <v/>
      </c>
      <c r="L80" s="7">
        <f>IF(OR(J80&lt;Inputs!$B$58,K80&lt;Inputs!$B$61),1,0)</f>
        <v/>
      </c>
      <c r="M80" s="7">
        <f>IF(F80+I80+L80&gt;0,1,0)</f>
        <v/>
      </c>
      <c r="N80" s="2">
        <f>Waterfall!P80-Waterfall!B80-Waterfall!J80-Waterfall!L80-Waterfall!N80</f>
        <v/>
      </c>
      <c r="O80" s="9">
        <f>IF(Pool!BK80&lt;=0,0,N80*12/Pool!BK80*10000)</f>
        <v/>
      </c>
      <c r="P80" s="3">
        <f>Pool!BT80/Inputs!$B$49</f>
        <v/>
      </c>
      <c r="Q80" s="2">
        <f>Waterfall!AV80</f>
        <v/>
      </c>
      <c r="R80" s="2">
        <f>Waterfall!BO80</f>
        <v/>
      </c>
    </row>
    <row r="81">
      <c r="A81" s="7" t="n">
        <v>76</v>
      </c>
      <c r="B81" s="2">
        <f>Pool!BV81</f>
        <v/>
      </c>
      <c r="C81" s="2">
        <f>MAX(0,Waterfall!P81-Waterfall!B81)</f>
        <v/>
      </c>
      <c r="D81" s="5">
        <f>IF(Waterfall!AA81&lt;=0.005,999,B81/Waterfall!AA81)</f>
        <v/>
      </c>
      <c r="E81" s="5">
        <f>IF(Waterfall!J81&lt;=0.005,999,C81/Waterfall!J81)</f>
        <v/>
      </c>
      <c r="F81" s="7">
        <f>IF(OR(D81&lt;Inputs!$B$56,E81&lt;Inputs!$B$59),1,0)</f>
        <v/>
      </c>
      <c r="G81" s="5">
        <f>IF((Waterfall!AA81+Waterfall!AB81)&lt;=0.005,999,B81/(Waterfall!AA81+Waterfall!AB81))</f>
        <v/>
      </c>
      <c r="H81" s="5">
        <f>IF((Waterfall!J81+Waterfall!L81)&lt;=0.005,999,C81/(Waterfall!J81+Waterfall!L81))</f>
        <v/>
      </c>
      <c r="I81" s="7">
        <f>IF(OR(G81&lt;Inputs!$B$57,H81&lt;Inputs!$B$60),1,0)</f>
        <v/>
      </c>
      <c r="J81" s="5">
        <f>IF((Waterfall!AA81+Waterfall!AB81+Waterfall!AC81)&lt;=0.005,999,B81/(Waterfall!AA81+Waterfall!AB81+Waterfall!AC81))</f>
        <v/>
      </c>
      <c r="K81" s="5">
        <f>IF((Waterfall!J81+Waterfall!L81+Waterfall!N81)&lt;=0.005,999,C81/(Waterfall!J81+Waterfall!L81+Waterfall!N81))</f>
        <v/>
      </c>
      <c r="L81" s="7">
        <f>IF(OR(J81&lt;Inputs!$B$58,K81&lt;Inputs!$B$61),1,0)</f>
        <v/>
      </c>
      <c r="M81" s="7">
        <f>IF(F81+I81+L81&gt;0,1,0)</f>
        <v/>
      </c>
      <c r="N81" s="2">
        <f>Waterfall!P81-Waterfall!B81-Waterfall!J81-Waterfall!L81-Waterfall!N81</f>
        <v/>
      </c>
      <c r="O81" s="9">
        <f>IF(Pool!BK81&lt;=0,0,N81*12/Pool!BK81*10000)</f>
        <v/>
      </c>
      <c r="P81" s="3">
        <f>Pool!BT81/Inputs!$B$49</f>
        <v/>
      </c>
      <c r="Q81" s="2">
        <f>Waterfall!AV81</f>
        <v/>
      </c>
      <c r="R81" s="2">
        <f>Waterfall!BO81</f>
        <v/>
      </c>
    </row>
    <row r="82">
      <c r="A82" s="7" t="n">
        <v>77</v>
      </c>
      <c r="B82" s="2">
        <f>Pool!BV82</f>
        <v/>
      </c>
      <c r="C82" s="2">
        <f>MAX(0,Waterfall!P82-Waterfall!B82)</f>
        <v/>
      </c>
      <c r="D82" s="5">
        <f>IF(Waterfall!AA82&lt;=0.005,999,B82/Waterfall!AA82)</f>
        <v/>
      </c>
      <c r="E82" s="5">
        <f>IF(Waterfall!J82&lt;=0.005,999,C82/Waterfall!J82)</f>
        <v/>
      </c>
      <c r="F82" s="7">
        <f>IF(OR(D82&lt;Inputs!$B$56,E82&lt;Inputs!$B$59),1,0)</f>
        <v/>
      </c>
      <c r="G82" s="5">
        <f>IF((Waterfall!AA82+Waterfall!AB82)&lt;=0.005,999,B82/(Waterfall!AA82+Waterfall!AB82))</f>
        <v/>
      </c>
      <c r="H82" s="5">
        <f>IF((Waterfall!J82+Waterfall!L82)&lt;=0.005,999,C82/(Waterfall!J82+Waterfall!L82))</f>
        <v/>
      </c>
      <c r="I82" s="7">
        <f>IF(OR(G82&lt;Inputs!$B$57,H82&lt;Inputs!$B$60),1,0)</f>
        <v/>
      </c>
      <c r="J82" s="5">
        <f>IF((Waterfall!AA82+Waterfall!AB82+Waterfall!AC82)&lt;=0.005,999,B82/(Waterfall!AA82+Waterfall!AB82+Waterfall!AC82))</f>
        <v/>
      </c>
      <c r="K82" s="5">
        <f>IF((Waterfall!J82+Waterfall!L82+Waterfall!N82)&lt;=0.005,999,C82/(Waterfall!J82+Waterfall!L82+Waterfall!N82))</f>
        <v/>
      </c>
      <c r="L82" s="7">
        <f>IF(OR(J82&lt;Inputs!$B$58,K82&lt;Inputs!$B$61),1,0)</f>
        <v/>
      </c>
      <c r="M82" s="7">
        <f>IF(F82+I82+L82&gt;0,1,0)</f>
        <v/>
      </c>
      <c r="N82" s="2">
        <f>Waterfall!P82-Waterfall!B82-Waterfall!J82-Waterfall!L82-Waterfall!N82</f>
        <v/>
      </c>
      <c r="O82" s="9">
        <f>IF(Pool!BK82&lt;=0,0,N82*12/Pool!BK82*10000)</f>
        <v/>
      </c>
      <c r="P82" s="3">
        <f>Pool!BT82/Inputs!$B$49</f>
        <v/>
      </c>
      <c r="Q82" s="2">
        <f>Waterfall!AV82</f>
        <v/>
      </c>
      <c r="R82" s="2">
        <f>Waterfall!BO82</f>
        <v/>
      </c>
    </row>
    <row r="83">
      <c r="A83" s="7" t="n">
        <v>78</v>
      </c>
      <c r="B83" s="2">
        <f>Pool!BV83</f>
        <v/>
      </c>
      <c r="C83" s="2">
        <f>MAX(0,Waterfall!P83-Waterfall!B83)</f>
        <v/>
      </c>
      <c r="D83" s="5">
        <f>IF(Waterfall!AA83&lt;=0.005,999,B83/Waterfall!AA83)</f>
        <v/>
      </c>
      <c r="E83" s="5">
        <f>IF(Waterfall!J83&lt;=0.005,999,C83/Waterfall!J83)</f>
        <v/>
      </c>
      <c r="F83" s="7">
        <f>IF(OR(D83&lt;Inputs!$B$56,E83&lt;Inputs!$B$59),1,0)</f>
        <v/>
      </c>
      <c r="G83" s="5">
        <f>IF((Waterfall!AA83+Waterfall!AB83)&lt;=0.005,999,B83/(Waterfall!AA83+Waterfall!AB83))</f>
        <v/>
      </c>
      <c r="H83" s="5">
        <f>IF((Waterfall!J83+Waterfall!L83)&lt;=0.005,999,C83/(Waterfall!J83+Waterfall!L83))</f>
        <v/>
      </c>
      <c r="I83" s="7">
        <f>IF(OR(G83&lt;Inputs!$B$57,H83&lt;Inputs!$B$60),1,0)</f>
        <v/>
      </c>
      <c r="J83" s="5">
        <f>IF((Waterfall!AA83+Waterfall!AB83+Waterfall!AC83)&lt;=0.005,999,B83/(Waterfall!AA83+Waterfall!AB83+Waterfall!AC83))</f>
        <v/>
      </c>
      <c r="K83" s="5">
        <f>IF((Waterfall!J83+Waterfall!L83+Waterfall!N83)&lt;=0.005,999,C83/(Waterfall!J83+Waterfall!L83+Waterfall!N83))</f>
        <v/>
      </c>
      <c r="L83" s="7">
        <f>IF(OR(J83&lt;Inputs!$B$58,K83&lt;Inputs!$B$61),1,0)</f>
        <v/>
      </c>
      <c r="M83" s="7">
        <f>IF(F83+I83+L83&gt;0,1,0)</f>
        <v/>
      </c>
      <c r="N83" s="2">
        <f>Waterfall!P83-Waterfall!B83-Waterfall!J83-Waterfall!L83-Waterfall!N83</f>
        <v/>
      </c>
      <c r="O83" s="9">
        <f>IF(Pool!BK83&lt;=0,0,N83*12/Pool!BK83*10000)</f>
        <v/>
      </c>
      <c r="P83" s="3">
        <f>Pool!BT83/Inputs!$B$49</f>
        <v/>
      </c>
      <c r="Q83" s="2">
        <f>Waterfall!AV83</f>
        <v/>
      </c>
      <c r="R83" s="2">
        <f>Waterfall!BO83</f>
        <v/>
      </c>
    </row>
    <row r="84">
      <c r="A84" s="7" t="n">
        <v>79</v>
      </c>
      <c r="B84" s="2">
        <f>Pool!BV84</f>
        <v/>
      </c>
      <c r="C84" s="2">
        <f>MAX(0,Waterfall!P84-Waterfall!B84)</f>
        <v/>
      </c>
      <c r="D84" s="5">
        <f>IF(Waterfall!AA84&lt;=0.005,999,B84/Waterfall!AA84)</f>
        <v/>
      </c>
      <c r="E84" s="5">
        <f>IF(Waterfall!J84&lt;=0.005,999,C84/Waterfall!J84)</f>
        <v/>
      </c>
      <c r="F84" s="7">
        <f>IF(OR(D84&lt;Inputs!$B$56,E84&lt;Inputs!$B$59),1,0)</f>
        <v/>
      </c>
      <c r="G84" s="5">
        <f>IF((Waterfall!AA84+Waterfall!AB84)&lt;=0.005,999,B84/(Waterfall!AA84+Waterfall!AB84))</f>
        <v/>
      </c>
      <c r="H84" s="5">
        <f>IF((Waterfall!J84+Waterfall!L84)&lt;=0.005,999,C84/(Waterfall!J84+Waterfall!L84))</f>
        <v/>
      </c>
      <c r="I84" s="7">
        <f>IF(OR(G84&lt;Inputs!$B$57,H84&lt;Inputs!$B$60),1,0)</f>
        <v/>
      </c>
      <c r="J84" s="5">
        <f>IF((Waterfall!AA84+Waterfall!AB84+Waterfall!AC84)&lt;=0.005,999,B84/(Waterfall!AA84+Waterfall!AB84+Waterfall!AC84))</f>
        <v/>
      </c>
      <c r="K84" s="5">
        <f>IF((Waterfall!J84+Waterfall!L84+Waterfall!N84)&lt;=0.005,999,C84/(Waterfall!J84+Waterfall!L84+Waterfall!N84))</f>
        <v/>
      </c>
      <c r="L84" s="7">
        <f>IF(OR(J84&lt;Inputs!$B$58,K84&lt;Inputs!$B$61),1,0)</f>
        <v/>
      </c>
      <c r="M84" s="7">
        <f>IF(F84+I84+L84&gt;0,1,0)</f>
        <v/>
      </c>
      <c r="N84" s="2">
        <f>Waterfall!P84-Waterfall!B84-Waterfall!J84-Waterfall!L84-Waterfall!N84</f>
        <v/>
      </c>
      <c r="O84" s="9">
        <f>IF(Pool!BK84&lt;=0,0,N84*12/Pool!BK84*10000)</f>
        <v/>
      </c>
      <c r="P84" s="3">
        <f>Pool!BT84/Inputs!$B$49</f>
        <v/>
      </c>
      <c r="Q84" s="2">
        <f>Waterfall!AV84</f>
        <v/>
      </c>
      <c r="R84" s="2">
        <f>Waterfall!BO84</f>
        <v/>
      </c>
    </row>
    <row r="85">
      <c r="A85" s="7" t="n">
        <v>80</v>
      </c>
      <c r="B85" s="2">
        <f>Pool!BV85</f>
        <v/>
      </c>
      <c r="C85" s="2">
        <f>MAX(0,Waterfall!P85-Waterfall!B85)</f>
        <v/>
      </c>
      <c r="D85" s="5">
        <f>IF(Waterfall!AA85&lt;=0.005,999,B85/Waterfall!AA85)</f>
        <v/>
      </c>
      <c r="E85" s="5">
        <f>IF(Waterfall!J85&lt;=0.005,999,C85/Waterfall!J85)</f>
        <v/>
      </c>
      <c r="F85" s="7">
        <f>IF(OR(D85&lt;Inputs!$B$56,E85&lt;Inputs!$B$59),1,0)</f>
        <v/>
      </c>
      <c r="G85" s="5">
        <f>IF((Waterfall!AA85+Waterfall!AB85)&lt;=0.005,999,B85/(Waterfall!AA85+Waterfall!AB85))</f>
        <v/>
      </c>
      <c r="H85" s="5">
        <f>IF((Waterfall!J85+Waterfall!L85)&lt;=0.005,999,C85/(Waterfall!J85+Waterfall!L85))</f>
        <v/>
      </c>
      <c r="I85" s="7">
        <f>IF(OR(G85&lt;Inputs!$B$57,H85&lt;Inputs!$B$60),1,0)</f>
        <v/>
      </c>
      <c r="J85" s="5">
        <f>IF((Waterfall!AA85+Waterfall!AB85+Waterfall!AC85)&lt;=0.005,999,B85/(Waterfall!AA85+Waterfall!AB85+Waterfall!AC85))</f>
        <v/>
      </c>
      <c r="K85" s="5">
        <f>IF((Waterfall!J85+Waterfall!L85+Waterfall!N85)&lt;=0.005,999,C85/(Waterfall!J85+Waterfall!L85+Waterfall!N85))</f>
        <v/>
      </c>
      <c r="L85" s="7">
        <f>IF(OR(J85&lt;Inputs!$B$58,K85&lt;Inputs!$B$61),1,0)</f>
        <v/>
      </c>
      <c r="M85" s="7">
        <f>IF(F85+I85+L85&gt;0,1,0)</f>
        <v/>
      </c>
      <c r="N85" s="2">
        <f>Waterfall!P85-Waterfall!B85-Waterfall!J85-Waterfall!L85-Waterfall!N85</f>
        <v/>
      </c>
      <c r="O85" s="9">
        <f>IF(Pool!BK85&lt;=0,0,N85*12/Pool!BK85*10000)</f>
        <v/>
      </c>
      <c r="P85" s="3">
        <f>Pool!BT85/Inputs!$B$49</f>
        <v/>
      </c>
      <c r="Q85" s="2">
        <f>Waterfall!AV85</f>
        <v/>
      </c>
      <c r="R85" s="2">
        <f>Waterfall!BO85</f>
        <v/>
      </c>
    </row>
    <row r="86">
      <c r="A86" s="7" t="n">
        <v>81</v>
      </c>
      <c r="B86" s="2">
        <f>Pool!BV86</f>
        <v/>
      </c>
      <c r="C86" s="2">
        <f>MAX(0,Waterfall!P86-Waterfall!B86)</f>
        <v/>
      </c>
      <c r="D86" s="5">
        <f>IF(Waterfall!AA86&lt;=0.005,999,B86/Waterfall!AA86)</f>
        <v/>
      </c>
      <c r="E86" s="5">
        <f>IF(Waterfall!J86&lt;=0.005,999,C86/Waterfall!J86)</f>
        <v/>
      </c>
      <c r="F86" s="7">
        <f>IF(OR(D86&lt;Inputs!$B$56,E86&lt;Inputs!$B$59),1,0)</f>
        <v/>
      </c>
      <c r="G86" s="5">
        <f>IF((Waterfall!AA86+Waterfall!AB86)&lt;=0.005,999,B86/(Waterfall!AA86+Waterfall!AB86))</f>
        <v/>
      </c>
      <c r="H86" s="5">
        <f>IF((Waterfall!J86+Waterfall!L86)&lt;=0.005,999,C86/(Waterfall!J86+Waterfall!L86))</f>
        <v/>
      </c>
      <c r="I86" s="7">
        <f>IF(OR(G86&lt;Inputs!$B$57,H86&lt;Inputs!$B$60),1,0)</f>
        <v/>
      </c>
      <c r="J86" s="5">
        <f>IF((Waterfall!AA86+Waterfall!AB86+Waterfall!AC86)&lt;=0.005,999,B86/(Waterfall!AA86+Waterfall!AB86+Waterfall!AC86))</f>
        <v/>
      </c>
      <c r="K86" s="5">
        <f>IF((Waterfall!J86+Waterfall!L86+Waterfall!N86)&lt;=0.005,999,C86/(Waterfall!J86+Waterfall!L86+Waterfall!N86))</f>
        <v/>
      </c>
      <c r="L86" s="7">
        <f>IF(OR(J86&lt;Inputs!$B$58,K86&lt;Inputs!$B$61),1,0)</f>
        <v/>
      </c>
      <c r="M86" s="7">
        <f>IF(F86+I86+L86&gt;0,1,0)</f>
        <v/>
      </c>
      <c r="N86" s="2">
        <f>Waterfall!P86-Waterfall!B86-Waterfall!J86-Waterfall!L86-Waterfall!N86</f>
        <v/>
      </c>
      <c r="O86" s="9">
        <f>IF(Pool!BK86&lt;=0,0,N86*12/Pool!BK86*10000)</f>
        <v/>
      </c>
      <c r="P86" s="3">
        <f>Pool!BT86/Inputs!$B$49</f>
        <v/>
      </c>
      <c r="Q86" s="2">
        <f>Waterfall!AV86</f>
        <v/>
      </c>
      <c r="R86" s="2">
        <f>Waterfall!BO86</f>
        <v/>
      </c>
    </row>
    <row r="87">
      <c r="A87" s="7" t="n">
        <v>82</v>
      </c>
      <c r="B87" s="2">
        <f>Pool!BV87</f>
        <v/>
      </c>
      <c r="C87" s="2">
        <f>MAX(0,Waterfall!P87-Waterfall!B87)</f>
        <v/>
      </c>
      <c r="D87" s="5">
        <f>IF(Waterfall!AA87&lt;=0.005,999,B87/Waterfall!AA87)</f>
        <v/>
      </c>
      <c r="E87" s="5">
        <f>IF(Waterfall!J87&lt;=0.005,999,C87/Waterfall!J87)</f>
        <v/>
      </c>
      <c r="F87" s="7">
        <f>IF(OR(D87&lt;Inputs!$B$56,E87&lt;Inputs!$B$59),1,0)</f>
        <v/>
      </c>
      <c r="G87" s="5">
        <f>IF((Waterfall!AA87+Waterfall!AB87)&lt;=0.005,999,B87/(Waterfall!AA87+Waterfall!AB87))</f>
        <v/>
      </c>
      <c r="H87" s="5">
        <f>IF((Waterfall!J87+Waterfall!L87)&lt;=0.005,999,C87/(Waterfall!J87+Waterfall!L87))</f>
        <v/>
      </c>
      <c r="I87" s="7">
        <f>IF(OR(G87&lt;Inputs!$B$57,H87&lt;Inputs!$B$60),1,0)</f>
        <v/>
      </c>
      <c r="J87" s="5">
        <f>IF((Waterfall!AA87+Waterfall!AB87+Waterfall!AC87)&lt;=0.005,999,B87/(Waterfall!AA87+Waterfall!AB87+Waterfall!AC87))</f>
        <v/>
      </c>
      <c r="K87" s="5">
        <f>IF((Waterfall!J87+Waterfall!L87+Waterfall!N87)&lt;=0.005,999,C87/(Waterfall!J87+Waterfall!L87+Waterfall!N87))</f>
        <v/>
      </c>
      <c r="L87" s="7">
        <f>IF(OR(J87&lt;Inputs!$B$58,K87&lt;Inputs!$B$61),1,0)</f>
        <v/>
      </c>
      <c r="M87" s="7">
        <f>IF(F87+I87+L87&gt;0,1,0)</f>
        <v/>
      </c>
      <c r="N87" s="2">
        <f>Waterfall!P87-Waterfall!B87-Waterfall!J87-Waterfall!L87-Waterfall!N87</f>
        <v/>
      </c>
      <c r="O87" s="9">
        <f>IF(Pool!BK87&lt;=0,0,N87*12/Pool!BK87*10000)</f>
        <v/>
      </c>
      <c r="P87" s="3">
        <f>Pool!BT87/Inputs!$B$49</f>
        <v/>
      </c>
      <c r="Q87" s="2">
        <f>Waterfall!AV87</f>
        <v/>
      </c>
      <c r="R87" s="2">
        <f>Waterfall!BO87</f>
        <v/>
      </c>
    </row>
    <row r="88">
      <c r="A88" s="7" t="n">
        <v>83</v>
      </c>
      <c r="B88" s="2">
        <f>Pool!BV88</f>
        <v/>
      </c>
      <c r="C88" s="2">
        <f>MAX(0,Waterfall!P88-Waterfall!B88)</f>
        <v/>
      </c>
      <c r="D88" s="5">
        <f>IF(Waterfall!AA88&lt;=0.005,999,B88/Waterfall!AA88)</f>
        <v/>
      </c>
      <c r="E88" s="5">
        <f>IF(Waterfall!J88&lt;=0.005,999,C88/Waterfall!J88)</f>
        <v/>
      </c>
      <c r="F88" s="7">
        <f>IF(OR(D88&lt;Inputs!$B$56,E88&lt;Inputs!$B$59),1,0)</f>
        <v/>
      </c>
      <c r="G88" s="5">
        <f>IF((Waterfall!AA88+Waterfall!AB88)&lt;=0.005,999,B88/(Waterfall!AA88+Waterfall!AB88))</f>
        <v/>
      </c>
      <c r="H88" s="5">
        <f>IF((Waterfall!J88+Waterfall!L88)&lt;=0.005,999,C88/(Waterfall!J88+Waterfall!L88))</f>
        <v/>
      </c>
      <c r="I88" s="7">
        <f>IF(OR(G88&lt;Inputs!$B$57,H88&lt;Inputs!$B$60),1,0)</f>
        <v/>
      </c>
      <c r="J88" s="5">
        <f>IF((Waterfall!AA88+Waterfall!AB88+Waterfall!AC88)&lt;=0.005,999,B88/(Waterfall!AA88+Waterfall!AB88+Waterfall!AC88))</f>
        <v/>
      </c>
      <c r="K88" s="5">
        <f>IF((Waterfall!J88+Waterfall!L88+Waterfall!N88)&lt;=0.005,999,C88/(Waterfall!J88+Waterfall!L88+Waterfall!N88))</f>
        <v/>
      </c>
      <c r="L88" s="7">
        <f>IF(OR(J88&lt;Inputs!$B$58,K88&lt;Inputs!$B$61),1,0)</f>
        <v/>
      </c>
      <c r="M88" s="7">
        <f>IF(F88+I88+L88&gt;0,1,0)</f>
        <v/>
      </c>
      <c r="N88" s="2">
        <f>Waterfall!P88-Waterfall!B88-Waterfall!J88-Waterfall!L88-Waterfall!N88</f>
        <v/>
      </c>
      <c r="O88" s="9">
        <f>IF(Pool!BK88&lt;=0,0,N88*12/Pool!BK88*10000)</f>
        <v/>
      </c>
      <c r="P88" s="3">
        <f>Pool!BT88/Inputs!$B$49</f>
        <v/>
      </c>
      <c r="Q88" s="2">
        <f>Waterfall!AV88</f>
        <v/>
      </c>
      <c r="R88" s="2">
        <f>Waterfall!BO88</f>
        <v/>
      </c>
    </row>
    <row r="89">
      <c r="A89" s="7" t="n">
        <v>84</v>
      </c>
      <c r="B89" s="2">
        <f>Pool!BV89</f>
        <v/>
      </c>
      <c r="C89" s="2">
        <f>MAX(0,Waterfall!P89-Waterfall!B89)</f>
        <v/>
      </c>
      <c r="D89" s="5">
        <f>IF(Waterfall!AA89&lt;=0.005,999,B89/Waterfall!AA89)</f>
        <v/>
      </c>
      <c r="E89" s="5">
        <f>IF(Waterfall!J89&lt;=0.005,999,C89/Waterfall!J89)</f>
        <v/>
      </c>
      <c r="F89" s="7">
        <f>IF(OR(D89&lt;Inputs!$B$56,E89&lt;Inputs!$B$59),1,0)</f>
        <v/>
      </c>
      <c r="G89" s="5">
        <f>IF((Waterfall!AA89+Waterfall!AB89)&lt;=0.005,999,B89/(Waterfall!AA89+Waterfall!AB89))</f>
        <v/>
      </c>
      <c r="H89" s="5">
        <f>IF((Waterfall!J89+Waterfall!L89)&lt;=0.005,999,C89/(Waterfall!J89+Waterfall!L89))</f>
        <v/>
      </c>
      <c r="I89" s="7">
        <f>IF(OR(G89&lt;Inputs!$B$57,H89&lt;Inputs!$B$60),1,0)</f>
        <v/>
      </c>
      <c r="J89" s="5">
        <f>IF((Waterfall!AA89+Waterfall!AB89+Waterfall!AC89)&lt;=0.005,999,B89/(Waterfall!AA89+Waterfall!AB89+Waterfall!AC89))</f>
        <v/>
      </c>
      <c r="K89" s="5">
        <f>IF((Waterfall!J89+Waterfall!L89+Waterfall!N89)&lt;=0.005,999,C89/(Waterfall!J89+Waterfall!L89+Waterfall!N89))</f>
        <v/>
      </c>
      <c r="L89" s="7">
        <f>IF(OR(J89&lt;Inputs!$B$58,K89&lt;Inputs!$B$61),1,0)</f>
        <v/>
      </c>
      <c r="M89" s="7">
        <f>IF(F89+I89+L89&gt;0,1,0)</f>
        <v/>
      </c>
      <c r="N89" s="2">
        <f>Waterfall!P89-Waterfall!B89-Waterfall!J89-Waterfall!L89-Waterfall!N89</f>
        <v/>
      </c>
      <c r="O89" s="9">
        <f>IF(Pool!BK89&lt;=0,0,N89*12/Pool!BK89*10000)</f>
        <v/>
      </c>
      <c r="P89" s="3">
        <f>Pool!BT89/Inputs!$B$49</f>
        <v/>
      </c>
      <c r="Q89" s="2">
        <f>Waterfall!AV89</f>
        <v/>
      </c>
      <c r="R89" s="2">
        <f>Waterfall!BO89</f>
        <v/>
      </c>
    </row>
    <row r="90">
      <c r="A90" s="7" t="n">
        <v>85</v>
      </c>
      <c r="B90" s="2">
        <f>Pool!BV90</f>
        <v/>
      </c>
      <c r="C90" s="2">
        <f>MAX(0,Waterfall!P90-Waterfall!B90)</f>
        <v/>
      </c>
      <c r="D90" s="5">
        <f>IF(Waterfall!AA90&lt;=0.005,999,B90/Waterfall!AA90)</f>
        <v/>
      </c>
      <c r="E90" s="5">
        <f>IF(Waterfall!J90&lt;=0.005,999,C90/Waterfall!J90)</f>
        <v/>
      </c>
      <c r="F90" s="7">
        <f>IF(OR(D90&lt;Inputs!$B$56,E90&lt;Inputs!$B$59),1,0)</f>
        <v/>
      </c>
      <c r="G90" s="5">
        <f>IF((Waterfall!AA90+Waterfall!AB90)&lt;=0.005,999,B90/(Waterfall!AA90+Waterfall!AB90))</f>
        <v/>
      </c>
      <c r="H90" s="5">
        <f>IF((Waterfall!J90+Waterfall!L90)&lt;=0.005,999,C90/(Waterfall!J90+Waterfall!L90))</f>
        <v/>
      </c>
      <c r="I90" s="7">
        <f>IF(OR(G90&lt;Inputs!$B$57,H90&lt;Inputs!$B$60),1,0)</f>
        <v/>
      </c>
      <c r="J90" s="5">
        <f>IF((Waterfall!AA90+Waterfall!AB90+Waterfall!AC90)&lt;=0.005,999,B90/(Waterfall!AA90+Waterfall!AB90+Waterfall!AC90))</f>
        <v/>
      </c>
      <c r="K90" s="5">
        <f>IF((Waterfall!J90+Waterfall!L90+Waterfall!N90)&lt;=0.005,999,C90/(Waterfall!J90+Waterfall!L90+Waterfall!N90))</f>
        <v/>
      </c>
      <c r="L90" s="7">
        <f>IF(OR(J90&lt;Inputs!$B$58,K90&lt;Inputs!$B$61),1,0)</f>
        <v/>
      </c>
      <c r="M90" s="7">
        <f>IF(F90+I90+L90&gt;0,1,0)</f>
        <v/>
      </c>
      <c r="N90" s="2">
        <f>Waterfall!P90-Waterfall!B90-Waterfall!J90-Waterfall!L90-Waterfall!N90</f>
        <v/>
      </c>
      <c r="O90" s="9">
        <f>IF(Pool!BK90&lt;=0,0,N90*12/Pool!BK90*10000)</f>
        <v/>
      </c>
      <c r="P90" s="3">
        <f>Pool!BT90/Inputs!$B$49</f>
        <v/>
      </c>
      <c r="Q90" s="2">
        <f>Waterfall!AV90</f>
        <v/>
      </c>
      <c r="R90" s="2">
        <f>Waterfall!BO90</f>
        <v/>
      </c>
    </row>
    <row r="91">
      <c r="A91" s="7" t="n">
        <v>86</v>
      </c>
      <c r="B91" s="2">
        <f>Pool!BV91</f>
        <v/>
      </c>
      <c r="C91" s="2">
        <f>MAX(0,Waterfall!P91-Waterfall!B91)</f>
        <v/>
      </c>
      <c r="D91" s="5">
        <f>IF(Waterfall!AA91&lt;=0.005,999,B91/Waterfall!AA91)</f>
        <v/>
      </c>
      <c r="E91" s="5">
        <f>IF(Waterfall!J91&lt;=0.005,999,C91/Waterfall!J91)</f>
        <v/>
      </c>
      <c r="F91" s="7">
        <f>IF(OR(D91&lt;Inputs!$B$56,E91&lt;Inputs!$B$59),1,0)</f>
        <v/>
      </c>
      <c r="G91" s="5">
        <f>IF((Waterfall!AA91+Waterfall!AB91)&lt;=0.005,999,B91/(Waterfall!AA91+Waterfall!AB91))</f>
        <v/>
      </c>
      <c r="H91" s="5">
        <f>IF((Waterfall!J91+Waterfall!L91)&lt;=0.005,999,C91/(Waterfall!J91+Waterfall!L91))</f>
        <v/>
      </c>
      <c r="I91" s="7">
        <f>IF(OR(G91&lt;Inputs!$B$57,H91&lt;Inputs!$B$60),1,0)</f>
        <v/>
      </c>
      <c r="J91" s="5">
        <f>IF((Waterfall!AA91+Waterfall!AB91+Waterfall!AC91)&lt;=0.005,999,B91/(Waterfall!AA91+Waterfall!AB91+Waterfall!AC91))</f>
        <v/>
      </c>
      <c r="K91" s="5">
        <f>IF((Waterfall!J91+Waterfall!L91+Waterfall!N91)&lt;=0.005,999,C91/(Waterfall!J91+Waterfall!L91+Waterfall!N91))</f>
        <v/>
      </c>
      <c r="L91" s="7">
        <f>IF(OR(J91&lt;Inputs!$B$58,K91&lt;Inputs!$B$61),1,0)</f>
        <v/>
      </c>
      <c r="M91" s="7">
        <f>IF(F91+I91+L91&gt;0,1,0)</f>
        <v/>
      </c>
      <c r="N91" s="2">
        <f>Waterfall!P91-Waterfall!B91-Waterfall!J91-Waterfall!L91-Waterfall!N91</f>
        <v/>
      </c>
      <c r="O91" s="9">
        <f>IF(Pool!BK91&lt;=0,0,N91*12/Pool!BK91*10000)</f>
        <v/>
      </c>
      <c r="P91" s="3">
        <f>Pool!BT91/Inputs!$B$49</f>
        <v/>
      </c>
      <c r="Q91" s="2">
        <f>Waterfall!AV91</f>
        <v/>
      </c>
      <c r="R91" s="2">
        <f>Waterfall!BO91</f>
        <v/>
      </c>
    </row>
    <row r="92">
      <c r="A92" s="7" t="n">
        <v>87</v>
      </c>
      <c r="B92" s="2">
        <f>Pool!BV92</f>
        <v/>
      </c>
      <c r="C92" s="2">
        <f>MAX(0,Waterfall!P92-Waterfall!B92)</f>
        <v/>
      </c>
      <c r="D92" s="5">
        <f>IF(Waterfall!AA92&lt;=0.005,999,B92/Waterfall!AA92)</f>
        <v/>
      </c>
      <c r="E92" s="5">
        <f>IF(Waterfall!J92&lt;=0.005,999,C92/Waterfall!J92)</f>
        <v/>
      </c>
      <c r="F92" s="7">
        <f>IF(OR(D92&lt;Inputs!$B$56,E92&lt;Inputs!$B$59),1,0)</f>
        <v/>
      </c>
      <c r="G92" s="5">
        <f>IF((Waterfall!AA92+Waterfall!AB92)&lt;=0.005,999,B92/(Waterfall!AA92+Waterfall!AB92))</f>
        <v/>
      </c>
      <c r="H92" s="5">
        <f>IF((Waterfall!J92+Waterfall!L92)&lt;=0.005,999,C92/(Waterfall!J92+Waterfall!L92))</f>
        <v/>
      </c>
      <c r="I92" s="7">
        <f>IF(OR(G92&lt;Inputs!$B$57,H92&lt;Inputs!$B$60),1,0)</f>
        <v/>
      </c>
      <c r="J92" s="5">
        <f>IF((Waterfall!AA92+Waterfall!AB92+Waterfall!AC92)&lt;=0.005,999,B92/(Waterfall!AA92+Waterfall!AB92+Waterfall!AC92))</f>
        <v/>
      </c>
      <c r="K92" s="5">
        <f>IF((Waterfall!J92+Waterfall!L92+Waterfall!N92)&lt;=0.005,999,C92/(Waterfall!J92+Waterfall!L92+Waterfall!N92))</f>
        <v/>
      </c>
      <c r="L92" s="7">
        <f>IF(OR(J92&lt;Inputs!$B$58,K92&lt;Inputs!$B$61),1,0)</f>
        <v/>
      </c>
      <c r="M92" s="7">
        <f>IF(F92+I92+L92&gt;0,1,0)</f>
        <v/>
      </c>
      <c r="N92" s="2">
        <f>Waterfall!P92-Waterfall!B92-Waterfall!J92-Waterfall!L92-Waterfall!N92</f>
        <v/>
      </c>
      <c r="O92" s="9">
        <f>IF(Pool!BK92&lt;=0,0,N92*12/Pool!BK92*10000)</f>
        <v/>
      </c>
      <c r="P92" s="3">
        <f>Pool!BT92/Inputs!$B$49</f>
        <v/>
      </c>
      <c r="Q92" s="2">
        <f>Waterfall!AV92</f>
        <v/>
      </c>
      <c r="R92" s="2">
        <f>Waterfall!BO92</f>
        <v/>
      </c>
    </row>
    <row r="93">
      <c r="A93" s="7" t="n">
        <v>88</v>
      </c>
      <c r="B93" s="2">
        <f>Pool!BV93</f>
        <v/>
      </c>
      <c r="C93" s="2">
        <f>MAX(0,Waterfall!P93-Waterfall!B93)</f>
        <v/>
      </c>
      <c r="D93" s="5">
        <f>IF(Waterfall!AA93&lt;=0.005,999,B93/Waterfall!AA93)</f>
        <v/>
      </c>
      <c r="E93" s="5">
        <f>IF(Waterfall!J93&lt;=0.005,999,C93/Waterfall!J93)</f>
        <v/>
      </c>
      <c r="F93" s="7">
        <f>IF(OR(D93&lt;Inputs!$B$56,E93&lt;Inputs!$B$59),1,0)</f>
        <v/>
      </c>
      <c r="G93" s="5">
        <f>IF((Waterfall!AA93+Waterfall!AB93)&lt;=0.005,999,B93/(Waterfall!AA93+Waterfall!AB93))</f>
        <v/>
      </c>
      <c r="H93" s="5">
        <f>IF((Waterfall!J93+Waterfall!L93)&lt;=0.005,999,C93/(Waterfall!J93+Waterfall!L93))</f>
        <v/>
      </c>
      <c r="I93" s="7">
        <f>IF(OR(G93&lt;Inputs!$B$57,H93&lt;Inputs!$B$60),1,0)</f>
        <v/>
      </c>
      <c r="J93" s="5">
        <f>IF((Waterfall!AA93+Waterfall!AB93+Waterfall!AC93)&lt;=0.005,999,B93/(Waterfall!AA93+Waterfall!AB93+Waterfall!AC93))</f>
        <v/>
      </c>
      <c r="K93" s="5">
        <f>IF((Waterfall!J93+Waterfall!L93+Waterfall!N93)&lt;=0.005,999,C93/(Waterfall!J93+Waterfall!L93+Waterfall!N93))</f>
        <v/>
      </c>
      <c r="L93" s="7">
        <f>IF(OR(J93&lt;Inputs!$B$58,K93&lt;Inputs!$B$61),1,0)</f>
        <v/>
      </c>
      <c r="M93" s="7">
        <f>IF(F93+I93+L93&gt;0,1,0)</f>
        <v/>
      </c>
      <c r="N93" s="2">
        <f>Waterfall!P93-Waterfall!B93-Waterfall!J93-Waterfall!L93-Waterfall!N93</f>
        <v/>
      </c>
      <c r="O93" s="9">
        <f>IF(Pool!BK93&lt;=0,0,N93*12/Pool!BK93*10000)</f>
        <v/>
      </c>
      <c r="P93" s="3">
        <f>Pool!BT93/Inputs!$B$49</f>
        <v/>
      </c>
      <c r="Q93" s="2">
        <f>Waterfall!AV93</f>
        <v/>
      </c>
      <c r="R93" s="2">
        <f>Waterfall!BO93</f>
        <v/>
      </c>
    </row>
    <row r="94">
      <c r="A94" s="7" t="n">
        <v>89</v>
      </c>
      <c r="B94" s="2">
        <f>Pool!BV94</f>
        <v/>
      </c>
      <c r="C94" s="2">
        <f>MAX(0,Waterfall!P94-Waterfall!B94)</f>
        <v/>
      </c>
      <c r="D94" s="5">
        <f>IF(Waterfall!AA94&lt;=0.005,999,B94/Waterfall!AA94)</f>
        <v/>
      </c>
      <c r="E94" s="5">
        <f>IF(Waterfall!J94&lt;=0.005,999,C94/Waterfall!J94)</f>
        <v/>
      </c>
      <c r="F94" s="7">
        <f>IF(OR(D94&lt;Inputs!$B$56,E94&lt;Inputs!$B$59),1,0)</f>
        <v/>
      </c>
      <c r="G94" s="5">
        <f>IF((Waterfall!AA94+Waterfall!AB94)&lt;=0.005,999,B94/(Waterfall!AA94+Waterfall!AB94))</f>
        <v/>
      </c>
      <c r="H94" s="5">
        <f>IF((Waterfall!J94+Waterfall!L94)&lt;=0.005,999,C94/(Waterfall!J94+Waterfall!L94))</f>
        <v/>
      </c>
      <c r="I94" s="7">
        <f>IF(OR(G94&lt;Inputs!$B$57,H94&lt;Inputs!$B$60),1,0)</f>
        <v/>
      </c>
      <c r="J94" s="5">
        <f>IF((Waterfall!AA94+Waterfall!AB94+Waterfall!AC94)&lt;=0.005,999,B94/(Waterfall!AA94+Waterfall!AB94+Waterfall!AC94))</f>
        <v/>
      </c>
      <c r="K94" s="5">
        <f>IF((Waterfall!J94+Waterfall!L94+Waterfall!N94)&lt;=0.005,999,C94/(Waterfall!J94+Waterfall!L94+Waterfall!N94))</f>
        <v/>
      </c>
      <c r="L94" s="7">
        <f>IF(OR(J94&lt;Inputs!$B$58,K94&lt;Inputs!$B$61),1,0)</f>
        <v/>
      </c>
      <c r="M94" s="7">
        <f>IF(F94+I94+L94&gt;0,1,0)</f>
        <v/>
      </c>
      <c r="N94" s="2">
        <f>Waterfall!P94-Waterfall!B94-Waterfall!J94-Waterfall!L94-Waterfall!N94</f>
        <v/>
      </c>
      <c r="O94" s="9">
        <f>IF(Pool!BK94&lt;=0,0,N94*12/Pool!BK94*10000)</f>
        <v/>
      </c>
      <c r="P94" s="3">
        <f>Pool!BT94/Inputs!$B$49</f>
        <v/>
      </c>
      <c r="Q94" s="2">
        <f>Waterfall!AV94</f>
        <v/>
      </c>
      <c r="R94" s="2">
        <f>Waterfall!BO94</f>
        <v/>
      </c>
    </row>
    <row r="95">
      <c r="A95" s="7" t="n">
        <v>90</v>
      </c>
      <c r="B95" s="2">
        <f>Pool!BV95</f>
        <v/>
      </c>
      <c r="C95" s="2">
        <f>MAX(0,Waterfall!P95-Waterfall!B95)</f>
        <v/>
      </c>
      <c r="D95" s="5">
        <f>IF(Waterfall!AA95&lt;=0.005,999,B95/Waterfall!AA95)</f>
        <v/>
      </c>
      <c r="E95" s="5">
        <f>IF(Waterfall!J95&lt;=0.005,999,C95/Waterfall!J95)</f>
        <v/>
      </c>
      <c r="F95" s="7">
        <f>IF(OR(D95&lt;Inputs!$B$56,E95&lt;Inputs!$B$59),1,0)</f>
        <v/>
      </c>
      <c r="G95" s="5">
        <f>IF((Waterfall!AA95+Waterfall!AB95)&lt;=0.005,999,B95/(Waterfall!AA95+Waterfall!AB95))</f>
        <v/>
      </c>
      <c r="H95" s="5">
        <f>IF((Waterfall!J95+Waterfall!L95)&lt;=0.005,999,C95/(Waterfall!J95+Waterfall!L95))</f>
        <v/>
      </c>
      <c r="I95" s="7">
        <f>IF(OR(G95&lt;Inputs!$B$57,H95&lt;Inputs!$B$60),1,0)</f>
        <v/>
      </c>
      <c r="J95" s="5">
        <f>IF((Waterfall!AA95+Waterfall!AB95+Waterfall!AC95)&lt;=0.005,999,B95/(Waterfall!AA95+Waterfall!AB95+Waterfall!AC95))</f>
        <v/>
      </c>
      <c r="K95" s="5">
        <f>IF((Waterfall!J95+Waterfall!L95+Waterfall!N95)&lt;=0.005,999,C95/(Waterfall!J95+Waterfall!L95+Waterfall!N95))</f>
        <v/>
      </c>
      <c r="L95" s="7">
        <f>IF(OR(J95&lt;Inputs!$B$58,K95&lt;Inputs!$B$61),1,0)</f>
        <v/>
      </c>
      <c r="M95" s="7">
        <f>IF(F95+I95+L95&gt;0,1,0)</f>
        <v/>
      </c>
      <c r="N95" s="2">
        <f>Waterfall!P95-Waterfall!B95-Waterfall!J95-Waterfall!L95-Waterfall!N95</f>
        <v/>
      </c>
      <c r="O95" s="9">
        <f>IF(Pool!BK95&lt;=0,0,N95*12/Pool!BK95*10000)</f>
        <v/>
      </c>
      <c r="P95" s="3">
        <f>Pool!BT95/Inputs!$B$49</f>
        <v/>
      </c>
      <c r="Q95" s="2">
        <f>Waterfall!AV95</f>
        <v/>
      </c>
      <c r="R95" s="2">
        <f>Waterfall!BO95</f>
        <v/>
      </c>
    </row>
    <row r="96">
      <c r="A96" s="7" t="n">
        <v>91</v>
      </c>
      <c r="B96" s="2">
        <f>Pool!BV96</f>
        <v/>
      </c>
      <c r="C96" s="2">
        <f>MAX(0,Waterfall!P96-Waterfall!B96)</f>
        <v/>
      </c>
      <c r="D96" s="5">
        <f>IF(Waterfall!AA96&lt;=0.005,999,B96/Waterfall!AA96)</f>
        <v/>
      </c>
      <c r="E96" s="5">
        <f>IF(Waterfall!J96&lt;=0.005,999,C96/Waterfall!J96)</f>
        <v/>
      </c>
      <c r="F96" s="7">
        <f>IF(OR(D96&lt;Inputs!$B$56,E96&lt;Inputs!$B$59),1,0)</f>
        <v/>
      </c>
      <c r="G96" s="5">
        <f>IF((Waterfall!AA96+Waterfall!AB96)&lt;=0.005,999,B96/(Waterfall!AA96+Waterfall!AB96))</f>
        <v/>
      </c>
      <c r="H96" s="5">
        <f>IF((Waterfall!J96+Waterfall!L96)&lt;=0.005,999,C96/(Waterfall!J96+Waterfall!L96))</f>
        <v/>
      </c>
      <c r="I96" s="7">
        <f>IF(OR(G96&lt;Inputs!$B$57,H96&lt;Inputs!$B$60),1,0)</f>
        <v/>
      </c>
      <c r="J96" s="5">
        <f>IF((Waterfall!AA96+Waterfall!AB96+Waterfall!AC96)&lt;=0.005,999,B96/(Waterfall!AA96+Waterfall!AB96+Waterfall!AC96))</f>
        <v/>
      </c>
      <c r="K96" s="5">
        <f>IF((Waterfall!J96+Waterfall!L96+Waterfall!N96)&lt;=0.005,999,C96/(Waterfall!J96+Waterfall!L96+Waterfall!N96))</f>
        <v/>
      </c>
      <c r="L96" s="7">
        <f>IF(OR(J96&lt;Inputs!$B$58,K96&lt;Inputs!$B$61),1,0)</f>
        <v/>
      </c>
      <c r="M96" s="7">
        <f>IF(F96+I96+L96&gt;0,1,0)</f>
        <v/>
      </c>
      <c r="N96" s="2">
        <f>Waterfall!P96-Waterfall!B96-Waterfall!J96-Waterfall!L96-Waterfall!N96</f>
        <v/>
      </c>
      <c r="O96" s="9">
        <f>IF(Pool!BK96&lt;=0,0,N96*12/Pool!BK96*10000)</f>
        <v/>
      </c>
      <c r="P96" s="3">
        <f>Pool!BT96/Inputs!$B$49</f>
        <v/>
      </c>
      <c r="Q96" s="2">
        <f>Waterfall!AV96</f>
        <v/>
      </c>
      <c r="R96" s="2">
        <f>Waterfall!BO96</f>
        <v/>
      </c>
    </row>
    <row r="97">
      <c r="A97" s="7" t="n">
        <v>92</v>
      </c>
      <c r="B97" s="2">
        <f>Pool!BV97</f>
        <v/>
      </c>
      <c r="C97" s="2">
        <f>MAX(0,Waterfall!P97-Waterfall!B97)</f>
        <v/>
      </c>
      <c r="D97" s="5">
        <f>IF(Waterfall!AA97&lt;=0.005,999,B97/Waterfall!AA97)</f>
        <v/>
      </c>
      <c r="E97" s="5">
        <f>IF(Waterfall!J97&lt;=0.005,999,C97/Waterfall!J97)</f>
        <v/>
      </c>
      <c r="F97" s="7">
        <f>IF(OR(D97&lt;Inputs!$B$56,E97&lt;Inputs!$B$59),1,0)</f>
        <v/>
      </c>
      <c r="G97" s="5">
        <f>IF((Waterfall!AA97+Waterfall!AB97)&lt;=0.005,999,B97/(Waterfall!AA97+Waterfall!AB97))</f>
        <v/>
      </c>
      <c r="H97" s="5">
        <f>IF((Waterfall!J97+Waterfall!L97)&lt;=0.005,999,C97/(Waterfall!J97+Waterfall!L97))</f>
        <v/>
      </c>
      <c r="I97" s="7">
        <f>IF(OR(G97&lt;Inputs!$B$57,H97&lt;Inputs!$B$60),1,0)</f>
        <v/>
      </c>
      <c r="J97" s="5">
        <f>IF((Waterfall!AA97+Waterfall!AB97+Waterfall!AC97)&lt;=0.005,999,B97/(Waterfall!AA97+Waterfall!AB97+Waterfall!AC97))</f>
        <v/>
      </c>
      <c r="K97" s="5">
        <f>IF((Waterfall!J97+Waterfall!L97+Waterfall!N97)&lt;=0.005,999,C97/(Waterfall!J97+Waterfall!L97+Waterfall!N97))</f>
        <v/>
      </c>
      <c r="L97" s="7">
        <f>IF(OR(J97&lt;Inputs!$B$58,K97&lt;Inputs!$B$61),1,0)</f>
        <v/>
      </c>
      <c r="M97" s="7">
        <f>IF(F97+I97+L97&gt;0,1,0)</f>
        <v/>
      </c>
      <c r="N97" s="2">
        <f>Waterfall!P97-Waterfall!B97-Waterfall!J97-Waterfall!L97-Waterfall!N97</f>
        <v/>
      </c>
      <c r="O97" s="9">
        <f>IF(Pool!BK97&lt;=0,0,N97*12/Pool!BK97*10000)</f>
        <v/>
      </c>
      <c r="P97" s="3">
        <f>Pool!BT97/Inputs!$B$49</f>
        <v/>
      </c>
      <c r="Q97" s="2">
        <f>Waterfall!AV97</f>
        <v/>
      </c>
      <c r="R97" s="2">
        <f>Waterfall!BO97</f>
        <v/>
      </c>
    </row>
    <row r="98">
      <c r="A98" s="7" t="n">
        <v>93</v>
      </c>
      <c r="B98" s="2">
        <f>Pool!BV98</f>
        <v/>
      </c>
      <c r="C98" s="2">
        <f>MAX(0,Waterfall!P98-Waterfall!B98)</f>
        <v/>
      </c>
      <c r="D98" s="5">
        <f>IF(Waterfall!AA98&lt;=0.005,999,B98/Waterfall!AA98)</f>
        <v/>
      </c>
      <c r="E98" s="5">
        <f>IF(Waterfall!J98&lt;=0.005,999,C98/Waterfall!J98)</f>
        <v/>
      </c>
      <c r="F98" s="7">
        <f>IF(OR(D98&lt;Inputs!$B$56,E98&lt;Inputs!$B$59),1,0)</f>
        <v/>
      </c>
      <c r="G98" s="5">
        <f>IF((Waterfall!AA98+Waterfall!AB98)&lt;=0.005,999,B98/(Waterfall!AA98+Waterfall!AB98))</f>
        <v/>
      </c>
      <c r="H98" s="5">
        <f>IF((Waterfall!J98+Waterfall!L98)&lt;=0.005,999,C98/(Waterfall!J98+Waterfall!L98))</f>
        <v/>
      </c>
      <c r="I98" s="7">
        <f>IF(OR(G98&lt;Inputs!$B$57,H98&lt;Inputs!$B$60),1,0)</f>
        <v/>
      </c>
      <c r="J98" s="5">
        <f>IF((Waterfall!AA98+Waterfall!AB98+Waterfall!AC98)&lt;=0.005,999,B98/(Waterfall!AA98+Waterfall!AB98+Waterfall!AC98))</f>
        <v/>
      </c>
      <c r="K98" s="5">
        <f>IF((Waterfall!J98+Waterfall!L98+Waterfall!N98)&lt;=0.005,999,C98/(Waterfall!J98+Waterfall!L98+Waterfall!N98))</f>
        <v/>
      </c>
      <c r="L98" s="7">
        <f>IF(OR(J98&lt;Inputs!$B$58,K98&lt;Inputs!$B$61),1,0)</f>
        <v/>
      </c>
      <c r="M98" s="7">
        <f>IF(F98+I98+L98&gt;0,1,0)</f>
        <v/>
      </c>
      <c r="N98" s="2">
        <f>Waterfall!P98-Waterfall!B98-Waterfall!J98-Waterfall!L98-Waterfall!N98</f>
        <v/>
      </c>
      <c r="O98" s="9">
        <f>IF(Pool!BK98&lt;=0,0,N98*12/Pool!BK98*10000)</f>
        <v/>
      </c>
      <c r="P98" s="3">
        <f>Pool!BT98/Inputs!$B$49</f>
        <v/>
      </c>
      <c r="Q98" s="2">
        <f>Waterfall!AV98</f>
        <v/>
      </c>
      <c r="R98" s="2">
        <f>Waterfall!BO98</f>
        <v/>
      </c>
    </row>
    <row r="99">
      <c r="A99" s="7" t="n">
        <v>94</v>
      </c>
      <c r="B99" s="2">
        <f>Pool!BV99</f>
        <v/>
      </c>
      <c r="C99" s="2">
        <f>MAX(0,Waterfall!P99-Waterfall!B99)</f>
        <v/>
      </c>
      <c r="D99" s="5">
        <f>IF(Waterfall!AA99&lt;=0.005,999,B99/Waterfall!AA99)</f>
        <v/>
      </c>
      <c r="E99" s="5">
        <f>IF(Waterfall!J99&lt;=0.005,999,C99/Waterfall!J99)</f>
        <v/>
      </c>
      <c r="F99" s="7">
        <f>IF(OR(D99&lt;Inputs!$B$56,E99&lt;Inputs!$B$59),1,0)</f>
        <v/>
      </c>
      <c r="G99" s="5">
        <f>IF((Waterfall!AA99+Waterfall!AB99)&lt;=0.005,999,B99/(Waterfall!AA99+Waterfall!AB99))</f>
        <v/>
      </c>
      <c r="H99" s="5">
        <f>IF((Waterfall!J99+Waterfall!L99)&lt;=0.005,999,C99/(Waterfall!J99+Waterfall!L99))</f>
        <v/>
      </c>
      <c r="I99" s="7">
        <f>IF(OR(G99&lt;Inputs!$B$57,H99&lt;Inputs!$B$60),1,0)</f>
        <v/>
      </c>
      <c r="J99" s="5">
        <f>IF((Waterfall!AA99+Waterfall!AB99+Waterfall!AC99)&lt;=0.005,999,B99/(Waterfall!AA99+Waterfall!AB99+Waterfall!AC99))</f>
        <v/>
      </c>
      <c r="K99" s="5">
        <f>IF((Waterfall!J99+Waterfall!L99+Waterfall!N99)&lt;=0.005,999,C99/(Waterfall!J99+Waterfall!L99+Waterfall!N99))</f>
        <v/>
      </c>
      <c r="L99" s="7">
        <f>IF(OR(J99&lt;Inputs!$B$58,K99&lt;Inputs!$B$61),1,0)</f>
        <v/>
      </c>
      <c r="M99" s="7">
        <f>IF(F99+I99+L99&gt;0,1,0)</f>
        <v/>
      </c>
      <c r="N99" s="2">
        <f>Waterfall!P99-Waterfall!B99-Waterfall!J99-Waterfall!L99-Waterfall!N99</f>
        <v/>
      </c>
      <c r="O99" s="9">
        <f>IF(Pool!BK99&lt;=0,0,N99*12/Pool!BK99*10000)</f>
        <v/>
      </c>
      <c r="P99" s="3">
        <f>Pool!BT99/Inputs!$B$49</f>
        <v/>
      </c>
      <c r="Q99" s="2">
        <f>Waterfall!AV99</f>
        <v/>
      </c>
      <c r="R99" s="2">
        <f>Waterfall!BO99</f>
        <v/>
      </c>
    </row>
    <row r="100">
      <c r="A100" s="7" t="n">
        <v>95</v>
      </c>
      <c r="B100" s="2">
        <f>Pool!BV100</f>
        <v/>
      </c>
      <c r="C100" s="2">
        <f>MAX(0,Waterfall!P100-Waterfall!B100)</f>
        <v/>
      </c>
      <c r="D100" s="5">
        <f>IF(Waterfall!AA100&lt;=0.005,999,B100/Waterfall!AA100)</f>
        <v/>
      </c>
      <c r="E100" s="5">
        <f>IF(Waterfall!J100&lt;=0.005,999,C100/Waterfall!J100)</f>
        <v/>
      </c>
      <c r="F100" s="7">
        <f>IF(OR(D100&lt;Inputs!$B$56,E100&lt;Inputs!$B$59),1,0)</f>
        <v/>
      </c>
      <c r="G100" s="5">
        <f>IF((Waterfall!AA100+Waterfall!AB100)&lt;=0.005,999,B100/(Waterfall!AA100+Waterfall!AB100))</f>
        <v/>
      </c>
      <c r="H100" s="5">
        <f>IF((Waterfall!J100+Waterfall!L100)&lt;=0.005,999,C100/(Waterfall!J100+Waterfall!L100))</f>
        <v/>
      </c>
      <c r="I100" s="7">
        <f>IF(OR(G100&lt;Inputs!$B$57,H100&lt;Inputs!$B$60),1,0)</f>
        <v/>
      </c>
      <c r="J100" s="5">
        <f>IF((Waterfall!AA100+Waterfall!AB100+Waterfall!AC100)&lt;=0.005,999,B100/(Waterfall!AA100+Waterfall!AB100+Waterfall!AC100))</f>
        <v/>
      </c>
      <c r="K100" s="5">
        <f>IF((Waterfall!J100+Waterfall!L100+Waterfall!N100)&lt;=0.005,999,C100/(Waterfall!J100+Waterfall!L100+Waterfall!N100))</f>
        <v/>
      </c>
      <c r="L100" s="7">
        <f>IF(OR(J100&lt;Inputs!$B$58,K100&lt;Inputs!$B$61),1,0)</f>
        <v/>
      </c>
      <c r="M100" s="7">
        <f>IF(F100+I100+L100&gt;0,1,0)</f>
        <v/>
      </c>
      <c r="N100" s="2">
        <f>Waterfall!P100-Waterfall!B100-Waterfall!J100-Waterfall!L100-Waterfall!N100</f>
        <v/>
      </c>
      <c r="O100" s="9">
        <f>IF(Pool!BK100&lt;=0,0,N100*12/Pool!BK100*10000)</f>
        <v/>
      </c>
      <c r="P100" s="3">
        <f>Pool!BT100/Inputs!$B$49</f>
        <v/>
      </c>
      <c r="Q100" s="2">
        <f>Waterfall!AV100</f>
        <v/>
      </c>
      <c r="R100" s="2">
        <f>Waterfall!BO100</f>
        <v/>
      </c>
    </row>
    <row r="101">
      <c r="A101" s="7" t="n">
        <v>96</v>
      </c>
      <c r="B101" s="2">
        <f>Pool!BV101</f>
        <v/>
      </c>
      <c r="C101" s="2">
        <f>MAX(0,Waterfall!P101-Waterfall!B101)</f>
        <v/>
      </c>
      <c r="D101" s="5">
        <f>IF(Waterfall!AA101&lt;=0.005,999,B101/Waterfall!AA101)</f>
        <v/>
      </c>
      <c r="E101" s="5">
        <f>IF(Waterfall!J101&lt;=0.005,999,C101/Waterfall!J101)</f>
        <v/>
      </c>
      <c r="F101" s="7">
        <f>IF(OR(D101&lt;Inputs!$B$56,E101&lt;Inputs!$B$59),1,0)</f>
        <v/>
      </c>
      <c r="G101" s="5">
        <f>IF((Waterfall!AA101+Waterfall!AB101)&lt;=0.005,999,B101/(Waterfall!AA101+Waterfall!AB101))</f>
        <v/>
      </c>
      <c r="H101" s="5">
        <f>IF((Waterfall!J101+Waterfall!L101)&lt;=0.005,999,C101/(Waterfall!J101+Waterfall!L101))</f>
        <v/>
      </c>
      <c r="I101" s="7">
        <f>IF(OR(G101&lt;Inputs!$B$57,H101&lt;Inputs!$B$60),1,0)</f>
        <v/>
      </c>
      <c r="J101" s="5">
        <f>IF((Waterfall!AA101+Waterfall!AB101+Waterfall!AC101)&lt;=0.005,999,B101/(Waterfall!AA101+Waterfall!AB101+Waterfall!AC101))</f>
        <v/>
      </c>
      <c r="K101" s="5">
        <f>IF((Waterfall!J101+Waterfall!L101+Waterfall!N101)&lt;=0.005,999,C101/(Waterfall!J101+Waterfall!L101+Waterfall!N101))</f>
        <v/>
      </c>
      <c r="L101" s="7">
        <f>IF(OR(J101&lt;Inputs!$B$58,K101&lt;Inputs!$B$61),1,0)</f>
        <v/>
      </c>
      <c r="M101" s="7">
        <f>IF(F101+I101+L101&gt;0,1,0)</f>
        <v/>
      </c>
      <c r="N101" s="2">
        <f>Waterfall!P101-Waterfall!B101-Waterfall!J101-Waterfall!L101-Waterfall!N101</f>
        <v/>
      </c>
      <c r="O101" s="9">
        <f>IF(Pool!BK101&lt;=0,0,N101*12/Pool!BK101*10000)</f>
        <v/>
      </c>
      <c r="P101" s="3">
        <f>Pool!BT101/Inputs!$B$49</f>
        <v/>
      </c>
      <c r="Q101" s="2">
        <f>Waterfall!AV101</f>
        <v/>
      </c>
      <c r="R101" s="2">
        <f>Waterfall!BO101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CashFlows</t>
        </is>
      </c>
    </row>
    <row r="2">
      <c r="A2" t="inlineStr">
        <is>
          <t>Per-tranche cash flows. Period 0 is the purchase at par (negative).</t>
        </is>
      </c>
    </row>
    <row r="4">
      <c r="A4" s="6" t="inlineStr">
        <is>
          <t>Period</t>
        </is>
      </c>
      <c r="B4" s="6" t="inlineStr">
        <is>
          <t>A interest</t>
        </is>
      </c>
      <c r="C4" s="6" t="inlineStr">
        <is>
          <t>A principal</t>
        </is>
      </c>
      <c r="D4" s="6" t="inlineStr">
        <is>
          <t>A write-down</t>
        </is>
      </c>
      <c r="E4" s="6" t="inlineStr">
        <is>
          <t>A end balance</t>
        </is>
      </c>
      <c r="F4" s="6" t="inlineStr">
        <is>
          <t>A cash flow</t>
        </is>
      </c>
      <c r="G4" s="6" t="inlineStr">
        <is>
          <t>B interest</t>
        </is>
      </c>
      <c r="H4" s="6" t="inlineStr">
        <is>
          <t>B principal</t>
        </is>
      </c>
      <c r="I4" s="6" t="inlineStr">
        <is>
          <t>B write-down</t>
        </is>
      </c>
      <c r="J4" s="6" t="inlineStr">
        <is>
          <t>B end balance</t>
        </is>
      </c>
      <c r="K4" s="6" t="inlineStr">
        <is>
          <t>B cash flow</t>
        </is>
      </c>
      <c r="L4" s="6" t="inlineStr">
        <is>
          <t>C interest</t>
        </is>
      </c>
      <c r="M4" s="6" t="inlineStr">
        <is>
          <t>C principal</t>
        </is>
      </c>
      <c r="N4" s="6" t="inlineStr">
        <is>
          <t>C write-down</t>
        </is>
      </c>
      <c r="O4" s="6" t="inlineStr">
        <is>
          <t>C end balance</t>
        </is>
      </c>
      <c r="P4" s="6" t="inlineStr">
        <is>
          <t>C cash flow</t>
        </is>
      </c>
      <c r="Q4" s="6" t="inlineStr">
        <is>
          <t>R interest distribution</t>
        </is>
      </c>
      <c r="R4" s="6" t="inlineStr">
        <is>
          <t>R principal + reserve release</t>
        </is>
      </c>
      <c r="S4" s="6" t="inlineStr">
        <is>
          <t>R cash flow</t>
        </is>
      </c>
      <c r="T4" s="6" t="inlineStr">
        <is>
          <t>Forward index</t>
        </is>
      </c>
    </row>
    <row r="5">
      <c r="A5" s="7" t="n">
        <v>0</v>
      </c>
      <c r="E5" s="2">
        <f>Waterfall!BH5</f>
        <v/>
      </c>
      <c r="F5" s="2">
        <f>-Inputs!$B$39</f>
        <v/>
      </c>
      <c r="J5" s="2">
        <f>Waterfall!BI5</f>
        <v/>
      </c>
      <c r="K5" s="2">
        <f>-Inputs!$B$40</f>
        <v/>
      </c>
      <c r="O5" s="2">
        <f>Waterfall!BJ5</f>
        <v/>
      </c>
      <c r="P5" s="2">
        <f>-Inputs!$B$41</f>
        <v/>
      </c>
      <c r="S5" s="2">
        <f>-Inputs!$B$50</f>
        <v/>
      </c>
      <c r="T5" s="3">
        <f>Pool!B5</f>
        <v/>
      </c>
    </row>
    <row r="6">
      <c r="A6" s="7" t="n">
        <v>1</v>
      </c>
      <c r="B6" s="2">
        <f>Waterfall!AG6</f>
        <v/>
      </c>
      <c r="C6" s="2">
        <f>Waterfall!BR6</f>
        <v/>
      </c>
      <c r="D6" s="2">
        <f>Waterfall!BG6</f>
        <v/>
      </c>
      <c r="E6" s="2">
        <f>Waterfall!BH6</f>
        <v/>
      </c>
      <c r="F6" s="2">
        <f>B6+C6</f>
        <v/>
      </c>
      <c r="G6" s="2">
        <f>Waterfall!AK6</f>
        <v/>
      </c>
      <c r="H6" s="2">
        <f>Waterfall!BS6</f>
        <v/>
      </c>
      <c r="I6" s="2">
        <f>Waterfall!BF6</f>
        <v/>
      </c>
      <c r="J6" s="2">
        <f>Waterfall!BI6</f>
        <v/>
      </c>
      <c r="K6" s="2">
        <f>G6+H6</f>
        <v/>
      </c>
      <c r="L6" s="2">
        <f>Waterfall!AO6</f>
        <v/>
      </c>
      <c r="M6" s="2">
        <f>Waterfall!BT6</f>
        <v/>
      </c>
      <c r="N6" s="2">
        <f>Waterfall!BE6</f>
        <v/>
      </c>
      <c r="O6" s="2">
        <f>Waterfall!BJ6</f>
        <v/>
      </c>
      <c r="P6" s="2">
        <f>L6+M6</f>
        <v/>
      </c>
      <c r="Q6" s="2">
        <f>Waterfall!BP6</f>
        <v/>
      </c>
      <c r="R6" s="2">
        <f>Waterfall!Z6+Waterfall!BN6</f>
        <v/>
      </c>
      <c r="S6" s="2">
        <f>Q6+R6</f>
        <v/>
      </c>
      <c r="T6" s="3">
        <f>Pool!B6</f>
        <v/>
      </c>
    </row>
    <row r="7">
      <c r="A7" s="7" t="n">
        <v>2</v>
      </c>
      <c r="B7" s="2">
        <f>Waterfall!AG7</f>
        <v/>
      </c>
      <c r="C7" s="2">
        <f>Waterfall!BR7</f>
        <v/>
      </c>
      <c r="D7" s="2">
        <f>Waterfall!BG7</f>
        <v/>
      </c>
      <c r="E7" s="2">
        <f>Waterfall!BH7</f>
        <v/>
      </c>
      <c r="F7" s="2">
        <f>B7+C7</f>
        <v/>
      </c>
      <c r="G7" s="2">
        <f>Waterfall!AK7</f>
        <v/>
      </c>
      <c r="H7" s="2">
        <f>Waterfall!BS7</f>
        <v/>
      </c>
      <c r="I7" s="2">
        <f>Waterfall!BF7</f>
        <v/>
      </c>
      <c r="J7" s="2">
        <f>Waterfall!BI7</f>
        <v/>
      </c>
      <c r="K7" s="2">
        <f>G7+H7</f>
        <v/>
      </c>
      <c r="L7" s="2">
        <f>Waterfall!AO7</f>
        <v/>
      </c>
      <c r="M7" s="2">
        <f>Waterfall!BT7</f>
        <v/>
      </c>
      <c r="N7" s="2">
        <f>Waterfall!BE7</f>
        <v/>
      </c>
      <c r="O7" s="2">
        <f>Waterfall!BJ7</f>
        <v/>
      </c>
      <c r="P7" s="2">
        <f>L7+M7</f>
        <v/>
      </c>
      <c r="Q7" s="2">
        <f>Waterfall!BP7</f>
        <v/>
      </c>
      <c r="R7" s="2">
        <f>Waterfall!Z7+Waterfall!BN7</f>
        <v/>
      </c>
      <c r="S7" s="2">
        <f>Q7+R7</f>
        <v/>
      </c>
      <c r="T7" s="3">
        <f>Pool!B7</f>
        <v/>
      </c>
    </row>
    <row r="8">
      <c r="A8" s="7" t="n">
        <v>3</v>
      </c>
      <c r="B8" s="2">
        <f>Waterfall!AG8</f>
        <v/>
      </c>
      <c r="C8" s="2">
        <f>Waterfall!BR8</f>
        <v/>
      </c>
      <c r="D8" s="2">
        <f>Waterfall!BG8</f>
        <v/>
      </c>
      <c r="E8" s="2">
        <f>Waterfall!BH8</f>
        <v/>
      </c>
      <c r="F8" s="2">
        <f>B8+C8</f>
        <v/>
      </c>
      <c r="G8" s="2">
        <f>Waterfall!AK8</f>
        <v/>
      </c>
      <c r="H8" s="2">
        <f>Waterfall!BS8</f>
        <v/>
      </c>
      <c r="I8" s="2">
        <f>Waterfall!BF8</f>
        <v/>
      </c>
      <c r="J8" s="2">
        <f>Waterfall!BI8</f>
        <v/>
      </c>
      <c r="K8" s="2">
        <f>G8+H8</f>
        <v/>
      </c>
      <c r="L8" s="2">
        <f>Waterfall!AO8</f>
        <v/>
      </c>
      <c r="M8" s="2">
        <f>Waterfall!BT8</f>
        <v/>
      </c>
      <c r="N8" s="2">
        <f>Waterfall!BE8</f>
        <v/>
      </c>
      <c r="O8" s="2">
        <f>Waterfall!BJ8</f>
        <v/>
      </c>
      <c r="P8" s="2">
        <f>L8+M8</f>
        <v/>
      </c>
      <c r="Q8" s="2">
        <f>Waterfall!BP8</f>
        <v/>
      </c>
      <c r="R8" s="2">
        <f>Waterfall!Z8+Waterfall!BN8</f>
        <v/>
      </c>
      <c r="S8" s="2">
        <f>Q8+R8</f>
        <v/>
      </c>
      <c r="T8" s="3">
        <f>Pool!B8</f>
        <v/>
      </c>
    </row>
    <row r="9">
      <c r="A9" s="7" t="n">
        <v>4</v>
      </c>
      <c r="B9" s="2">
        <f>Waterfall!AG9</f>
        <v/>
      </c>
      <c r="C9" s="2">
        <f>Waterfall!BR9</f>
        <v/>
      </c>
      <c r="D9" s="2">
        <f>Waterfall!BG9</f>
        <v/>
      </c>
      <c r="E9" s="2">
        <f>Waterfall!BH9</f>
        <v/>
      </c>
      <c r="F9" s="2">
        <f>B9+C9</f>
        <v/>
      </c>
      <c r="G9" s="2">
        <f>Waterfall!AK9</f>
        <v/>
      </c>
      <c r="H9" s="2">
        <f>Waterfall!BS9</f>
        <v/>
      </c>
      <c r="I9" s="2">
        <f>Waterfall!BF9</f>
        <v/>
      </c>
      <c r="J9" s="2">
        <f>Waterfall!BI9</f>
        <v/>
      </c>
      <c r="K9" s="2">
        <f>G9+H9</f>
        <v/>
      </c>
      <c r="L9" s="2">
        <f>Waterfall!AO9</f>
        <v/>
      </c>
      <c r="M9" s="2">
        <f>Waterfall!BT9</f>
        <v/>
      </c>
      <c r="N9" s="2">
        <f>Waterfall!BE9</f>
        <v/>
      </c>
      <c r="O9" s="2">
        <f>Waterfall!BJ9</f>
        <v/>
      </c>
      <c r="P9" s="2">
        <f>L9+M9</f>
        <v/>
      </c>
      <c r="Q9" s="2">
        <f>Waterfall!BP9</f>
        <v/>
      </c>
      <c r="R9" s="2">
        <f>Waterfall!Z9+Waterfall!BN9</f>
        <v/>
      </c>
      <c r="S9" s="2">
        <f>Q9+R9</f>
        <v/>
      </c>
      <c r="T9" s="3">
        <f>Pool!B9</f>
        <v/>
      </c>
    </row>
    <row r="10">
      <c r="A10" s="7" t="n">
        <v>5</v>
      </c>
      <c r="B10" s="2">
        <f>Waterfall!AG10</f>
        <v/>
      </c>
      <c r="C10" s="2">
        <f>Waterfall!BR10</f>
        <v/>
      </c>
      <c r="D10" s="2">
        <f>Waterfall!BG10</f>
        <v/>
      </c>
      <c r="E10" s="2">
        <f>Waterfall!BH10</f>
        <v/>
      </c>
      <c r="F10" s="2">
        <f>B10+C10</f>
        <v/>
      </c>
      <c r="G10" s="2">
        <f>Waterfall!AK10</f>
        <v/>
      </c>
      <c r="H10" s="2">
        <f>Waterfall!BS10</f>
        <v/>
      </c>
      <c r="I10" s="2">
        <f>Waterfall!BF10</f>
        <v/>
      </c>
      <c r="J10" s="2">
        <f>Waterfall!BI10</f>
        <v/>
      </c>
      <c r="K10" s="2">
        <f>G10+H10</f>
        <v/>
      </c>
      <c r="L10" s="2">
        <f>Waterfall!AO10</f>
        <v/>
      </c>
      <c r="M10" s="2">
        <f>Waterfall!BT10</f>
        <v/>
      </c>
      <c r="N10" s="2">
        <f>Waterfall!BE10</f>
        <v/>
      </c>
      <c r="O10" s="2">
        <f>Waterfall!BJ10</f>
        <v/>
      </c>
      <c r="P10" s="2">
        <f>L10+M10</f>
        <v/>
      </c>
      <c r="Q10" s="2">
        <f>Waterfall!BP10</f>
        <v/>
      </c>
      <c r="R10" s="2">
        <f>Waterfall!Z10+Waterfall!BN10</f>
        <v/>
      </c>
      <c r="S10" s="2">
        <f>Q10+R10</f>
        <v/>
      </c>
      <c r="T10" s="3">
        <f>Pool!B10</f>
        <v/>
      </c>
    </row>
    <row r="11">
      <c r="A11" s="7" t="n">
        <v>6</v>
      </c>
      <c r="B11" s="2">
        <f>Waterfall!AG11</f>
        <v/>
      </c>
      <c r="C11" s="2">
        <f>Waterfall!BR11</f>
        <v/>
      </c>
      <c r="D11" s="2">
        <f>Waterfall!BG11</f>
        <v/>
      </c>
      <c r="E11" s="2">
        <f>Waterfall!BH11</f>
        <v/>
      </c>
      <c r="F11" s="2">
        <f>B11+C11</f>
        <v/>
      </c>
      <c r="G11" s="2">
        <f>Waterfall!AK11</f>
        <v/>
      </c>
      <c r="H11" s="2">
        <f>Waterfall!BS11</f>
        <v/>
      </c>
      <c r="I11" s="2">
        <f>Waterfall!BF11</f>
        <v/>
      </c>
      <c r="J11" s="2">
        <f>Waterfall!BI11</f>
        <v/>
      </c>
      <c r="K11" s="2">
        <f>G11+H11</f>
        <v/>
      </c>
      <c r="L11" s="2">
        <f>Waterfall!AO11</f>
        <v/>
      </c>
      <c r="M11" s="2">
        <f>Waterfall!BT11</f>
        <v/>
      </c>
      <c r="N11" s="2">
        <f>Waterfall!BE11</f>
        <v/>
      </c>
      <c r="O11" s="2">
        <f>Waterfall!BJ11</f>
        <v/>
      </c>
      <c r="P11" s="2">
        <f>L11+M11</f>
        <v/>
      </c>
      <c r="Q11" s="2">
        <f>Waterfall!BP11</f>
        <v/>
      </c>
      <c r="R11" s="2">
        <f>Waterfall!Z11+Waterfall!BN11</f>
        <v/>
      </c>
      <c r="S11" s="2">
        <f>Q11+R11</f>
        <v/>
      </c>
      <c r="T11" s="3">
        <f>Pool!B11</f>
        <v/>
      </c>
    </row>
    <row r="12">
      <c r="A12" s="7" t="n">
        <v>7</v>
      </c>
      <c r="B12" s="2">
        <f>Waterfall!AG12</f>
        <v/>
      </c>
      <c r="C12" s="2">
        <f>Waterfall!BR12</f>
        <v/>
      </c>
      <c r="D12" s="2">
        <f>Waterfall!BG12</f>
        <v/>
      </c>
      <c r="E12" s="2">
        <f>Waterfall!BH12</f>
        <v/>
      </c>
      <c r="F12" s="2">
        <f>B12+C12</f>
        <v/>
      </c>
      <c r="G12" s="2">
        <f>Waterfall!AK12</f>
        <v/>
      </c>
      <c r="H12" s="2">
        <f>Waterfall!BS12</f>
        <v/>
      </c>
      <c r="I12" s="2">
        <f>Waterfall!BF12</f>
        <v/>
      </c>
      <c r="J12" s="2">
        <f>Waterfall!BI12</f>
        <v/>
      </c>
      <c r="K12" s="2">
        <f>G12+H12</f>
        <v/>
      </c>
      <c r="L12" s="2">
        <f>Waterfall!AO12</f>
        <v/>
      </c>
      <c r="M12" s="2">
        <f>Waterfall!BT12</f>
        <v/>
      </c>
      <c r="N12" s="2">
        <f>Waterfall!BE12</f>
        <v/>
      </c>
      <c r="O12" s="2">
        <f>Waterfall!BJ12</f>
        <v/>
      </c>
      <c r="P12" s="2">
        <f>L12+M12</f>
        <v/>
      </c>
      <c r="Q12" s="2">
        <f>Waterfall!BP12</f>
        <v/>
      </c>
      <c r="R12" s="2">
        <f>Waterfall!Z12+Waterfall!BN12</f>
        <v/>
      </c>
      <c r="S12" s="2">
        <f>Q12+R12</f>
        <v/>
      </c>
      <c r="T12" s="3">
        <f>Pool!B12</f>
        <v/>
      </c>
    </row>
    <row r="13">
      <c r="A13" s="7" t="n">
        <v>8</v>
      </c>
      <c r="B13" s="2">
        <f>Waterfall!AG13</f>
        <v/>
      </c>
      <c r="C13" s="2">
        <f>Waterfall!BR13</f>
        <v/>
      </c>
      <c r="D13" s="2">
        <f>Waterfall!BG13</f>
        <v/>
      </c>
      <c r="E13" s="2">
        <f>Waterfall!BH13</f>
        <v/>
      </c>
      <c r="F13" s="2">
        <f>B13+C13</f>
        <v/>
      </c>
      <c r="G13" s="2">
        <f>Waterfall!AK13</f>
        <v/>
      </c>
      <c r="H13" s="2">
        <f>Waterfall!BS13</f>
        <v/>
      </c>
      <c r="I13" s="2">
        <f>Waterfall!BF13</f>
        <v/>
      </c>
      <c r="J13" s="2">
        <f>Waterfall!BI13</f>
        <v/>
      </c>
      <c r="K13" s="2">
        <f>G13+H13</f>
        <v/>
      </c>
      <c r="L13" s="2">
        <f>Waterfall!AO13</f>
        <v/>
      </c>
      <c r="M13" s="2">
        <f>Waterfall!BT13</f>
        <v/>
      </c>
      <c r="N13" s="2">
        <f>Waterfall!BE13</f>
        <v/>
      </c>
      <c r="O13" s="2">
        <f>Waterfall!BJ13</f>
        <v/>
      </c>
      <c r="P13" s="2">
        <f>L13+M13</f>
        <v/>
      </c>
      <c r="Q13" s="2">
        <f>Waterfall!BP13</f>
        <v/>
      </c>
      <c r="R13" s="2">
        <f>Waterfall!Z13+Waterfall!BN13</f>
        <v/>
      </c>
      <c r="S13" s="2">
        <f>Q13+R13</f>
        <v/>
      </c>
      <c r="T13" s="3">
        <f>Pool!B13</f>
        <v/>
      </c>
    </row>
    <row r="14">
      <c r="A14" s="7" t="n">
        <v>9</v>
      </c>
      <c r="B14" s="2">
        <f>Waterfall!AG14</f>
        <v/>
      </c>
      <c r="C14" s="2">
        <f>Waterfall!BR14</f>
        <v/>
      </c>
      <c r="D14" s="2">
        <f>Waterfall!BG14</f>
        <v/>
      </c>
      <c r="E14" s="2">
        <f>Waterfall!BH14</f>
        <v/>
      </c>
      <c r="F14" s="2">
        <f>B14+C14</f>
        <v/>
      </c>
      <c r="G14" s="2">
        <f>Waterfall!AK14</f>
        <v/>
      </c>
      <c r="H14" s="2">
        <f>Waterfall!BS14</f>
        <v/>
      </c>
      <c r="I14" s="2">
        <f>Waterfall!BF14</f>
        <v/>
      </c>
      <c r="J14" s="2">
        <f>Waterfall!BI14</f>
        <v/>
      </c>
      <c r="K14" s="2">
        <f>G14+H14</f>
        <v/>
      </c>
      <c r="L14" s="2">
        <f>Waterfall!AO14</f>
        <v/>
      </c>
      <c r="M14" s="2">
        <f>Waterfall!BT14</f>
        <v/>
      </c>
      <c r="N14" s="2">
        <f>Waterfall!BE14</f>
        <v/>
      </c>
      <c r="O14" s="2">
        <f>Waterfall!BJ14</f>
        <v/>
      </c>
      <c r="P14" s="2">
        <f>L14+M14</f>
        <v/>
      </c>
      <c r="Q14" s="2">
        <f>Waterfall!BP14</f>
        <v/>
      </c>
      <c r="R14" s="2">
        <f>Waterfall!Z14+Waterfall!BN14</f>
        <v/>
      </c>
      <c r="S14" s="2">
        <f>Q14+R14</f>
        <v/>
      </c>
      <c r="T14" s="3">
        <f>Pool!B14</f>
        <v/>
      </c>
    </row>
    <row r="15">
      <c r="A15" s="7" t="n">
        <v>10</v>
      </c>
      <c r="B15" s="2">
        <f>Waterfall!AG15</f>
        <v/>
      </c>
      <c r="C15" s="2">
        <f>Waterfall!BR15</f>
        <v/>
      </c>
      <c r="D15" s="2">
        <f>Waterfall!BG15</f>
        <v/>
      </c>
      <c r="E15" s="2">
        <f>Waterfall!BH15</f>
        <v/>
      </c>
      <c r="F15" s="2">
        <f>B15+C15</f>
        <v/>
      </c>
      <c r="G15" s="2">
        <f>Waterfall!AK15</f>
        <v/>
      </c>
      <c r="H15" s="2">
        <f>Waterfall!BS15</f>
        <v/>
      </c>
      <c r="I15" s="2">
        <f>Waterfall!BF15</f>
        <v/>
      </c>
      <c r="J15" s="2">
        <f>Waterfall!BI15</f>
        <v/>
      </c>
      <c r="K15" s="2">
        <f>G15+H15</f>
        <v/>
      </c>
      <c r="L15" s="2">
        <f>Waterfall!AO15</f>
        <v/>
      </c>
      <c r="M15" s="2">
        <f>Waterfall!BT15</f>
        <v/>
      </c>
      <c r="N15" s="2">
        <f>Waterfall!BE15</f>
        <v/>
      </c>
      <c r="O15" s="2">
        <f>Waterfall!BJ15</f>
        <v/>
      </c>
      <c r="P15" s="2">
        <f>L15+M15</f>
        <v/>
      </c>
      <c r="Q15" s="2">
        <f>Waterfall!BP15</f>
        <v/>
      </c>
      <c r="R15" s="2">
        <f>Waterfall!Z15+Waterfall!BN15</f>
        <v/>
      </c>
      <c r="S15" s="2">
        <f>Q15+R15</f>
        <v/>
      </c>
      <c r="T15" s="3">
        <f>Pool!B15</f>
        <v/>
      </c>
    </row>
    <row r="16">
      <c r="A16" s="7" t="n">
        <v>11</v>
      </c>
      <c r="B16" s="2">
        <f>Waterfall!AG16</f>
        <v/>
      </c>
      <c r="C16" s="2">
        <f>Waterfall!BR16</f>
        <v/>
      </c>
      <c r="D16" s="2">
        <f>Waterfall!BG16</f>
        <v/>
      </c>
      <c r="E16" s="2">
        <f>Waterfall!BH16</f>
        <v/>
      </c>
      <c r="F16" s="2">
        <f>B16+C16</f>
        <v/>
      </c>
      <c r="G16" s="2">
        <f>Waterfall!AK16</f>
        <v/>
      </c>
      <c r="H16" s="2">
        <f>Waterfall!BS16</f>
        <v/>
      </c>
      <c r="I16" s="2">
        <f>Waterfall!BF16</f>
        <v/>
      </c>
      <c r="J16" s="2">
        <f>Waterfall!BI16</f>
        <v/>
      </c>
      <c r="K16" s="2">
        <f>G16+H16</f>
        <v/>
      </c>
      <c r="L16" s="2">
        <f>Waterfall!AO16</f>
        <v/>
      </c>
      <c r="M16" s="2">
        <f>Waterfall!BT16</f>
        <v/>
      </c>
      <c r="N16" s="2">
        <f>Waterfall!BE16</f>
        <v/>
      </c>
      <c r="O16" s="2">
        <f>Waterfall!BJ16</f>
        <v/>
      </c>
      <c r="P16" s="2">
        <f>L16+M16</f>
        <v/>
      </c>
      <c r="Q16" s="2">
        <f>Waterfall!BP16</f>
        <v/>
      </c>
      <c r="R16" s="2">
        <f>Waterfall!Z16+Waterfall!BN16</f>
        <v/>
      </c>
      <c r="S16" s="2">
        <f>Q16+R16</f>
        <v/>
      </c>
      <c r="T16" s="3">
        <f>Pool!B16</f>
        <v/>
      </c>
    </row>
    <row r="17">
      <c r="A17" s="7" t="n">
        <v>12</v>
      </c>
      <c r="B17" s="2">
        <f>Waterfall!AG17</f>
        <v/>
      </c>
      <c r="C17" s="2">
        <f>Waterfall!BR17</f>
        <v/>
      </c>
      <c r="D17" s="2">
        <f>Waterfall!BG17</f>
        <v/>
      </c>
      <c r="E17" s="2">
        <f>Waterfall!BH17</f>
        <v/>
      </c>
      <c r="F17" s="2">
        <f>B17+C17</f>
        <v/>
      </c>
      <c r="G17" s="2">
        <f>Waterfall!AK17</f>
        <v/>
      </c>
      <c r="H17" s="2">
        <f>Waterfall!BS17</f>
        <v/>
      </c>
      <c r="I17" s="2">
        <f>Waterfall!BF17</f>
        <v/>
      </c>
      <c r="J17" s="2">
        <f>Waterfall!BI17</f>
        <v/>
      </c>
      <c r="K17" s="2">
        <f>G17+H17</f>
        <v/>
      </c>
      <c r="L17" s="2">
        <f>Waterfall!AO17</f>
        <v/>
      </c>
      <c r="M17" s="2">
        <f>Waterfall!BT17</f>
        <v/>
      </c>
      <c r="N17" s="2">
        <f>Waterfall!BE17</f>
        <v/>
      </c>
      <c r="O17" s="2">
        <f>Waterfall!BJ17</f>
        <v/>
      </c>
      <c r="P17" s="2">
        <f>L17+M17</f>
        <v/>
      </c>
      <c r="Q17" s="2">
        <f>Waterfall!BP17</f>
        <v/>
      </c>
      <c r="R17" s="2">
        <f>Waterfall!Z17+Waterfall!BN17</f>
        <v/>
      </c>
      <c r="S17" s="2">
        <f>Q17+R17</f>
        <v/>
      </c>
      <c r="T17" s="3">
        <f>Pool!B17</f>
        <v/>
      </c>
    </row>
    <row r="18">
      <c r="A18" s="7" t="n">
        <v>13</v>
      </c>
      <c r="B18" s="2">
        <f>Waterfall!AG18</f>
        <v/>
      </c>
      <c r="C18" s="2">
        <f>Waterfall!BR18</f>
        <v/>
      </c>
      <c r="D18" s="2">
        <f>Waterfall!BG18</f>
        <v/>
      </c>
      <c r="E18" s="2">
        <f>Waterfall!BH18</f>
        <v/>
      </c>
      <c r="F18" s="2">
        <f>B18+C18</f>
        <v/>
      </c>
      <c r="G18" s="2">
        <f>Waterfall!AK18</f>
        <v/>
      </c>
      <c r="H18" s="2">
        <f>Waterfall!BS18</f>
        <v/>
      </c>
      <c r="I18" s="2">
        <f>Waterfall!BF18</f>
        <v/>
      </c>
      <c r="J18" s="2">
        <f>Waterfall!BI18</f>
        <v/>
      </c>
      <c r="K18" s="2">
        <f>G18+H18</f>
        <v/>
      </c>
      <c r="L18" s="2">
        <f>Waterfall!AO18</f>
        <v/>
      </c>
      <c r="M18" s="2">
        <f>Waterfall!BT18</f>
        <v/>
      </c>
      <c r="N18" s="2">
        <f>Waterfall!BE18</f>
        <v/>
      </c>
      <c r="O18" s="2">
        <f>Waterfall!BJ18</f>
        <v/>
      </c>
      <c r="P18" s="2">
        <f>L18+M18</f>
        <v/>
      </c>
      <c r="Q18" s="2">
        <f>Waterfall!BP18</f>
        <v/>
      </c>
      <c r="R18" s="2">
        <f>Waterfall!Z18+Waterfall!BN18</f>
        <v/>
      </c>
      <c r="S18" s="2">
        <f>Q18+R18</f>
        <v/>
      </c>
      <c r="T18" s="3">
        <f>Pool!B18</f>
        <v/>
      </c>
    </row>
    <row r="19">
      <c r="A19" s="7" t="n">
        <v>14</v>
      </c>
      <c r="B19" s="2">
        <f>Waterfall!AG19</f>
        <v/>
      </c>
      <c r="C19" s="2">
        <f>Waterfall!BR19</f>
        <v/>
      </c>
      <c r="D19" s="2">
        <f>Waterfall!BG19</f>
        <v/>
      </c>
      <c r="E19" s="2">
        <f>Waterfall!BH19</f>
        <v/>
      </c>
      <c r="F19" s="2">
        <f>B19+C19</f>
        <v/>
      </c>
      <c r="G19" s="2">
        <f>Waterfall!AK19</f>
        <v/>
      </c>
      <c r="H19" s="2">
        <f>Waterfall!BS19</f>
        <v/>
      </c>
      <c r="I19" s="2">
        <f>Waterfall!BF19</f>
        <v/>
      </c>
      <c r="J19" s="2">
        <f>Waterfall!BI19</f>
        <v/>
      </c>
      <c r="K19" s="2">
        <f>G19+H19</f>
        <v/>
      </c>
      <c r="L19" s="2">
        <f>Waterfall!AO19</f>
        <v/>
      </c>
      <c r="M19" s="2">
        <f>Waterfall!BT19</f>
        <v/>
      </c>
      <c r="N19" s="2">
        <f>Waterfall!BE19</f>
        <v/>
      </c>
      <c r="O19" s="2">
        <f>Waterfall!BJ19</f>
        <v/>
      </c>
      <c r="P19" s="2">
        <f>L19+M19</f>
        <v/>
      </c>
      <c r="Q19" s="2">
        <f>Waterfall!BP19</f>
        <v/>
      </c>
      <c r="R19" s="2">
        <f>Waterfall!Z19+Waterfall!BN19</f>
        <v/>
      </c>
      <c r="S19" s="2">
        <f>Q19+R19</f>
        <v/>
      </c>
      <c r="T19" s="3">
        <f>Pool!B19</f>
        <v/>
      </c>
    </row>
    <row r="20">
      <c r="A20" s="7" t="n">
        <v>15</v>
      </c>
      <c r="B20" s="2">
        <f>Waterfall!AG20</f>
        <v/>
      </c>
      <c r="C20" s="2">
        <f>Waterfall!BR20</f>
        <v/>
      </c>
      <c r="D20" s="2">
        <f>Waterfall!BG20</f>
        <v/>
      </c>
      <c r="E20" s="2">
        <f>Waterfall!BH20</f>
        <v/>
      </c>
      <c r="F20" s="2">
        <f>B20+C20</f>
        <v/>
      </c>
      <c r="G20" s="2">
        <f>Waterfall!AK20</f>
        <v/>
      </c>
      <c r="H20" s="2">
        <f>Waterfall!BS20</f>
        <v/>
      </c>
      <c r="I20" s="2">
        <f>Waterfall!BF20</f>
        <v/>
      </c>
      <c r="J20" s="2">
        <f>Waterfall!BI20</f>
        <v/>
      </c>
      <c r="K20" s="2">
        <f>G20+H20</f>
        <v/>
      </c>
      <c r="L20" s="2">
        <f>Waterfall!AO20</f>
        <v/>
      </c>
      <c r="M20" s="2">
        <f>Waterfall!BT20</f>
        <v/>
      </c>
      <c r="N20" s="2">
        <f>Waterfall!BE20</f>
        <v/>
      </c>
      <c r="O20" s="2">
        <f>Waterfall!BJ20</f>
        <v/>
      </c>
      <c r="P20" s="2">
        <f>L20+M20</f>
        <v/>
      </c>
      <c r="Q20" s="2">
        <f>Waterfall!BP20</f>
        <v/>
      </c>
      <c r="R20" s="2">
        <f>Waterfall!Z20+Waterfall!BN20</f>
        <v/>
      </c>
      <c r="S20" s="2">
        <f>Q20+R20</f>
        <v/>
      </c>
      <c r="T20" s="3">
        <f>Pool!B20</f>
        <v/>
      </c>
    </row>
    <row r="21">
      <c r="A21" s="7" t="n">
        <v>16</v>
      </c>
      <c r="B21" s="2">
        <f>Waterfall!AG21</f>
        <v/>
      </c>
      <c r="C21" s="2">
        <f>Waterfall!BR21</f>
        <v/>
      </c>
      <c r="D21" s="2">
        <f>Waterfall!BG21</f>
        <v/>
      </c>
      <c r="E21" s="2">
        <f>Waterfall!BH21</f>
        <v/>
      </c>
      <c r="F21" s="2">
        <f>B21+C21</f>
        <v/>
      </c>
      <c r="G21" s="2">
        <f>Waterfall!AK21</f>
        <v/>
      </c>
      <c r="H21" s="2">
        <f>Waterfall!BS21</f>
        <v/>
      </c>
      <c r="I21" s="2">
        <f>Waterfall!BF21</f>
        <v/>
      </c>
      <c r="J21" s="2">
        <f>Waterfall!BI21</f>
        <v/>
      </c>
      <c r="K21" s="2">
        <f>G21+H21</f>
        <v/>
      </c>
      <c r="L21" s="2">
        <f>Waterfall!AO21</f>
        <v/>
      </c>
      <c r="M21" s="2">
        <f>Waterfall!BT21</f>
        <v/>
      </c>
      <c r="N21" s="2">
        <f>Waterfall!BE21</f>
        <v/>
      </c>
      <c r="O21" s="2">
        <f>Waterfall!BJ21</f>
        <v/>
      </c>
      <c r="P21" s="2">
        <f>L21+M21</f>
        <v/>
      </c>
      <c r="Q21" s="2">
        <f>Waterfall!BP21</f>
        <v/>
      </c>
      <c r="R21" s="2">
        <f>Waterfall!Z21+Waterfall!BN21</f>
        <v/>
      </c>
      <c r="S21" s="2">
        <f>Q21+R21</f>
        <v/>
      </c>
      <c r="T21" s="3">
        <f>Pool!B21</f>
        <v/>
      </c>
    </row>
    <row r="22">
      <c r="A22" s="7" t="n">
        <v>17</v>
      </c>
      <c r="B22" s="2">
        <f>Waterfall!AG22</f>
        <v/>
      </c>
      <c r="C22" s="2">
        <f>Waterfall!BR22</f>
        <v/>
      </c>
      <c r="D22" s="2">
        <f>Waterfall!BG22</f>
        <v/>
      </c>
      <c r="E22" s="2">
        <f>Waterfall!BH22</f>
        <v/>
      </c>
      <c r="F22" s="2">
        <f>B22+C22</f>
        <v/>
      </c>
      <c r="G22" s="2">
        <f>Waterfall!AK22</f>
        <v/>
      </c>
      <c r="H22" s="2">
        <f>Waterfall!BS22</f>
        <v/>
      </c>
      <c r="I22" s="2">
        <f>Waterfall!BF22</f>
        <v/>
      </c>
      <c r="J22" s="2">
        <f>Waterfall!BI22</f>
        <v/>
      </c>
      <c r="K22" s="2">
        <f>G22+H22</f>
        <v/>
      </c>
      <c r="L22" s="2">
        <f>Waterfall!AO22</f>
        <v/>
      </c>
      <c r="M22" s="2">
        <f>Waterfall!BT22</f>
        <v/>
      </c>
      <c r="N22" s="2">
        <f>Waterfall!BE22</f>
        <v/>
      </c>
      <c r="O22" s="2">
        <f>Waterfall!BJ22</f>
        <v/>
      </c>
      <c r="P22" s="2">
        <f>L22+M22</f>
        <v/>
      </c>
      <c r="Q22" s="2">
        <f>Waterfall!BP22</f>
        <v/>
      </c>
      <c r="R22" s="2">
        <f>Waterfall!Z22+Waterfall!BN22</f>
        <v/>
      </c>
      <c r="S22" s="2">
        <f>Q22+R22</f>
        <v/>
      </c>
      <c r="T22" s="3">
        <f>Pool!B22</f>
        <v/>
      </c>
    </row>
    <row r="23">
      <c r="A23" s="7" t="n">
        <v>18</v>
      </c>
      <c r="B23" s="2">
        <f>Waterfall!AG23</f>
        <v/>
      </c>
      <c r="C23" s="2">
        <f>Waterfall!BR23</f>
        <v/>
      </c>
      <c r="D23" s="2">
        <f>Waterfall!BG23</f>
        <v/>
      </c>
      <c r="E23" s="2">
        <f>Waterfall!BH23</f>
        <v/>
      </c>
      <c r="F23" s="2">
        <f>B23+C23</f>
        <v/>
      </c>
      <c r="G23" s="2">
        <f>Waterfall!AK23</f>
        <v/>
      </c>
      <c r="H23" s="2">
        <f>Waterfall!BS23</f>
        <v/>
      </c>
      <c r="I23" s="2">
        <f>Waterfall!BF23</f>
        <v/>
      </c>
      <c r="J23" s="2">
        <f>Waterfall!BI23</f>
        <v/>
      </c>
      <c r="K23" s="2">
        <f>G23+H23</f>
        <v/>
      </c>
      <c r="L23" s="2">
        <f>Waterfall!AO23</f>
        <v/>
      </c>
      <c r="M23" s="2">
        <f>Waterfall!BT23</f>
        <v/>
      </c>
      <c r="N23" s="2">
        <f>Waterfall!BE23</f>
        <v/>
      </c>
      <c r="O23" s="2">
        <f>Waterfall!BJ23</f>
        <v/>
      </c>
      <c r="P23" s="2">
        <f>L23+M23</f>
        <v/>
      </c>
      <c r="Q23" s="2">
        <f>Waterfall!BP23</f>
        <v/>
      </c>
      <c r="R23" s="2">
        <f>Waterfall!Z23+Waterfall!BN23</f>
        <v/>
      </c>
      <c r="S23" s="2">
        <f>Q23+R23</f>
        <v/>
      </c>
      <c r="T23" s="3">
        <f>Pool!B23</f>
        <v/>
      </c>
    </row>
    <row r="24">
      <c r="A24" s="7" t="n">
        <v>19</v>
      </c>
      <c r="B24" s="2">
        <f>Waterfall!AG24</f>
        <v/>
      </c>
      <c r="C24" s="2">
        <f>Waterfall!BR24</f>
        <v/>
      </c>
      <c r="D24" s="2">
        <f>Waterfall!BG24</f>
        <v/>
      </c>
      <c r="E24" s="2">
        <f>Waterfall!BH24</f>
        <v/>
      </c>
      <c r="F24" s="2">
        <f>B24+C24</f>
        <v/>
      </c>
      <c r="G24" s="2">
        <f>Waterfall!AK24</f>
        <v/>
      </c>
      <c r="H24" s="2">
        <f>Waterfall!BS24</f>
        <v/>
      </c>
      <c r="I24" s="2">
        <f>Waterfall!BF24</f>
        <v/>
      </c>
      <c r="J24" s="2">
        <f>Waterfall!BI24</f>
        <v/>
      </c>
      <c r="K24" s="2">
        <f>G24+H24</f>
        <v/>
      </c>
      <c r="L24" s="2">
        <f>Waterfall!AO24</f>
        <v/>
      </c>
      <c r="M24" s="2">
        <f>Waterfall!BT24</f>
        <v/>
      </c>
      <c r="N24" s="2">
        <f>Waterfall!BE24</f>
        <v/>
      </c>
      <c r="O24" s="2">
        <f>Waterfall!BJ24</f>
        <v/>
      </c>
      <c r="P24" s="2">
        <f>L24+M24</f>
        <v/>
      </c>
      <c r="Q24" s="2">
        <f>Waterfall!BP24</f>
        <v/>
      </c>
      <c r="R24" s="2">
        <f>Waterfall!Z24+Waterfall!BN24</f>
        <v/>
      </c>
      <c r="S24" s="2">
        <f>Q24+R24</f>
        <v/>
      </c>
      <c r="T24" s="3">
        <f>Pool!B24</f>
        <v/>
      </c>
    </row>
    <row r="25">
      <c r="A25" s="7" t="n">
        <v>20</v>
      </c>
      <c r="B25" s="2">
        <f>Waterfall!AG25</f>
        <v/>
      </c>
      <c r="C25" s="2">
        <f>Waterfall!BR25</f>
        <v/>
      </c>
      <c r="D25" s="2">
        <f>Waterfall!BG25</f>
        <v/>
      </c>
      <c r="E25" s="2">
        <f>Waterfall!BH25</f>
        <v/>
      </c>
      <c r="F25" s="2">
        <f>B25+C25</f>
        <v/>
      </c>
      <c r="G25" s="2">
        <f>Waterfall!AK25</f>
        <v/>
      </c>
      <c r="H25" s="2">
        <f>Waterfall!BS25</f>
        <v/>
      </c>
      <c r="I25" s="2">
        <f>Waterfall!BF25</f>
        <v/>
      </c>
      <c r="J25" s="2">
        <f>Waterfall!BI25</f>
        <v/>
      </c>
      <c r="K25" s="2">
        <f>G25+H25</f>
        <v/>
      </c>
      <c r="L25" s="2">
        <f>Waterfall!AO25</f>
        <v/>
      </c>
      <c r="M25" s="2">
        <f>Waterfall!BT25</f>
        <v/>
      </c>
      <c r="N25" s="2">
        <f>Waterfall!BE25</f>
        <v/>
      </c>
      <c r="O25" s="2">
        <f>Waterfall!BJ25</f>
        <v/>
      </c>
      <c r="P25" s="2">
        <f>L25+M25</f>
        <v/>
      </c>
      <c r="Q25" s="2">
        <f>Waterfall!BP25</f>
        <v/>
      </c>
      <c r="R25" s="2">
        <f>Waterfall!Z25+Waterfall!BN25</f>
        <v/>
      </c>
      <c r="S25" s="2">
        <f>Q25+R25</f>
        <v/>
      </c>
      <c r="T25" s="3">
        <f>Pool!B25</f>
        <v/>
      </c>
    </row>
    <row r="26">
      <c r="A26" s="7" t="n">
        <v>21</v>
      </c>
      <c r="B26" s="2">
        <f>Waterfall!AG26</f>
        <v/>
      </c>
      <c r="C26" s="2">
        <f>Waterfall!BR26</f>
        <v/>
      </c>
      <c r="D26" s="2">
        <f>Waterfall!BG26</f>
        <v/>
      </c>
      <c r="E26" s="2">
        <f>Waterfall!BH26</f>
        <v/>
      </c>
      <c r="F26" s="2">
        <f>B26+C26</f>
        <v/>
      </c>
      <c r="G26" s="2">
        <f>Waterfall!AK26</f>
        <v/>
      </c>
      <c r="H26" s="2">
        <f>Waterfall!BS26</f>
        <v/>
      </c>
      <c r="I26" s="2">
        <f>Waterfall!BF26</f>
        <v/>
      </c>
      <c r="J26" s="2">
        <f>Waterfall!BI26</f>
        <v/>
      </c>
      <c r="K26" s="2">
        <f>G26+H26</f>
        <v/>
      </c>
      <c r="L26" s="2">
        <f>Waterfall!AO26</f>
        <v/>
      </c>
      <c r="M26" s="2">
        <f>Waterfall!BT26</f>
        <v/>
      </c>
      <c r="N26" s="2">
        <f>Waterfall!BE26</f>
        <v/>
      </c>
      <c r="O26" s="2">
        <f>Waterfall!BJ26</f>
        <v/>
      </c>
      <c r="P26" s="2">
        <f>L26+M26</f>
        <v/>
      </c>
      <c r="Q26" s="2">
        <f>Waterfall!BP26</f>
        <v/>
      </c>
      <c r="R26" s="2">
        <f>Waterfall!Z26+Waterfall!BN26</f>
        <v/>
      </c>
      <c r="S26" s="2">
        <f>Q26+R26</f>
        <v/>
      </c>
      <c r="T26" s="3">
        <f>Pool!B26</f>
        <v/>
      </c>
    </row>
    <row r="27">
      <c r="A27" s="7" t="n">
        <v>22</v>
      </c>
      <c r="B27" s="2">
        <f>Waterfall!AG27</f>
        <v/>
      </c>
      <c r="C27" s="2">
        <f>Waterfall!BR27</f>
        <v/>
      </c>
      <c r="D27" s="2">
        <f>Waterfall!BG27</f>
        <v/>
      </c>
      <c r="E27" s="2">
        <f>Waterfall!BH27</f>
        <v/>
      </c>
      <c r="F27" s="2">
        <f>B27+C27</f>
        <v/>
      </c>
      <c r="G27" s="2">
        <f>Waterfall!AK27</f>
        <v/>
      </c>
      <c r="H27" s="2">
        <f>Waterfall!BS27</f>
        <v/>
      </c>
      <c r="I27" s="2">
        <f>Waterfall!BF27</f>
        <v/>
      </c>
      <c r="J27" s="2">
        <f>Waterfall!BI27</f>
        <v/>
      </c>
      <c r="K27" s="2">
        <f>G27+H27</f>
        <v/>
      </c>
      <c r="L27" s="2">
        <f>Waterfall!AO27</f>
        <v/>
      </c>
      <c r="M27" s="2">
        <f>Waterfall!BT27</f>
        <v/>
      </c>
      <c r="N27" s="2">
        <f>Waterfall!BE27</f>
        <v/>
      </c>
      <c r="O27" s="2">
        <f>Waterfall!BJ27</f>
        <v/>
      </c>
      <c r="P27" s="2">
        <f>L27+M27</f>
        <v/>
      </c>
      <c r="Q27" s="2">
        <f>Waterfall!BP27</f>
        <v/>
      </c>
      <c r="R27" s="2">
        <f>Waterfall!Z27+Waterfall!BN27</f>
        <v/>
      </c>
      <c r="S27" s="2">
        <f>Q27+R27</f>
        <v/>
      </c>
      <c r="T27" s="3">
        <f>Pool!B27</f>
        <v/>
      </c>
    </row>
    <row r="28">
      <c r="A28" s="7" t="n">
        <v>23</v>
      </c>
      <c r="B28" s="2">
        <f>Waterfall!AG28</f>
        <v/>
      </c>
      <c r="C28" s="2">
        <f>Waterfall!BR28</f>
        <v/>
      </c>
      <c r="D28" s="2">
        <f>Waterfall!BG28</f>
        <v/>
      </c>
      <c r="E28" s="2">
        <f>Waterfall!BH28</f>
        <v/>
      </c>
      <c r="F28" s="2">
        <f>B28+C28</f>
        <v/>
      </c>
      <c r="G28" s="2">
        <f>Waterfall!AK28</f>
        <v/>
      </c>
      <c r="H28" s="2">
        <f>Waterfall!BS28</f>
        <v/>
      </c>
      <c r="I28" s="2">
        <f>Waterfall!BF28</f>
        <v/>
      </c>
      <c r="J28" s="2">
        <f>Waterfall!BI28</f>
        <v/>
      </c>
      <c r="K28" s="2">
        <f>G28+H28</f>
        <v/>
      </c>
      <c r="L28" s="2">
        <f>Waterfall!AO28</f>
        <v/>
      </c>
      <c r="M28" s="2">
        <f>Waterfall!BT28</f>
        <v/>
      </c>
      <c r="N28" s="2">
        <f>Waterfall!BE28</f>
        <v/>
      </c>
      <c r="O28" s="2">
        <f>Waterfall!BJ28</f>
        <v/>
      </c>
      <c r="P28" s="2">
        <f>L28+M28</f>
        <v/>
      </c>
      <c r="Q28" s="2">
        <f>Waterfall!BP28</f>
        <v/>
      </c>
      <c r="R28" s="2">
        <f>Waterfall!Z28+Waterfall!BN28</f>
        <v/>
      </c>
      <c r="S28" s="2">
        <f>Q28+R28</f>
        <v/>
      </c>
      <c r="T28" s="3">
        <f>Pool!B28</f>
        <v/>
      </c>
    </row>
    <row r="29">
      <c r="A29" s="7" t="n">
        <v>24</v>
      </c>
      <c r="B29" s="2">
        <f>Waterfall!AG29</f>
        <v/>
      </c>
      <c r="C29" s="2">
        <f>Waterfall!BR29</f>
        <v/>
      </c>
      <c r="D29" s="2">
        <f>Waterfall!BG29</f>
        <v/>
      </c>
      <c r="E29" s="2">
        <f>Waterfall!BH29</f>
        <v/>
      </c>
      <c r="F29" s="2">
        <f>B29+C29</f>
        <v/>
      </c>
      <c r="G29" s="2">
        <f>Waterfall!AK29</f>
        <v/>
      </c>
      <c r="H29" s="2">
        <f>Waterfall!BS29</f>
        <v/>
      </c>
      <c r="I29" s="2">
        <f>Waterfall!BF29</f>
        <v/>
      </c>
      <c r="J29" s="2">
        <f>Waterfall!BI29</f>
        <v/>
      </c>
      <c r="K29" s="2">
        <f>G29+H29</f>
        <v/>
      </c>
      <c r="L29" s="2">
        <f>Waterfall!AO29</f>
        <v/>
      </c>
      <c r="M29" s="2">
        <f>Waterfall!BT29</f>
        <v/>
      </c>
      <c r="N29" s="2">
        <f>Waterfall!BE29</f>
        <v/>
      </c>
      <c r="O29" s="2">
        <f>Waterfall!BJ29</f>
        <v/>
      </c>
      <c r="P29" s="2">
        <f>L29+M29</f>
        <v/>
      </c>
      <c r="Q29" s="2">
        <f>Waterfall!BP29</f>
        <v/>
      </c>
      <c r="R29" s="2">
        <f>Waterfall!Z29+Waterfall!BN29</f>
        <v/>
      </c>
      <c r="S29" s="2">
        <f>Q29+R29</f>
        <v/>
      </c>
      <c r="T29" s="3">
        <f>Pool!B29</f>
        <v/>
      </c>
    </row>
    <row r="30">
      <c r="A30" s="7" t="n">
        <v>25</v>
      </c>
      <c r="B30" s="2">
        <f>Waterfall!AG30</f>
        <v/>
      </c>
      <c r="C30" s="2">
        <f>Waterfall!BR30</f>
        <v/>
      </c>
      <c r="D30" s="2">
        <f>Waterfall!BG30</f>
        <v/>
      </c>
      <c r="E30" s="2">
        <f>Waterfall!BH30</f>
        <v/>
      </c>
      <c r="F30" s="2">
        <f>B30+C30</f>
        <v/>
      </c>
      <c r="G30" s="2">
        <f>Waterfall!AK30</f>
        <v/>
      </c>
      <c r="H30" s="2">
        <f>Waterfall!BS30</f>
        <v/>
      </c>
      <c r="I30" s="2">
        <f>Waterfall!BF30</f>
        <v/>
      </c>
      <c r="J30" s="2">
        <f>Waterfall!BI30</f>
        <v/>
      </c>
      <c r="K30" s="2">
        <f>G30+H30</f>
        <v/>
      </c>
      <c r="L30" s="2">
        <f>Waterfall!AO30</f>
        <v/>
      </c>
      <c r="M30" s="2">
        <f>Waterfall!BT30</f>
        <v/>
      </c>
      <c r="N30" s="2">
        <f>Waterfall!BE30</f>
        <v/>
      </c>
      <c r="O30" s="2">
        <f>Waterfall!BJ30</f>
        <v/>
      </c>
      <c r="P30" s="2">
        <f>L30+M30</f>
        <v/>
      </c>
      <c r="Q30" s="2">
        <f>Waterfall!BP30</f>
        <v/>
      </c>
      <c r="R30" s="2">
        <f>Waterfall!Z30+Waterfall!BN30</f>
        <v/>
      </c>
      <c r="S30" s="2">
        <f>Q30+R30</f>
        <v/>
      </c>
      <c r="T30" s="3">
        <f>Pool!B30</f>
        <v/>
      </c>
    </row>
    <row r="31">
      <c r="A31" s="7" t="n">
        <v>26</v>
      </c>
      <c r="B31" s="2">
        <f>Waterfall!AG31</f>
        <v/>
      </c>
      <c r="C31" s="2">
        <f>Waterfall!BR31</f>
        <v/>
      </c>
      <c r="D31" s="2">
        <f>Waterfall!BG31</f>
        <v/>
      </c>
      <c r="E31" s="2">
        <f>Waterfall!BH31</f>
        <v/>
      </c>
      <c r="F31" s="2">
        <f>B31+C31</f>
        <v/>
      </c>
      <c r="G31" s="2">
        <f>Waterfall!AK31</f>
        <v/>
      </c>
      <c r="H31" s="2">
        <f>Waterfall!BS31</f>
        <v/>
      </c>
      <c r="I31" s="2">
        <f>Waterfall!BF31</f>
        <v/>
      </c>
      <c r="J31" s="2">
        <f>Waterfall!BI31</f>
        <v/>
      </c>
      <c r="K31" s="2">
        <f>G31+H31</f>
        <v/>
      </c>
      <c r="L31" s="2">
        <f>Waterfall!AO31</f>
        <v/>
      </c>
      <c r="M31" s="2">
        <f>Waterfall!BT31</f>
        <v/>
      </c>
      <c r="N31" s="2">
        <f>Waterfall!BE31</f>
        <v/>
      </c>
      <c r="O31" s="2">
        <f>Waterfall!BJ31</f>
        <v/>
      </c>
      <c r="P31" s="2">
        <f>L31+M31</f>
        <v/>
      </c>
      <c r="Q31" s="2">
        <f>Waterfall!BP31</f>
        <v/>
      </c>
      <c r="R31" s="2">
        <f>Waterfall!Z31+Waterfall!BN31</f>
        <v/>
      </c>
      <c r="S31" s="2">
        <f>Q31+R31</f>
        <v/>
      </c>
      <c r="T31" s="3">
        <f>Pool!B31</f>
        <v/>
      </c>
    </row>
    <row r="32">
      <c r="A32" s="7" t="n">
        <v>27</v>
      </c>
      <c r="B32" s="2">
        <f>Waterfall!AG32</f>
        <v/>
      </c>
      <c r="C32" s="2">
        <f>Waterfall!BR32</f>
        <v/>
      </c>
      <c r="D32" s="2">
        <f>Waterfall!BG32</f>
        <v/>
      </c>
      <c r="E32" s="2">
        <f>Waterfall!BH32</f>
        <v/>
      </c>
      <c r="F32" s="2">
        <f>B32+C32</f>
        <v/>
      </c>
      <c r="G32" s="2">
        <f>Waterfall!AK32</f>
        <v/>
      </c>
      <c r="H32" s="2">
        <f>Waterfall!BS32</f>
        <v/>
      </c>
      <c r="I32" s="2">
        <f>Waterfall!BF32</f>
        <v/>
      </c>
      <c r="J32" s="2">
        <f>Waterfall!BI32</f>
        <v/>
      </c>
      <c r="K32" s="2">
        <f>G32+H32</f>
        <v/>
      </c>
      <c r="L32" s="2">
        <f>Waterfall!AO32</f>
        <v/>
      </c>
      <c r="M32" s="2">
        <f>Waterfall!BT32</f>
        <v/>
      </c>
      <c r="N32" s="2">
        <f>Waterfall!BE32</f>
        <v/>
      </c>
      <c r="O32" s="2">
        <f>Waterfall!BJ32</f>
        <v/>
      </c>
      <c r="P32" s="2">
        <f>L32+M32</f>
        <v/>
      </c>
      <c r="Q32" s="2">
        <f>Waterfall!BP32</f>
        <v/>
      </c>
      <c r="R32" s="2">
        <f>Waterfall!Z32+Waterfall!BN32</f>
        <v/>
      </c>
      <c r="S32" s="2">
        <f>Q32+R32</f>
        <v/>
      </c>
      <c r="T32" s="3">
        <f>Pool!B32</f>
        <v/>
      </c>
    </row>
    <row r="33">
      <c r="A33" s="7" t="n">
        <v>28</v>
      </c>
      <c r="B33" s="2">
        <f>Waterfall!AG33</f>
        <v/>
      </c>
      <c r="C33" s="2">
        <f>Waterfall!BR33</f>
        <v/>
      </c>
      <c r="D33" s="2">
        <f>Waterfall!BG33</f>
        <v/>
      </c>
      <c r="E33" s="2">
        <f>Waterfall!BH33</f>
        <v/>
      </c>
      <c r="F33" s="2">
        <f>B33+C33</f>
        <v/>
      </c>
      <c r="G33" s="2">
        <f>Waterfall!AK33</f>
        <v/>
      </c>
      <c r="H33" s="2">
        <f>Waterfall!BS33</f>
        <v/>
      </c>
      <c r="I33" s="2">
        <f>Waterfall!BF33</f>
        <v/>
      </c>
      <c r="J33" s="2">
        <f>Waterfall!BI33</f>
        <v/>
      </c>
      <c r="K33" s="2">
        <f>G33+H33</f>
        <v/>
      </c>
      <c r="L33" s="2">
        <f>Waterfall!AO33</f>
        <v/>
      </c>
      <c r="M33" s="2">
        <f>Waterfall!BT33</f>
        <v/>
      </c>
      <c r="N33" s="2">
        <f>Waterfall!BE33</f>
        <v/>
      </c>
      <c r="O33" s="2">
        <f>Waterfall!BJ33</f>
        <v/>
      </c>
      <c r="P33" s="2">
        <f>L33+M33</f>
        <v/>
      </c>
      <c r="Q33" s="2">
        <f>Waterfall!BP33</f>
        <v/>
      </c>
      <c r="R33" s="2">
        <f>Waterfall!Z33+Waterfall!BN33</f>
        <v/>
      </c>
      <c r="S33" s="2">
        <f>Q33+R33</f>
        <v/>
      </c>
      <c r="T33" s="3">
        <f>Pool!B33</f>
        <v/>
      </c>
    </row>
    <row r="34">
      <c r="A34" s="7" t="n">
        <v>29</v>
      </c>
      <c r="B34" s="2">
        <f>Waterfall!AG34</f>
        <v/>
      </c>
      <c r="C34" s="2">
        <f>Waterfall!BR34</f>
        <v/>
      </c>
      <c r="D34" s="2">
        <f>Waterfall!BG34</f>
        <v/>
      </c>
      <c r="E34" s="2">
        <f>Waterfall!BH34</f>
        <v/>
      </c>
      <c r="F34" s="2">
        <f>B34+C34</f>
        <v/>
      </c>
      <c r="G34" s="2">
        <f>Waterfall!AK34</f>
        <v/>
      </c>
      <c r="H34" s="2">
        <f>Waterfall!BS34</f>
        <v/>
      </c>
      <c r="I34" s="2">
        <f>Waterfall!BF34</f>
        <v/>
      </c>
      <c r="J34" s="2">
        <f>Waterfall!BI34</f>
        <v/>
      </c>
      <c r="K34" s="2">
        <f>G34+H34</f>
        <v/>
      </c>
      <c r="L34" s="2">
        <f>Waterfall!AO34</f>
        <v/>
      </c>
      <c r="M34" s="2">
        <f>Waterfall!BT34</f>
        <v/>
      </c>
      <c r="N34" s="2">
        <f>Waterfall!BE34</f>
        <v/>
      </c>
      <c r="O34" s="2">
        <f>Waterfall!BJ34</f>
        <v/>
      </c>
      <c r="P34" s="2">
        <f>L34+M34</f>
        <v/>
      </c>
      <c r="Q34" s="2">
        <f>Waterfall!BP34</f>
        <v/>
      </c>
      <c r="R34" s="2">
        <f>Waterfall!Z34+Waterfall!BN34</f>
        <v/>
      </c>
      <c r="S34" s="2">
        <f>Q34+R34</f>
        <v/>
      </c>
      <c r="T34" s="3">
        <f>Pool!B34</f>
        <v/>
      </c>
    </row>
    <row r="35">
      <c r="A35" s="7" t="n">
        <v>30</v>
      </c>
      <c r="B35" s="2">
        <f>Waterfall!AG35</f>
        <v/>
      </c>
      <c r="C35" s="2">
        <f>Waterfall!BR35</f>
        <v/>
      </c>
      <c r="D35" s="2">
        <f>Waterfall!BG35</f>
        <v/>
      </c>
      <c r="E35" s="2">
        <f>Waterfall!BH35</f>
        <v/>
      </c>
      <c r="F35" s="2">
        <f>B35+C35</f>
        <v/>
      </c>
      <c r="G35" s="2">
        <f>Waterfall!AK35</f>
        <v/>
      </c>
      <c r="H35" s="2">
        <f>Waterfall!BS35</f>
        <v/>
      </c>
      <c r="I35" s="2">
        <f>Waterfall!BF35</f>
        <v/>
      </c>
      <c r="J35" s="2">
        <f>Waterfall!BI35</f>
        <v/>
      </c>
      <c r="K35" s="2">
        <f>G35+H35</f>
        <v/>
      </c>
      <c r="L35" s="2">
        <f>Waterfall!AO35</f>
        <v/>
      </c>
      <c r="M35" s="2">
        <f>Waterfall!BT35</f>
        <v/>
      </c>
      <c r="N35" s="2">
        <f>Waterfall!BE35</f>
        <v/>
      </c>
      <c r="O35" s="2">
        <f>Waterfall!BJ35</f>
        <v/>
      </c>
      <c r="P35" s="2">
        <f>L35+M35</f>
        <v/>
      </c>
      <c r="Q35" s="2">
        <f>Waterfall!BP35</f>
        <v/>
      </c>
      <c r="R35" s="2">
        <f>Waterfall!Z35+Waterfall!BN35</f>
        <v/>
      </c>
      <c r="S35" s="2">
        <f>Q35+R35</f>
        <v/>
      </c>
      <c r="T35" s="3">
        <f>Pool!B35</f>
        <v/>
      </c>
    </row>
    <row r="36">
      <c r="A36" s="7" t="n">
        <v>31</v>
      </c>
      <c r="B36" s="2">
        <f>Waterfall!AG36</f>
        <v/>
      </c>
      <c r="C36" s="2">
        <f>Waterfall!BR36</f>
        <v/>
      </c>
      <c r="D36" s="2">
        <f>Waterfall!BG36</f>
        <v/>
      </c>
      <c r="E36" s="2">
        <f>Waterfall!BH36</f>
        <v/>
      </c>
      <c r="F36" s="2">
        <f>B36+C36</f>
        <v/>
      </c>
      <c r="G36" s="2">
        <f>Waterfall!AK36</f>
        <v/>
      </c>
      <c r="H36" s="2">
        <f>Waterfall!BS36</f>
        <v/>
      </c>
      <c r="I36" s="2">
        <f>Waterfall!BF36</f>
        <v/>
      </c>
      <c r="J36" s="2">
        <f>Waterfall!BI36</f>
        <v/>
      </c>
      <c r="K36" s="2">
        <f>G36+H36</f>
        <v/>
      </c>
      <c r="L36" s="2">
        <f>Waterfall!AO36</f>
        <v/>
      </c>
      <c r="M36" s="2">
        <f>Waterfall!BT36</f>
        <v/>
      </c>
      <c r="N36" s="2">
        <f>Waterfall!BE36</f>
        <v/>
      </c>
      <c r="O36" s="2">
        <f>Waterfall!BJ36</f>
        <v/>
      </c>
      <c r="P36" s="2">
        <f>L36+M36</f>
        <v/>
      </c>
      <c r="Q36" s="2">
        <f>Waterfall!BP36</f>
        <v/>
      </c>
      <c r="R36" s="2">
        <f>Waterfall!Z36+Waterfall!BN36</f>
        <v/>
      </c>
      <c r="S36" s="2">
        <f>Q36+R36</f>
        <v/>
      </c>
      <c r="T36" s="3">
        <f>Pool!B36</f>
        <v/>
      </c>
    </row>
    <row r="37">
      <c r="A37" s="7" t="n">
        <v>32</v>
      </c>
      <c r="B37" s="2">
        <f>Waterfall!AG37</f>
        <v/>
      </c>
      <c r="C37" s="2">
        <f>Waterfall!BR37</f>
        <v/>
      </c>
      <c r="D37" s="2">
        <f>Waterfall!BG37</f>
        <v/>
      </c>
      <c r="E37" s="2">
        <f>Waterfall!BH37</f>
        <v/>
      </c>
      <c r="F37" s="2">
        <f>B37+C37</f>
        <v/>
      </c>
      <c r="G37" s="2">
        <f>Waterfall!AK37</f>
        <v/>
      </c>
      <c r="H37" s="2">
        <f>Waterfall!BS37</f>
        <v/>
      </c>
      <c r="I37" s="2">
        <f>Waterfall!BF37</f>
        <v/>
      </c>
      <c r="J37" s="2">
        <f>Waterfall!BI37</f>
        <v/>
      </c>
      <c r="K37" s="2">
        <f>G37+H37</f>
        <v/>
      </c>
      <c r="L37" s="2">
        <f>Waterfall!AO37</f>
        <v/>
      </c>
      <c r="M37" s="2">
        <f>Waterfall!BT37</f>
        <v/>
      </c>
      <c r="N37" s="2">
        <f>Waterfall!BE37</f>
        <v/>
      </c>
      <c r="O37" s="2">
        <f>Waterfall!BJ37</f>
        <v/>
      </c>
      <c r="P37" s="2">
        <f>L37+M37</f>
        <v/>
      </c>
      <c r="Q37" s="2">
        <f>Waterfall!BP37</f>
        <v/>
      </c>
      <c r="R37" s="2">
        <f>Waterfall!Z37+Waterfall!BN37</f>
        <v/>
      </c>
      <c r="S37" s="2">
        <f>Q37+R37</f>
        <v/>
      </c>
      <c r="T37" s="3">
        <f>Pool!B37</f>
        <v/>
      </c>
    </row>
    <row r="38">
      <c r="A38" s="7" t="n">
        <v>33</v>
      </c>
      <c r="B38" s="2">
        <f>Waterfall!AG38</f>
        <v/>
      </c>
      <c r="C38" s="2">
        <f>Waterfall!BR38</f>
        <v/>
      </c>
      <c r="D38" s="2">
        <f>Waterfall!BG38</f>
        <v/>
      </c>
      <c r="E38" s="2">
        <f>Waterfall!BH38</f>
        <v/>
      </c>
      <c r="F38" s="2">
        <f>B38+C38</f>
        <v/>
      </c>
      <c r="G38" s="2">
        <f>Waterfall!AK38</f>
        <v/>
      </c>
      <c r="H38" s="2">
        <f>Waterfall!BS38</f>
        <v/>
      </c>
      <c r="I38" s="2">
        <f>Waterfall!BF38</f>
        <v/>
      </c>
      <c r="J38" s="2">
        <f>Waterfall!BI38</f>
        <v/>
      </c>
      <c r="K38" s="2">
        <f>G38+H38</f>
        <v/>
      </c>
      <c r="L38" s="2">
        <f>Waterfall!AO38</f>
        <v/>
      </c>
      <c r="M38" s="2">
        <f>Waterfall!BT38</f>
        <v/>
      </c>
      <c r="N38" s="2">
        <f>Waterfall!BE38</f>
        <v/>
      </c>
      <c r="O38" s="2">
        <f>Waterfall!BJ38</f>
        <v/>
      </c>
      <c r="P38" s="2">
        <f>L38+M38</f>
        <v/>
      </c>
      <c r="Q38" s="2">
        <f>Waterfall!BP38</f>
        <v/>
      </c>
      <c r="R38" s="2">
        <f>Waterfall!Z38+Waterfall!BN38</f>
        <v/>
      </c>
      <c r="S38" s="2">
        <f>Q38+R38</f>
        <v/>
      </c>
      <c r="T38" s="3">
        <f>Pool!B38</f>
        <v/>
      </c>
    </row>
    <row r="39">
      <c r="A39" s="7" t="n">
        <v>34</v>
      </c>
      <c r="B39" s="2">
        <f>Waterfall!AG39</f>
        <v/>
      </c>
      <c r="C39" s="2">
        <f>Waterfall!BR39</f>
        <v/>
      </c>
      <c r="D39" s="2">
        <f>Waterfall!BG39</f>
        <v/>
      </c>
      <c r="E39" s="2">
        <f>Waterfall!BH39</f>
        <v/>
      </c>
      <c r="F39" s="2">
        <f>B39+C39</f>
        <v/>
      </c>
      <c r="G39" s="2">
        <f>Waterfall!AK39</f>
        <v/>
      </c>
      <c r="H39" s="2">
        <f>Waterfall!BS39</f>
        <v/>
      </c>
      <c r="I39" s="2">
        <f>Waterfall!BF39</f>
        <v/>
      </c>
      <c r="J39" s="2">
        <f>Waterfall!BI39</f>
        <v/>
      </c>
      <c r="K39" s="2">
        <f>G39+H39</f>
        <v/>
      </c>
      <c r="L39" s="2">
        <f>Waterfall!AO39</f>
        <v/>
      </c>
      <c r="M39" s="2">
        <f>Waterfall!BT39</f>
        <v/>
      </c>
      <c r="N39" s="2">
        <f>Waterfall!BE39</f>
        <v/>
      </c>
      <c r="O39" s="2">
        <f>Waterfall!BJ39</f>
        <v/>
      </c>
      <c r="P39" s="2">
        <f>L39+M39</f>
        <v/>
      </c>
      <c r="Q39" s="2">
        <f>Waterfall!BP39</f>
        <v/>
      </c>
      <c r="R39" s="2">
        <f>Waterfall!Z39+Waterfall!BN39</f>
        <v/>
      </c>
      <c r="S39" s="2">
        <f>Q39+R39</f>
        <v/>
      </c>
      <c r="T39" s="3">
        <f>Pool!B39</f>
        <v/>
      </c>
    </row>
    <row r="40">
      <c r="A40" s="7" t="n">
        <v>35</v>
      </c>
      <c r="B40" s="2">
        <f>Waterfall!AG40</f>
        <v/>
      </c>
      <c r="C40" s="2">
        <f>Waterfall!BR40</f>
        <v/>
      </c>
      <c r="D40" s="2">
        <f>Waterfall!BG40</f>
        <v/>
      </c>
      <c r="E40" s="2">
        <f>Waterfall!BH40</f>
        <v/>
      </c>
      <c r="F40" s="2">
        <f>B40+C40</f>
        <v/>
      </c>
      <c r="G40" s="2">
        <f>Waterfall!AK40</f>
        <v/>
      </c>
      <c r="H40" s="2">
        <f>Waterfall!BS40</f>
        <v/>
      </c>
      <c r="I40" s="2">
        <f>Waterfall!BF40</f>
        <v/>
      </c>
      <c r="J40" s="2">
        <f>Waterfall!BI40</f>
        <v/>
      </c>
      <c r="K40" s="2">
        <f>G40+H40</f>
        <v/>
      </c>
      <c r="L40" s="2">
        <f>Waterfall!AO40</f>
        <v/>
      </c>
      <c r="M40" s="2">
        <f>Waterfall!BT40</f>
        <v/>
      </c>
      <c r="N40" s="2">
        <f>Waterfall!BE40</f>
        <v/>
      </c>
      <c r="O40" s="2">
        <f>Waterfall!BJ40</f>
        <v/>
      </c>
      <c r="P40" s="2">
        <f>L40+M40</f>
        <v/>
      </c>
      <c r="Q40" s="2">
        <f>Waterfall!BP40</f>
        <v/>
      </c>
      <c r="R40" s="2">
        <f>Waterfall!Z40+Waterfall!BN40</f>
        <v/>
      </c>
      <c r="S40" s="2">
        <f>Q40+R40</f>
        <v/>
      </c>
      <c r="T40" s="3">
        <f>Pool!B40</f>
        <v/>
      </c>
    </row>
    <row r="41">
      <c r="A41" s="7" t="n">
        <v>36</v>
      </c>
      <c r="B41" s="2">
        <f>Waterfall!AG41</f>
        <v/>
      </c>
      <c r="C41" s="2">
        <f>Waterfall!BR41</f>
        <v/>
      </c>
      <c r="D41" s="2">
        <f>Waterfall!BG41</f>
        <v/>
      </c>
      <c r="E41" s="2">
        <f>Waterfall!BH41</f>
        <v/>
      </c>
      <c r="F41" s="2">
        <f>B41+C41</f>
        <v/>
      </c>
      <c r="G41" s="2">
        <f>Waterfall!AK41</f>
        <v/>
      </c>
      <c r="H41" s="2">
        <f>Waterfall!BS41</f>
        <v/>
      </c>
      <c r="I41" s="2">
        <f>Waterfall!BF41</f>
        <v/>
      </c>
      <c r="J41" s="2">
        <f>Waterfall!BI41</f>
        <v/>
      </c>
      <c r="K41" s="2">
        <f>G41+H41</f>
        <v/>
      </c>
      <c r="L41" s="2">
        <f>Waterfall!AO41</f>
        <v/>
      </c>
      <c r="M41" s="2">
        <f>Waterfall!BT41</f>
        <v/>
      </c>
      <c r="N41" s="2">
        <f>Waterfall!BE41</f>
        <v/>
      </c>
      <c r="O41" s="2">
        <f>Waterfall!BJ41</f>
        <v/>
      </c>
      <c r="P41" s="2">
        <f>L41+M41</f>
        <v/>
      </c>
      <c r="Q41" s="2">
        <f>Waterfall!BP41</f>
        <v/>
      </c>
      <c r="R41" s="2">
        <f>Waterfall!Z41+Waterfall!BN41</f>
        <v/>
      </c>
      <c r="S41" s="2">
        <f>Q41+R41</f>
        <v/>
      </c>
      <c r="T41" s="3">
        <f>Pool!B41</f>
        <v/>
      </c>
    </row>
    <row r="42">
      <c r="A42" s="7" t="n">
        <v>37</v>
      </c>
      <c r="B42" s="2">
        <f>Waterfall!AG42</f>
        <v/>
      </c>
      <c r="C42" s="2">
        <f>Waterfall!BR42</f>
        <v/>
      </c>
      <c r="D42" s="2">
        <f>Waterfall!BG42</f>
        <v/>
      </c>
      <c r="E42" s="2">
        <f>Waterfall!BH42</f>
        <v/>
      </c>
      <c r="F42" s="2">
        <f>B42+C42</f>
        <v/>
      </c>
      <c r="G42" s="2">
        <f>Waterfall!AK42</f>
        <v/>
      </c>
      <c r="H42" s="2">
        <f>Waterfall!BS42</f>
        <v/>
      </c>
      <c r="I42" s="2">
        <f>Waterfall!BF42</f>
        <v/>
      </c>
      <c r="J42" s="2">
        <f>Waterfall!BI42</f>
        <v/>
      </c>
      <c r="K42" s="2">
        <f>G42+H42</f>
        <v/>
      </c>
      <c r="L42" s="2">
        <f>Waterfall!AO42</f>
        <v/>
      </c>
      <c r="M42" s="2">
        <f>Waterfall!BT42</f>
        <v/>
      </c>
      <c r="N42" s="2">
        <f>Waterfall!BE42</f>
        <v/>
      </c>
      <c r="O42" s="2">
        <f>Waterfall!BJ42</f>
        <v/>
      </c>
      <c r="P42" s="2">
        <f>L42+M42</f>
        <v/>
      </c>
      <c r="Q42" s="2">
        <f>Waterfall!BP42</f>
        <v/>
      </c>
      <c r="R42" s="2">
        <f>Waterfall!Z42+Waterfall!BN42</f>
        <v/>
      </c>
      <c r="S42" s="2">
        <f>Q42+R42</f>
        <v/>
      </c>
      <c r="T42" s="3">
        <f>Pool!B42</f>
        <v/>
      </c>
    </row>
    <row r="43">
      <c r="A43" s="7" t="n">
        <v>38</v>
      </c>
      <c r="B43" s="2">
        <f>Waterfall!AG43</f>
        <v/>
      </c>
      <c r="C43" s="2">
        <f>Waterfall!BR43</f>
        <v/>
      </c>
      <c r="D43" s="2">
        <f>Waterfall!BG43</f>
        <v/>
      </c>
      <c r="E43" s="2">
        <f>Waterfall!BH43</f>
        <v/>
      </c>
      <c r="F43" s="2">
        <f>B43+C43</f>
        <v/>
      </c>
      <c r="G43" s="2">
        <f>Waterfall!AK43</f>
        <v/>
      </c>
      <c r="H43" s="2">
        <f>Waterfall!BS43</f>
        <v/>
      </c>
      <c r="I43" s="2">
        <f>Waterfall!BF43</f>
        <v/>
      </c>
      <c r="J43" s="2">
        <f>Waterfall!BI43</f>
        <v/>
      </c>
      <c r="K43" s="2">
        <f>G43+H43</f>
        <v/>
      </c>
      <c r="L43" s="2">
        <f>Waterfall!AO43</f>
        <v/>
      </c>
      <c r="M43" s="2">
        <f>Waterfall!BT43</f>
        <v/>
      </c>
      <c r="N43" s="2">
        <f>Waterfall!BE43</f>
        <v/>
      </c>
      <c r="O43" s="2">
        <f>Waterfall!BJ43</f>
        <v/>
      </c>
      <c r="P43" s="2">
        <f>L43+M43</f>
        <v/>
      </c>
      <c r="Q43" s="2">
        <f>Waterfall!BP43</f>
        <v/>
      </c>
      <c r="R43" s="2">
        <f>Waterfall!Z43+Waterfall!BN43</f>
        <v/>
      </c>
      <c r="S43" s="2">
        <f>Q43+R43</f>
        <v/>
      </c>
      <c r="T43" s="3">
        <f>Pool!B43</f>
        <v/>
      </c>
    </row>
    <row r="44">
      <c r="A44" s="7" t="n">
        <v>39</v>
      </c>
      <c r="B44" s="2">
        <f>Waterfall!AG44</f>
        <v/>
      </c>
      <c r="C44" s="2">
        <f>Waterfall!BR44</f>
        <v/>
      </c>
      <c r="D44" s="2">
        <f>Waterfall!BG44</f>
        <v/>
      </c>
      <c r="E44" s="2">
        <f>Waterfall!BH44</f>
        <v/>
      </c>
      <c r="F44" s="2">
        <f>B44+C44</f>
        <v/>
      </c>
      <c r="G44" s="2">
        <f>Waterfall!AK44</f>
        <v/>
      </c>
      <c r="H44" s="2">
        <f>Waterfall!BS44</f>
        <v/>
      </c>
      <c r="I44" s="2">
        <f>Waterfall!BF44</f>
        <v/>
      </c>
      <c r="J44" s="2">
        <f>Waterfall!BI44</f>
        <v/>
      </c>
      <c r="K44" s="2">
        <f>G44+H44</f>
        <v/>
      </c>
      <c r="L44" s="2">
        <f>Waterfall!AO44</f>
        <v/>
      </c>
      <c r="M44" s="2">
        <f>Waterfall!BT44</f>
        <v/>
      </c>
      <c r="N44" s="2">
        <f>Waterfall!BE44</f>
        <v/>
      </c>
      <c r="O44" s="2">
        <f>Waterfall!BJ44</f>
        <v/>
      </c>
      <c r="P44" s="2">
        <f>L44+M44</f>
        <v/>
      </c>
      <c r="Q44" s="2">
        <f>Waterfall!BP44</f>
        <v/>
      </c>
      <c r="R44" s="2">
        <f>Waterfall!Z44+Waterfall!BN44</f>
        <v/>
      </c>
      <c r="S44" s="2">
        <f>Q44+R44</f>
        <v/>
      </c>
      <c r="T44" s="3">
        <f>Pool!B44</f>
        <v/>
      </c>
    </row>
    <row r="45">
      <c r="A45" s="7" t="n">
        <v>40</v>
      </c>
      <c r="B45" s="2">
        <f>Waterfall!AG45</f>
        <v/>
      </c>
      <c r="C45" s="2">
        <f>Waterfall!BR45</f>
        <v/>
      </c>
      <c r="D45" s="2">
        <f>Waterfall!BG45</f>
        <v/>
      </c>
      <c r="E45" s="2">
        <f>Waterfall!BH45</f>
        <v/>
      </c>
      <c r="F45" s="2">
        <f>B45+C45</f>
        <v/>
      </c>
      <c r="G45" s="2">
        <f>Waterfall!AK45</f>
        <v/>
      </c>
      <c r="H45" s="2">
        <f>Waterfall!BS45</f>
        <v/>
      </c>
      <c r="I45" s="2">
        <f>Waterfall!BF45</f>
        <v/>
      </c>
      <c r="J45" s="2">
        <f>Waterfall!BI45</f>
        <v/>
      </c>
      <c r="K45" s="2">
        <f>G45+H45</f>
        <v/>
      </c>
      <c r="L45" s="2">
        <f>Waterfall!AO45</f>
        <v/>
      </c>
      <c r="M45" s="2">
        <f>Waterfall!BT45</f>
        <v/>
      </c>
      <c r="N45" s="2">
        <f>Waterfall!BE45</f>
        <v/>
      </c>
      <c r="O45" s="2">
        <f>Waterfall!BJ45</f>
        <v/>
      </c>
      <c r="P45" s="2">
        <f>L45+M45</f>
        <v/>
      </c>
      <c r="Q45" s="2">
        <f>Waterfall!BP45</f>
        <v/>
      </c>
      <c r="R45" s="2">
        <f>Waterfall!Z45+Waterfall!BN45</f>
        <v/>
      </c>
      <c r="S45" s="2">
        <f>Q45+R45</f>
        <v/>
      </c>
      <c r="T45" s="3">
        <f>Pool!B45</f>
        <v/>
      </c>
    </row>
    <row r="46">
      <c r="A46" s="7" t="n">
        <v>41</v>
      </c>
      <c r="B46" s="2">
        <f>Waterfall!AG46</f>
        <v/>
      </c>
      <c r="C46" s="2">
        <f>Waterfall!BR46</f>
        <v/>
      </c>
      <c r="D46" s="2">
        <f>Waterfall!BG46</f>
        <v/>
      </c>
      <c r="E46" s="2">
        <f>Waterfall!BH46</f>
        <v/>
      </c>
      <c r="F46" s="2">
        <f>B46+C46</f>
        <v/>
      </c>
      <c r="G46" s="2">
        <f>Waterfall!AK46</f>
        <v/>
      </c>
      <c r="H46" s="2">
        <f>Waterfall!BS46</f>
        <v/>
      </c>
      <c r="I46" s="2">
        <f>Waterfall!BF46</f>
        <v/>
      </c>
      <c r="J46" s="2">
        <f>Waterfall!BI46</f>
        <v/>
      </c>
      <c r="K46" s="2">
        <f>G46+H46</f>
        <v/>
      </c>
      <c r="L46" s="2">
        <f>Waterfall!AO46</f>
        <v/>
      </c>
      <c r="M46" s="2">
        <f>Waterfall!BT46</f>
        <v/>
      </c>
      <c r="N46" s="2">
        <f>Waterfall!BE46</f>
        <v/>
      </c>
      <c r="O46" s="2">
        <f>Waterfall!BJ46</f>
        <v/>
      </c>
      <c r="P46" s="2">
        <f>L46+M46</f>
        <v/>
      </c>
      <c r="Q46" s="2">
        <f>Waterfall!BP46</f>
        <v/>
      </c>
      <c r="R46" s="2">
        <f>Waterfall!Z46+Waterfall!BN46</f>
        <v/>
      </c>
      <c r="S46" s="2">
        <f>Q46+R46</f>
        <v/>
      </c>
      <c r="T46" s="3">
        <f>Pool!B46</f>
        <v/>
      </c>
    </row>
    <row r="47">
      <c r="A47" s="7" t="n">
        <v>42</v>
      </c>
      <c r="B47" s="2">
        <f>Waterfall!AG47</f>
        <v/>
      </c>
      <c r="C47" s="2">
        <f>Waterfall!BR47</f>
        <v/>
      </c>
      <c r="D47" s="2">
        <f>Waterfall!BG47</f>
        <v/>
      </c>
      <c r="E47" s="2">
        <f>Waterfall!BH47</f>
        <v/>
      </c>
      <c r="F47" s="2">
        <f>B47+C47</f>
        <v/>
      </c>
      <c r="G47" s="2">
        <f>Waterfall!AK47</f>
        <v/>
      </c>
      <c r="H47" s="2">
        <f>Waterfall!BS47</f>
        <v/>
      </c>
      <c r="I47" s="2">
        <f>Waterfall!BF47</f>
        <v/>
      </c>
      <c r="J47" s="2">
        <f>Waterfall!BI47</f>
        <v/>
      </c>
      <c r="K47" s="2">
        <f>G47+H47</f>
        <v/>
      </c>
      <c r="L47" s="2">
        <f>Waterfall!AO47</f>
        <v/>
      </c>
      <c r="M47" s="2">
        <f>Waterfall!BT47</f>
        <v/>
      </c>
      <c r="N47" s="2">
        <f>Waterfall!BE47</f>
        <v/>
      </c>
      <c r="O47" s="2">
        <f>Waterfall!BJ47</f>
        <v/>
      </c>
      <c r="P47" s="2">
        <f>L47+M47</f>
        <v/>
      </c>
      <c r="Q47" s="2">
        <f>Waterfall!BP47</f>
        <v/>
      </c>
      <c r="R47" s="2">
        <f>Waterfall!Z47+Waterfall!BN47</f>
        <v/>
      </c>
      <c r="S47" s="2">
        <f>Q47+R47</f>
        <v/>
      </c>
      <c r="T47" s="3">
        <f>Pool!B47</f>
        <v/>
      </c>
    </row>
    <row r="48">
      <c r="A48" s="7" t="n">
        <v>43</v>
      </c>
      <c r="B48" s="2">
        <f>Waterfall!AG48</f>
        <v/>
      </c>
      <c r="C48" s="2">
        <f>Waterfall!BR48</f>
        <v/>
      </c>
      <c r="D48" s="2">
        <f>Waterfall!BG48</f>
        <v/>
      </c>
      <c r="E48" s="2">
        <f>Waterfall!BH48</f>
        <v/>
      </c>
      <c r="F48" s="2">
        <f>B48+C48</f>
        <v/>
      </c>
      <c r="G48" s="2">
        <f>Waterfall!AK48</f>
        <v/>
      </c>
      <c r="H48" s="2">
        <f>Waterfall!BS48</f>
        <v/>
      </c>
      <c r="I48" s="2">
        <f>Waterfall!BF48</f>
        <v/>
      </c>
      <c r="J48" s="2">
        <f>Waterfall!BI48</f>
        <v/>
      </c>
      <c r="K48" s="2">
        <f>G48+H48</f>
        <v/>
      </c>
      <c r="L48" s="2">
        <f>Waterfall!AO48</f>
        <v/>
      </c>
      <c r="M48" s="2">
        <f>Waterfall!BT48</f>
        <v/>
      </c>
      <c r="N48" s="2">
        <f>Waterfall!BE48</f>
        <v/>
      </c>
      <c r="O48" s="2">
        <f>Waterfall!BJ48</f>
        <v/>
      </c>
      <c r="P48" s="2">
        <f>L48+M48</f>
        <v/>
      </c>
      <c r="Q48" s="2">
        <f>Waterfall!BP48</f>
        <v/>
      </c>
      <c r="R48" s="2">
        <f>Waterfall!Z48+Waterfall!BN48</f>
        <v/>
      </c>
      <c r="S48" s="2">
        <f>Q48+R48</f>
        <v/>
      </c>
      <c r="T48" s="3">
        <f>Pool!B48</f>
        <v/>
      </c>
    </row>
    <row r="49">
      <c r="A49" s="7" t="n">
        <v>44</v>
      </c>
      <c r="B49" s="2">
        <f>Waterfall!AG49</f>
        <v/>
      </c>
      <c r="C49" s="2">
        <f>Waterfall!BR49</f>
        <v/>
      </c>
      <c r="D49" s="2">
        <f>Waterfall!BG49</f>
        <v/>
      </c>
      <c r="E49" s="2">
        <f>Waterfall!BH49</f>
        <v/>
      </c>
      <c r="F49" s="2">
        <f>B49+C49</f>
        <v/>
      </c>
      <c r="G49" s="2">
        <f>Waterfall!AK49</f>
        <v/>
      </c>
      <c r="H49" s="2">
        <f>Waterfall!BS49</f>
        <v/>
      </c>
      <c r="I49" s="2">
        <f>Waterfall!BF49</f>
        <v/>
      </c>
      <c r="J49" s="2">
        <f>Waterfall!BI49</f>
        <v/>
      </c>
      <c r="K49" s="2">
        <f>G49+H49</f>
        <v/>
      </c>
      <c r="L49" s="2">
        <f>Waterfall!AO49</f>
        <v/>
      </c>
      <c r="M49" s="2">
        <f>Waterfall!BT49</f>
        <v/>
      </c>
      <c r="N49" s="2">
        <f>Waterfall!BE49</f>
        <v/>
      </c>
      <c r="O49" s="2">
        <f>Waterfall!BJ49</f>
        <v/>
      </c>
      <c r="P49" s="2">
        <f>L49+M49</f>
        <v/>
      </c>
      <c r="Q49" s="2">
        <f>Waterfall!BP49</f>
        <v/>
      </c>
      <c r="R49" s="2">
        <f>Waterfall!Z49+Waterfall!BN49</f>
        <v/>
      </c>
      <c r="S49" s="2">
        <f>Q49+R49</f>
        <v/>
      </c>
      <c r="T49" s="3">
        <f>Pool!B49</f>
        <v/>
      </c>
    </row>
    <row r="50">
      <c r="A50" s="7" t="n">
        <v>45</v>
      </c>
      <c r="B50" s="2">
        <f>Waterfall!AG50</f>
        <v/>
      </c>
      <c r="C50" s="2">
        <f>Waterfall!BR50</f>
        <v/>
      </c>
      <c r="D50" s="2">
        <f>Waterfall!BG50</f>
        <v/>
      </c>
      <c r="E50" s="2">
        <f>Waterfall!BH50</f>
        <v/>
      </c>
      <c r="F50" s="2">
        <f>B50+C50</f>
        <v/>
      </c>
      <c r="G50" s="2">
        <f>Waterfall!AK50</f>
        <v/>
      </c>
      <c r="H50" s="2">
        <f>Waterfall!BS50</f>
        <v/>
      </c>
      <c r="I50" s="2">
        <f>Waterfall!BF50</f>
        <v/>
      </c>
      <c r="J50" s="2">
        <f>Waterfall!BI50</f>
        <v/>
      </c>
      <c r="K50" s="2">
        <f>G50+H50</f>
        <v/>
      </c>
      <c r="L50" s="2">
        <f>Waterfall!AO50</f>
        <v/>
      </c>
      <c r="M50" s="2">
        <f>Waterfall!BT50</f>
        <v/>
      </c>
      <c r="N50" s="2">
        <f>Waterfall!BE50</f>
        <v/>
      </c>
      <c r="O50" s="2">
        <f>Waterfall!BJ50</f>
        <v/>
      </c>
      <c r="P50" s="2">
        <f>L50+M50</f>
        <v/>
      </c>
      <c r="Q50" s="2">
        <f>Waterfall!BP50</f>
        <v/>
      </c>
      <c r="R50" s="2">
        <f>Waterfall!Z50+Waterfall!BN50</f>
        <v/>
      </c>
      <c r="S50" s="2">
        <f>Q50+R50</f>
        <v/>
      </c>
      <c r="T50" s="3">
        <f>Pool!B50</f>
        <v/>
      </c>
    </row>
    <row r="51">
      <c r="A51" s="7" t="n">
        <v>46</v>
      </c>
      <c r="B51" s="2">
        <f>Waterfall!AG51</f>
        <v/>
      </c>
      <c r="C51" s="2">
        <f>Waterfall!BR51</f>
        <v/>
      </c>
      <c r="D51" s="2">
        <f>Waterfall!BG51</f>
        <v/>
      </c>
      <c r="E51" s="2">
        <f>Waterfall!BH51</f>
        <v/>
      </c>
      <c r="F51" s="2">
        <f>B51+C51</f>
        <v/>
      </c>
      <c r="G51" s="2">
        <f>Waterfall!AK51</f>
        <v/>
      </c>
      <c r="H51" s="2">
        <f>Waterfall!BS51</f>
        <v/>
      </c>
      <c r="I51" s="2">
        <f>Waterfall!BF51</f>
        <v/>
      </c>
      <c r="J51" s="2">
        <f>Waterfall!BI51</f>
        <v/>
      </c>
      <c r="K51" s="2">
        <f>G51+H51</f>
        <v/>
      </c>
      <c r="L51" s="2">
        <f>Waterfall!AO51</f>
        <v/>
      </c>
      <c r="M51" s="2">
        <f>Waterfall!BT51</f>
        <v/>
      </c>
      <c r="N51" s="2">
        <f>Waterfall!BE51</f>
        <v/>
      </c>
      <c r="O51" s="2">
        <f>Waterfall!BJ51</f>
        <v/>
      </c>
      <c r="P51" s="2">
        <f>L51+M51</f>
        <v/>
      </c>
      <c r="Q51" s="2">
        <f>Waterfall!BP51</f>
        <v/>
      </c>
      <c r="R51" s="2">
        <f>Waterfall!Z51+Waterfall!BN51</f>
        <v/>
      </c>
      <c r="S51" s="2">
        <f>Q51+R51</f>
        <v/>
      </c>
      <c r="T51" s="3">
        <f>Pool!B51</f>
        <v/>
      </c>
    </row>
    <row r="52">
      <c r="A52" s="7" t="n">
        <v>47</v>
      </c>
      <c r="B52" s="2">
        <f>Waterfall!AG52</f>
        <v/>
      </c>
      <c r="C52" s="2">
        <f>Waterfall!BR52</f>
        <v/>
      </c>
      <c r="D52" s="2">
        <f>Waterfall!BG52</f>
        <v/>
      </c>
      <c r="E52" s="2">
        <f>Waterfall!BH52</f>
        <v/>
      </c>
      <c r="F52" s="2">
        <f>B52+C52</f>
        <v/>
      </c>
      <c r="G52" s="2">
        <f>Waterfall!AK52</f>
        <v/>
      </c>
      <c r="H52" s="2">
        <f>Waterfall!BS52</f>
        <v/>
      </c>
      <c r="I52" s="2">
        <f>Waterfall!BF52</f>
        <v/>
      </c>
      <c r="J52" s="2">
        <f>Waterfall!BI52</f>
        <v/>
      </c>
      <c r="K52" s="2">
        <f>G52+H52</f>
        <v/>
      </c>
      <c r="L52" s="2">
        <f>Waterfall!AO52</f>
        <v/>
      </c>
      <c r="M52" s="2">
        <f>Waterfall!BT52</f>
        <v/>
      </c>
      <c r="N52" s="2">
        <f>Waterfall!BE52</f>
        <v/>
      </c>
      <c r="O52" s="2">
        <f>Waterfall!BJ52</f>
        <v/>
      </c>
      <c r="P52" s="2">
        <f>L52+M52</f>
        <v/>
      </c>
      <c r="Q52" s="2">
        <f>Waterfall!BP52</f>
        <v/>
      </c>
      <c r="R52" s="2">
        <f>Waterfall!Z52+Waterfall!BN52</f>
        <v/>
      </c>
      <c r="S52" s="2">
        <f>Q52+R52</f>
        <v/>
      </c>
      <c r="T52" s="3">
        <f>Pool!B52</f>
        <v/>
      </c>
    </row>
    <row r="53">
      <c r="A53" s="7" t="n">
        <v>48</v>
      </c>
      <c r="B53" s="2">
        <f>Waterfall!AG53</f>
        <v/>
      </c>
      <c r="C53" s="2">
        <f>Waterfall!BR53</f>
        <v/>
      </c>
      <c r="D53" s="2">
        <f>Waterfall!BG53</f>
        <v/>
      </c>
      <c r="E53" s="2">
        <f>Waterfall!BH53</f>
        <v/>
      </c>
      <c r="F53" s="2">
        <f>B53+C53</f>
        <v/>
      </c>
      <c r="G53" s="2">
        <f>Waterfall!AK53</f>
        <v/>
      </c>
      <c r="H53" s="2">
        <f>Waterfall!BS53</f>
        <v/>
      </c>
      <c r="I53" s="2">
        <f>Waterfall!BF53</f>
        <v/>
      </c>
      <c r="J53" s="2">
        <f>Waterfall!BI53</f>
        <v/>
      </c>
      <c r="K53" s="2">
        <f>G53+H53</f>
        <v/>
      </c>
      <c r="L53" s="2">
        <f>Waterfall!AO53</f>
        <v/>
      </c>
      <c r="M53" s="2">
        <f>Waterfall!BT53</f>
        <v/>
      </c>
      <c r="N53" s="2">
        <f>Waterfall!BE53</f>
        <v/>
      </c>
      <c r="O53" s="2">
        <f>Waterfall!BJ53</f>
        <v/>
      </c>
      <c r="P53" s="2">
        <f>L53+M53</f>
        <v/>
      </c>
      <c r="Q53" s="2">
        <f>Waterfall!BP53</f>
        <v/>
      </c>
      <c r="R53" s="2">
        <f>Waterfall!Z53+Waterfall!BN53</f>
        <v/>
      </c>
      <c r="S53" s="2">
        <f>Q53+R53</f>
        <v/>
      </c>
      <c r="T53" s="3">
        <f>Pool!B53</f>
        <v/>
      </c>
    </row>
    <row r="54">
      <c r="A54" s="7" t="n">
        <v>49</v>
      </c>
      <c r="B54" s="2">
        <f>Waterfall!AG54</f>
        <v/>
      </c>
      <c r="C54" s="2">
        <f>Waterfall!BR54</f>
        <v/>
      </c>
      <c r="D54" s="2">
        <f>Waterfall!BG54</f>
        <v/>
      </c>
      <c r="E54" s="2">
        <f>Waterfall!BH54</f>
        <v/>
      </c>
      <c r="F54" s="2">
        <f>B54+C54</f>
        <v/>
      </c>
      <c r="G54" s="2">
        <f>Waterfall!AK54</f>
        <v/>
      </c>
      <c r="H54" s="2">
        <f>Waterfall!BS54</f>
        <v/>
      </c>
      <c r="I54" s="2">
        <f>Waterfall!BF54</f>
        <v/>
      </c>
      <c r="J54" s="2">
        <f>Waterfall!BI54</f>
        <v/>
      </c>
      <c r="K54" s="2">
        <f>G54+H54</f>
        <v/>
      </c>
      <c r="L54" s="2">
        <f>Waterfall!AO54</f>
        <v/>
      </c>
      <c r="M54" s="2">
        <f>Waterfall!BT54</f>
        <v/>
      </c>
      <c r="N54" s="2">
        <f>Waterfall!BE54</f>
        <v/>
      </c>
      <c r="O54" s="2">
        <f>Waterfall!BJ54</f>
        <v/>
      </c>
      <c r="P54" s="2">
        <f>L54+M54</f>
        <v/>
      </c>
      <c r="Q54" s="2">
        <f>Waterfall!BP54</f>
        <v/>
      </c>
      <c r="R54" s="2">
        <f>Waterfall!Z54+Waterfall!BN54</f>
        <v/>
      </c>
      <c r="S54" s="2">
        <f>Q54+R54</f>
        <v/>
      </c>
      <c r="T54" s="3">
        <f>Pool!B54</f>
        <v/>
      </c>
    </row>
    <row r="55">
      <c r="A55" s="7" t="n">
        <v>50</v>
      </c>
      <c r="B55" s="2">
        <f>Waterfall!AG55</f>
        <v/>
      </c>
      <c r="C55" s="2">
        <f>Waterfall!BR55</f>
        <v/>
      </c>
      <c r="D55" s="2">
        <f>Waterfall!BG55</f>
        <v/>
      </c>
      <c r="E55" s="2">
        <f>Waterfall!BH55</f>
        <v/>
      </c>
      <c r="F55" s="2">
        <f>B55+C55</f>
        <v/>
      </c>
      <c r="G55" s="2">
        <f>Waterfall!AK55</f>
        <v/>
      </c>
      <c r="H55" s="2">
        <f>Waterfall!BS55</f>
        <v/>
      </c>
      <c r="I55" s="2">
        <f>Waterfall!BF55</f>
        <v/>
      </c>
      <c r="J55" s="2">
        <f>Waterfall!BI55</f>
        <v/>
      </c>
      <c r="K55" s="2">
        <f>G55+H55</f>
        <v/>
      </c>
      <c r="L55" s="2">
        <f>Waterfall!AO55</f>
        <v/>
      </c>
      <c r="M55" s="2">
        <f>Waterfall!BT55</f>
        <v/>
      </c>
      <c r="N55" s="2">
        <f>Waterfall!BE55</f>
        <v/>
      </c>
      <c r="O55" s="2">
        <f>Waterfall!BJ55</f>
        <v/>
      </c>
      <c r="P55" s="2">
        <f>L55+M55</f>
        <v/>
      </c>
      <c r="Q55" s="2">
        <f>Waterfall!BP55</f>
        <v/>
      </c>
      <c r="R55" s="2">
        <f>Waterfall!Z55+Waterfall!BN55</f>
        <v/>
      </c>
      <c r="S55" s="2">
        <f>Q55+R55</f>
        <v/>
      </c>
      <c r="T55" s="3">
        <f>Pool!B55</f>
        <v/>
      </c>
    </row>
    <row r="56">
      <c r="A56" s="7" t="n">
        <v>51</v>
      </c>
      <c r="B56" s="2">
        <f>Waterfall!AG56</f>
        <v/>
      </c>
      <c r="C56" s="2">
        <f>Waterfall!BR56</f>
        <v/>
      </c>
      <c r="D56" s="2">
        <f>Waterfall!BG56</f>
        <v/>
      </c>
      <c r="E56" s="2">
        <f>Waterfall!BH56</f>
        <v/>
      </c>
      <c r="F56" s="2">
        <f>B56+C56</f>
        <v/>
      </c>
      <c r="G56" s="2">
        <f>Waterfall!AK56</f>
        <v/>
      </c>
      <c r="H56" s="2">
        <f>Waterfall!BS56</f>
        <v/>
      </c>
      <c r="I56" s="2">
        <f>Waterfall!BF56</f>
        <v/>
      </c>
      <c r="J56" s="2">
        <f>Waterfall!BI56</f>
        <v/>
      </c>
      <c r="K56" s="2">
        <f>G56+H56</f>
        <v/>
      </c>
      <c r="L56" s="2">
        <f>Waterfall!AO56</f>
        <v/>
      </c>
      <c r="M56" s="2">
        <f>Waterfall!BT56</f>
        <v/>
      </c>
      <c r="N56" s="2">
        <f>Waterfall!BE56</f>
        <v/>
      </c>
      <c r="O56" s="2">
        <f>Waterfall!BJ56</f>
        <v/>
      </c>
      <c r="P56" s="2">
        <f>L56+M56</f>
        <v/>
      </c>
      <c r="Q56" s="2">
        <f>Waterfall!BP56</f>
        <v/>
      </c>
      <c r="R56" s="2">
        <f>Waterfall!Z56+Waterfall!BN56</f>
        <v/>
      </c>
      <c r="S56" s="2">
        <f>Q56+R56</f>
        <v/>
      </c>
      <c r="T56" s="3">
        <f>Pool!B56</f>
        <v/>
      </c>
    </row>
    <row r="57">
      <c r="A57" s="7" t="n">
        <v>52</v>
      </c>
      <c r="B57" s="2">
        <f>Waterfall!AG57</f>
        <v/>
      </c>
      <c r="C57" s="2">
        <f>Waterfall!BR57</f>
        <v/>
      </c>
      <c r="D57" s="2">
        <f>Waterfall!BG57</f>
        <v/>
      </c>
      <c r="E57" s="2">
        <f>Waterfall!BH57</f>
        <v/>
      </c>
      <c r="F57" s="2">
        <f>B57+C57</f>
        <v/>
      </c>
      <c r="G57" s="2">
        <f>Waterfall!AK57</f>
        <v/>
      </c>
      <c r="H57" s="2">
        <f>Waterfall!BS57</f>
        <v/>
      </c>
      <c r="I57" s="2">
        <f>Waterfall!BF57</f>
        <v/>
      </c>
      <c r="J57" s="2">
        <f>Waterfall!BI57</f>
        <v/>
      </c>
      <c r="K57" s="2">
        <f>G57+H57</f>
        <v/>
      </c>
      <c r="L57" s="2">
        <f>Waterfall!AO57</f>
        <v/>
      </c>
      <c r="M57" s="2">
        <f>Waterfall!BT57</f>
        <v/>
      </c>
      <c r="N57" s="2">
        <f>Waterfall!BE57</f>
        <v/>
      </c>
      <c r="O57" s="2">
        <f>Waterfall!BJ57</f>
        <v/>
      </c>
      <c r="P57" s="2">
        <f>L57+M57</f>
        <v/>
      </c>
      <c r="Q57" s="2">
        <f>Waterfall!BP57</f>
        <v/>
      </c>
      <c r="R57" s="2">
        <f>Waterfall!Z57+Waterfall!BN57</f>
        <v/>
      </c>
      <c r="S57" s="2">
        <f>Q57+R57</f>
        <v/>
      </c>
      <c r="T57" s="3">
        <f>Pool!B57</f>
        <v/>
      </c>
    </row>
    <row r="58">
      <c r="A58" s="7" t="n">
        <v>53</v>
      </c>
      <c r="B58" s="2">
        <f>Waterfall!AG58</f>
        <v/>
      </c>
      <c r="C58" s="2">
        <f>Waterfall!BR58</f>
        <v/>
      </c>
      <c r="D58" s="2">
        <f>Waterfall!BG58</f>
        <v/>
      </c>
      <c r="E58" s="2">
        <f>Waterfall!BH58</f>
        <v/>
      </c>
      <c r="F58" s="2">
        <f>B58+C58</f>
        <v/>
      </c>
      <c r="G58" s="2">
        <f>Waterfall!AK58</f>
        <v/>
      </c>
      <c r="H58" s="2">
        <f>Waterfall!BS58</f>
        <v/>
      </c>
      <c r="I58" s="2">
        <f>Waterfall!BF58</f>
        <v/>
      </c>
      <c r="J58" s="2">
        <f>Waterfall!BI58</f>
        <v/>
      </c>
      <c r="K58" s="2">
        <f>G58+H58</f>
        <v/>
      </c>
      <c r="L58" s="2">
        <f>Waterfall!AO58</f>
        <v/>
      </c>
      <c r="M58" s="2">
        <f>Waterfall!BT58</f>
        <v/>
      </c>
      <c r="N58" s="2">
        <f>Waterfall!BE58</f>
        <v/>
      </c>
      <c r="O58" s="2">
        <f>Waterfall!BJ58</f>
        <v/>
      </c>
      <c r="P58" s="2">
        <f>L58+M58</f>
        <v/>
      </c>
      <c r="Q58" s="2">
        <f>Waterfall!BP58</f>
        <v/>
      </c>
      <c r="R58" s="2">
        <f>Waterfall!Z58+Waterfall!BN58</f>
        <v/>
      </c>
      <c r="S58" s="2">
        <f>Q58+R58</f>
        <v/>
      </c>
      <c r="T58" s="3">
        <f>Pool!B58</f>
        <v/>
      </c>
    </row>
    <row r="59">
      <c r="A59" s="7" t="n">
        <v>54</v>
      </c>
      <c r="B59" s="2">
        <f>Waterfall!AG59</f>
        <v/>
      </c>
      <c r="C59" s="2">
        <f>Waterfall!BR59</f>
        <v/>
      </c>
      <c r="D59" s="2">
        <f>Waterfall!BG59</f>
        <v/>
      </c>
      <c r="E59" s="2">
        <f>Waterfall!BH59</f>
        <v/>
      </c>
      <c r="F59" s="2">
        <f>B59+C59</f>
        <v/>
      </c>
      <c r="G59" s="2">
        <f>Waterfall!AK59</f>
        <v/>
      </c>
      <c r="H59" s="2">
        <f>Waterfall!BS59</f>
        <v/>
      </c>
      <c r="I59" s="2">
        <f>Waterfall!BF59</f>
        <v/>
      </c>
      <c r="J59" s="2">
        <f>Waterfall!BI59</f>
        <v/>
      </c>
      <c r="K59" s="2">
        <f>G59+H59</f>
        <v/>
      </c>
      <c r="L59" s="2">
        <f>Waterfall!AO59</f>
        <v/>
      </c>
      <c r="M59" s="2">
        <f>Waterfall!BT59</f>
        <v/>
      </c>
      <c r="N59" s="2">
        <f>Waterfall!BE59</f>
        <v/>
      </c>
      <c r="O59" s="2">
        <f>Waterfall!BJ59</f>
        <v/>
      </c>
      <c r="P59" s="2">
        <f>L59+M59</f>
        <v/>
      </c>
      <c r="Q59" s="2">
        <f>Waterfall!BP59</f>
        <v/>
      </c>
      <c r="R59" s="2">
        <f>Waterfall!Z59+Waterfall!BN59</f>
        <v/>
      </c>
      <c r="S59" s="2">
        <f>Q59+R59</f>
        <v/>
      </c>
      <c r="T59" s="3">
        <f>Pool!B59</f>
        <v/>
      </c>
    </row>
    <row r="60">
      <c r="A60" s="7" t="n">
        <v>55</v>
      </c>
      <c r="B60" s="2">
        <f>Waterfall!AG60</f>
        <v/>
      </c>
      <c r="C60" s="2">
        <f>Waterfall!BR60</f>
        <v/>
      </c>
      <c r="D60" s="2">
        <f>Waterfall!BG60</f>
        <v/>
      </c>
      <c r="E60" s="2">
        <f>Waterfall!BH60</f>
        <v/>
      </c>
      <c r="F60" s="2">
        <f>B60+C60</f>
        <v/>
      </c>
      <c r="G60" s="2">
        <f>Waterfall!AK60</f>
        <v/>
      </c>
      <c r="H60" s="2">
        <f>Waterfall!BS60</f>
        <v/>
      </c>
      <c r="I60" s="2">
        <f>Waterfall!BF60</f>
        <v/>
      </c>
      <c r="J60" s="2">
        <f>Waterfall!BI60</f>
        <v/>
      </c>
      <c r="K60" s="2">
        <f>G60+H60</f>
        <v/>
      </c>
      <c r="L60" s="2">
        <f>Waterfall!AO60</f>
        <v/>
      </c>
      <c r="M60" s="2">
        <f>Waterfall!BT60</f>
        <v/>
      </c>
      <c r="N60" s="2">
        <f>Waterfall!BE60</f>
        <v/>
      </c>
      <c r="O60" s="2">
        <f>Waterfall!BJ60</f>
        <v/>
      </c>
      <c r="P60" s="2">
        <f>L60+M60</f>
        <v/>
      </c>
      <c r="Q60" s="2">
        <f>Waterfall!BP60</f>
        <v/>
      </c>
      <c r="R60" s="2">
        <f>Waterfall!Z60+Waterfall!BN60</f>
        <v/>
      </c>
      <c r="S60" s="2">
        <f>Q60+R60</f>
        <v/>
      </c>
      <c r="T60" s="3">
        <f>Pool!B60</f>
        <v/>
      </c>
    </row>
    <row r="61">
      <c r="A61" s="7" t="n">
        <v>56</v>
      </c>
      <c r="B61" s="2">
        <f>Waterfall!AG61</f>
        <v/>
      </c>
      <c r="C61" s="2">
        <f>Waterfall!BR61</f>
        <v/>
      </c>
      <c r="D61" s="2">
        <f>Waterfall!BG61</f>
        <v/>
      </c>
      <c r="E61" s="2">
        <f>Waterfall!BH61</f>
        <v/>
      </c>
      <c r="F61" s="2">
        <f>B61+C61</f>
        <v/>
      </c>
      <c r="G61" s="2">
        <f>Waterfall!AK61</f>
        <v/>
      </c>
      <c r="H61" s="2">
        <f>Waterfall!BS61</f>
        <v/>
      </c>
      <c r="I61" s="2">
        <f>Waterfall!BF61</f>
        <v/>
      </c>
      <c r="J61" s="2">
        <f>Waterfall!BI61</f>
        <v/>
      </c>
      <c r="K61" s="2">
        <f>G61+H61</f>
        <v/>
      </c>
      <c r="L61" s="2">
        <f>Waterfall!AO61</f>
        <v/>
      </c>
      <c r="M61" s="2">
        <f>Waterfall!BT61</f>
        <v/>
      </c>
      <c r="N61" s="2">
        <f>Waterfall!BE61</f>
        <v/>
      </c>
      <c r="O61" s="2">
        <f>Waterfall!BJ61</f>
        <v/>
      </c>
      <c r="P61" s="2">
        <f>L61+M61</f>
        <v/>
      </c>
      <c r="Q61" s="2">
        <f>Waterfall!BP61</f>
        <v/>
      </c>
      <c r="R61" s="2">
        <f>Waterfall!Z61+Waterfall!BN61</f>
        <v/>
      </c>
      <c r="S61" s="2">
        <f>Q61+R61</f>
        <v/>
      </c>
      <c r="T61" s="3">
        <f>Pool!B61</f>
        <v/>
      </c>
    </row>
    <row r="62">
      <c r="A62" s="7" t="n">
        <v>57</v>
      </c>
      <c r="B62" s="2">
        <f>Waterfall!AG62</f>
        <v/>
      </c>
      <c r="C62" s="2">
        <f>Waterfall!BR62</f>
        <v/>
      </c>
      <c r="D62" s="2">
        <f>Waterfall!BG62</f>
        <v/>
      </c>
      <c r="E62" s="2">
        <f>Waterfall!BH62</f>
        <v/>
      </c>
      <c r="F62" s="2">
        <f>B62+C62</f>
        <v/>
      </c>
      <c r="G62" s="2">
        <f>Waterfall!AK62</f>
        <v/>
      </c>
      <c r="H62" s="2">
        <f>Waterfall!BS62</f>
        <v/>
      </c>
      <c r="I62" s="2">
        <f>Waterfall!BF62</f>
        <v/>
      </c>
      <c r="J62" s="2">
        <f>Waterfall!BI62</f>
        <v/>
      </c>
      <c r="K62" s="2">
        <f>G62+H62</f>
        <v/>
      </c>
      <c r="L62" s="2">
        <f>Waterfall!AO62</f>
        <v/>
      </c>
      <c r="M62" s="2">
        <f>Waterfall!BT62</f>
        <v/>
      </c>
      <c r="N62" s="2">
        <f>Waterfall!BE62</f>
        <v/>
      </c>
      <c r="O62" s="2">
        <f>Waterfall!BJ62</f>
        <v/>
      </c>
      <c r="P62" s="2">
        <f>L62+M62</f>
        <v/>
      </c>
      <c r="Q62" s="2">
        <f>Waterfall!BP62</f>
        <v/>
      </c>
      <c r="R62" s="2">
        <f>Waterfall!Z62+Waterfall!BN62</f>
        <v/>
      </c>
      <c r="S62" s="2">
        <f>Q62+R62</f>
        <v/>
      </c>
      <c r="T62" s="3">
        <f>Pool!B62</f>
        <v/>
      </c>
    </row>
    <row r="63">
      <c r="A63" s="7" t="n">
        <v>58</v>
      </c>
      <c r="B63" s="2">
        <f>Waterfall!AG63</f>
        <v/>
      </c>
      <c r="C63" s="2">
        <f>Waterfall!BR63</f>
        <v/>
      </c>
      <c r="D63" s="2">
        <f>Waterfall!BG63</f>
        <v/>
      </c>
      <c r="E63" s="2">
        <f>Waterfall!BH63</f>
        <v/>
      </c>
      <c r="F63" s="2">
        <f>B63+C63</f>
        <v/>
      </c>
      <c r="G63" s="2">
        <f>Waterfall!AK63</f>
        <v/>
      </c>
      <c r="H63" s="2">
        <f>Waterfall!BS63</f>
        <v/>
      </c>
      <c r="I63" s="2">
        <f>Waterfall!BF63</f>
        <v/>
      </c>
      <c r="J63" s="2">
        <f>Waterfall!BI63</f>
        <v/>
      </c>
      <c r="K63" s="2">
        <f>G63+H63</f>
        <v/>
      </c>
      <c r="L63" s="2">
        <f>Waterfall!AO63</f>
        <v/>
      </c>
      <c r="M63" s="2">
        <f>Waterfall!BT63</f>
        <v/>
      </c>
      <c r="N63" s="2">
        <f>Waterfall!BE63</f>
        <v/>
      </c>
      <c r="O63" s="2">
        <f>Waterfall!BJ63</f>
        <v/>
      </c>
      <c r="P63" s="2">
        <f>L63+M63</f>
        <v/>
      </c>
      <c r="Q63" s="2">
        <f>Waterfall!BP63</f>
        <v/>
      </c>
      <c r="R63" s="2">
        <f>Waterfall!Z63+Waterfall!BN63</f>
        <v/>
      </c>
      <c r="S63" s="2">
        <f>Q63+R63</f>
        <v/>
      </c>
      <c r="T63" s="3">
        <f>Pool!B63</f>
        <v/>
      </c>
    </row>
    <row r="64">
      <c r="A64" s="7" t="n">
        <v>59</v>
      </c>
      <c r="B64" s="2">
        <f>Waterfall!AG64</f>
        <v/>
      </c>
      <c r="C64" s="2">
        <f>Waterfall!BR64</f>
        <v/>
      </c>
      <c r="D64" s="2">
        <f>Waterfall!BG64</f>
        <v/>
      </c>
      <c r="E64" s="2">
        <f>Waterfall!BH64</f>
        <v/>
      </c>
      <c r="F64" s="2">
        <f>B64+C64</f>
        <v/>
      </c>
      <c r="G64" s="2">
        <f>Waterfall!AK64</f>
        <v/>
      </c>
      <c r="H64" s="2">
        <f>Waterfall!BS64</f>
        <v/>
      </c>
      <c r="I64" s="2">
        <f>Waterfall!BF64</f>
        <v/>
      </c>
      <c r="J64" s="2">
        <f>Waterfall!BI64</f>
        <v/>
      </c>
      <c r="K64" s="2">
        <f>G64+H64</f>
        <v/>
      </c>
      <c r="L64" s="2">
        <f>Waterfall!AO64</f>
        <v/>
      </c>
      <c r="M64" s="2">
        <f>Waterfall!BT64</f>
        <v/>
      </c>
      <c r="N64" s="2">
        <f>Waterfall!BE64</f>
        <v/>
      </c>
      <c r="O64" s="2">
        <f>Waterfall!BJ64</f>
        <v/>
      </c>
      <c r="P64" s="2">
        <f>L64+M64</f>
        <v/>
      </c>
      <c r="Q64" s="2">
        <f>Waterfall!BP64</f>
        <v/>
      </c>
      <c r="R64" s="2">
        <f>Waterfall!Z64+Waterfall!BN64</f>
        <v/>
      </c>
      <c r="S64" s="2">
        <f>Q64+R64</f>
        <v/>
      </c>
      <c r="T64" s="3">
        <f>Pool!B64</f>
        <v/>
      </c>
    </row>
    <row r="65">
      <c r="A65" s="7" t="n">
        <v>60</v>
      </c>
      <c r="B65" s="2">
        <f>Waterfall!AG65</f>
        <v/>
      </c>
      <c r="C65" s="2">
        <f>Waterfall!BR65</f>
        <v/>
      </c>
      <c r="D65" s="2">
        <f>Waterfall!BG65</f>
        <v/>
      </c>
      <c r="E65" s="2">
        <f>Waterfall!BH65</f>
        <v/>
      </c>
      <c r="F65" s="2">
        <f>B65+C65</f>
        <v/>
      </c>
      <c r="G65" s="2">
        <f>Waterfall!AK65</f>
        <v/>
      </c>
      <c r="H65" s="2">
        <f>Waterfall!BS65</f>
        <v/>
      </c>
      <c r="I65" s="2">
        <f>Waterfall!BF65</f>
        <v/>
      </c>
      <c r="J65" s="2">
        <f>Waterfall!BI65</f>
        <v/>
      </c>
      <c r="K65" s="2">
        <f>G65+H65</f>
        <v/>
      </c>
      <c r="L65" s="2">
        <f>Waterfall!AO65</f>
        <v/>
      </c>
      <c r="M65" s="2">
        <f>Waterfall!BT65</f>
        <v/>
      </c>
      <c r="N65" s="2">
        <f>Waterfall!BE65</f>
        <v/>
      </c>
      <c r="O65" s="2">
        <f>Waterfall!BJ65</f>
        <v/>
      </c>
      <c r="P65" s="2">
        <f>L65+M65</f>
        <v/>
      </c>
      <c r="Q65" s="2">
        <f>Waterfall!BP65</f>
        <v/>
      </c>
      <c r="R65" s="2">
        <f>Waterfall!Z65+Waterfall!BN65</f>
        <v/>
      </c>
      <c r="S65" s="2">
        <f>Q65+R65</f>
        <v/>
      </c>
      <c r="T65" s="3">
        <f>Pool!B65</f>
        <v/>
      </c>
    </row>
    <row r="66">
      <c r="A66" s="7" t="n">
        <v>61</v>
      </c>
      <c r="B66" s="2">
        <f>Waterfall!AG66</f>
        <v/>
      </c>
      <c r="C66" s="2">
        <f>Waterfall!BR66</f>
        <v/>
      </c>
      <c r="D66" s="2">
        <f>Waterfall!BG66</f>
        <v/>
      </c>
      <c r="E66" s="2">
        <f>Waterfall!BH66</f>
        <v/>
      </c>
      <c r="F66" s="2">
        <f>B66+C66</f>
        <v/>
      </c>
      <c r="G66" s="2">
        <f>Waterfall!AK66</f>
        <v/>
      </c>
      <c r="H66" s="2">
        <f>Waterfall!BS66</f>
        <v/>
      </c>
      <c r="I66" s="2">
        <f>Waterfall!BF66</f>
        <v/>
      </c>
      <c r="J66" s="2">
        <f>Waterfall!BI66</f>
        <v/>
      </c>
      <c r="K66" s="2">
        <f>G66+H66</f>
        <v/>
      </c>
      <c r="L66" s="2">
        <f>Waterfall!AO66</f>
        <v/>
      </c>
      <c r="M66" s="2">
        <f>Waterfall!BT66</f>
        <v/>
      </c>
      <c r="N66" s="2">
        <f>Waterfall!BE66</f>
        <v/>
      </c>
      <c r="O66" s="2">
        <f>Waterfall!BJ66</f>
        <v/>
      </c>
      <c r="P66" s="2">
        <f>L66+M66</f>
        <v/>
      </c>
      <c r="Q66" s="2">
        <f>Waterfall!BP66</f>
        <v/>
      </c>
      <c r="R66" s="2">
        <f>Waterfall!Z66+Waterfall!BN66</f>
        <v/>
      </c>
      <c r="S66" s="2">
        <f>Q66+R66</f>
        <v/>
      </c>
      <c r="T66" s="3">
        <f>Pool!B66</f>
        <v/>
      </c>
    </row>
    <row r="67">
      <c r="A67" s="7" t="n">
        <v>62</v>
      </c>
      <c r="B67" s="2">
        <f>Waterfall!AG67</f>
        <v/>
      </c>
      <c r="C67" s="2">
        <f>Waterfall!BR67</f>
        <v/>
      </c>
      <c r="D67" s="2">
        <f>Waterfall!BG67</f>
        <v/>
      </c>
      <c r="E67" s="2">
        <f>Waterfall!BH67</f>
        <v/>
      </c>
      <c r="F67" s="2">
        <f>B67+C67</f>
        <v/>
      </c>
      <c r="G67" s="2">
        <f>Waterfall!AK67</f>
        <v/>
      </c>
      <c r="H67" s="2">
        <f>Waterfall!BS67</f>
        <v/>
      </c>
      <c r="I67" s="2">
        <f>Waterfall!BF67</f>
        <v/>
      </c>
      <c r="J67" s="2">
        <f>Waterfall!BI67</f>
        <v/>
      </c>
      <c r="K67" s="2">
        <f>G67+H67</f>
        <v/>
      </c>
      <c r="L67" s="2">
        <f>Waterfall!AO67</f>
        <v/>
      </c>
      <c r="M67" s="2">
        <f>Waterfall!BT67</f>
        <v/>
      </c>
      <c r="N67" s="2">
        <f>Waterfall!BE67</f>
        <v/>
      </c>
      <c r="O67" s="2">
        <f>Waterfall!BJ67</f>
        <v/>
      </c>
      <c r="P67" s="2">
        <f>L67+M67</f>
        <v/>
      </c>
      <c r="Q67" s="2">
        <f>Waterfall!BP67</f>
        <v/>
      </c>
      <c r="R67" s="2">
        <f>Waterfall!Z67+Waterfall!BN67</f>
        <v/>
      </c>
      <c r="S67" s="2">
        <f>Q67+R67</f>
        <v/>
      </c>
      <c r="T67" s="3">
        <f>Pool!B67</f>
        <v/>
      </c>
    </row>
    <row r="68">
      <c r="A68" s="7" t="n">
        <v>63</v>
      </c>
      <c r="B68" s="2">
        <f>Waterfall!AG68</f>
        <v/>
      </c>
      <c r="C68" s="2">
        <f>Waterfall!BR68</f>
        <v/>
      </c>
      <c r="D68" s="2">
        <f>Waterfall!BG68</f>
        <v/>
      </c>
      <c r="E68" s="2">
        <f>Waterfall!BH68</f>
        <v/>
      </c>
      <c r="F68" s="2">
        <f>B68+C68</f>
        <v/>
      </c>
      <c r="G68" s="2">
        <f>Waterfall!AK68</f>
        <v/>
      </c>
      <c r="H68" s="2">
        <f>Waterfall!BS68</f>
        <v/>
      </c>
      <c r="I68" s="2">
        <f>Waterfall!BF68</f>
        <v/>
      </c>
      <c r="J68" s="2">
        <f>Waterfall!BI68</f>
        <v/>
      </c>
      <c r="K68" s="2">
        <f>G68+H68</f>
        <v/>
      </c>
      <c r="L68" s="2">
        <f>Waterfall!AO68</f>
        <v/>
      </c>
      <c r="M68" s="2">
        <f>Waterfall!BT68</f>
        <v/>
      </c>
      <c r="N68" s="2">
        <f>Waterfall!BE68</f>
        <v/>
      </c>
      <c r="O68" s="2">
        <f>Waterfall!BJ68</f>
        <v/>
      </c>
      <c r="P68" s="2">
        <f>L68+M68</f>
        <v/>
      </c>
      <c r="Q68" s="2">
        <f>Waterfall!BP68</f>
        <v/>
      </c>
      <c r="R68" s="2">
        <f>Waterfall!Z68+Waterfall!BN68</f>
        <v/>
      </c>
      <c r="S68" s="2">
        <f>Q68+R68</f>
        <v/>
      </c>
      <c r="T68" s="3">
        <f>Pool!B68</f>
        <v/>
      </c>
    </row>
    <row r="69">
      <c r="A69" s="7" t="n">
        <v>64</v>
      </c>
      <c r="B69" s="2">
        <f>Waterfall!AG69</f>
        <v/>
      </c>
      <c r="C69" s="2">
        <f>Waterfall!BR69</f>
        <v/>
      </c>
      <c r="D69" s="2">
        <f>Waterfall!BG69</f>
        <v/>
      </c>
      <c r="E69" s="2">
        <f>Waterfall!BH69</f>
        <v/>
      </c>
      <c r="F69" s="2">
        <f>B69+C69</f>
        <v/>
      </c>
      <c r="G69" s="2">
        <f>Waterfall!AK69</f>
        <v/>
      </c>
      <c r="H69" s="2">
        <f>Waterfall!BS69</f>
        <v/>
      </c>
      <c r="I69" s="2">
        <f>Waterfall!BF69</f>
        <v/>
      </c>
      <c r="J69" s="2">
        <f>Waterfall!BI69</f>
        <v/>
      </c>
      <c r="K69" s="2">
        <f>G69+H69</f>
        <v/>
      </c>
      <c r="L69" s="2">
        <f>Waterfall!AO69</f>
        <v/>
      </c>
      <c r="M69" s="2">
        <f>Waterfall!BT69</f>
        <v/>
      </c>
      <c r="N69" s="2">
        <f>Waterfall!BE69</f>
        <v/>
      </c>
      <c r="O69" s="2">
        <f>Waterfall!BJ69</f>
        <v/>
      </c>
      <c r="P69" s="2">
        <f>L69+M69</f>
        <v/>
      </c>
      <c r="Q69" s="2">
        <f>Waterfall!BP69</f>
        <v/>
      </c>
      <c r="R69" s="2">
        <f>Waterfall!Z69+Waterfall!BN69</f>
        <v/>
      </c>
      <c r="S69" s="2">
        <f>Q69+R69</f>
        <v/>
      </c>
      <c r="T69" s="3">
        <f>Pool!B69</f>
        <v/>
      </c>
    </row>
    <row r="70">
      <c r="A70" s="7" t="n">
        <v>65</v>
      </c>
      <c r="B70" s="2">
        <f>Waterfall!AG70</f>
        <v/>
      </c>
      <c r="C70" s="2">
        <f>Waterfall!BR70</f>
        <v/>
      </c>
      <c r="D70" s="2">
        <f>Waterfall!BG70</f>
        <v/>
      </c>
      <c r="E70" s="2">
        <f>Waterfall!BH70</f>
        <v/>
      </c>
      <c r="F70" s="2">
        <f>B70+C70</f>
        <v/>
      </c>
      <c r="G70" s="2">
        <f>Waterfall!AK70</f>
        <v/>
      </c>
      <c r="H70" s="2">
        <f>Waterfall!BS70</f>
        <v/>
      </c>
      <c r="I70" s="2">
        <f>Waterfall!BF70</f>
        <v/>
      </c>
      <c r="J70" s="2">
        <f>Waterfall!BI70</f>
        <v/>
      </c>
      <c r="K70" s="2">
        <f>G70+H70</f>
        <v/>
      </c>
      <c r="L70" s="2">
        <f>Waterfall!AO70</f>
        <v/>
      </c>
      <c r="M70" s="2">
        <f>Waterfall!BT70</f>
        <v/>
      </c>
      <c r="N70" s="2">
        <f>Waterfall!BE70</f>
        <v/>
      </c>
      <c r="O70" s="2">
        <f>Waterfall!BJ70</f>
        <v/>
      </c>
      <c r="P70" s="2">
        <f>L70+M70</f>
        <v/>
      </c>
      <c r="Q70" s="2">
        <f>Waterfall!BP70</f>
        <v/>
      </c>
      <c r="R70" s="2">
        <f>Waterfall!Z70+Waterfall!BN70</f>
        <v/>
      </c>
      <c r="S70" s="2">
        <f>Q70+R70</f>
        <v/>
      </c>
      <c r="T70" s="3">
        <f>Pool!B70</f>
        <v/>
      </c>
    </row>
    <row r="71">
      <c r="A71" s="7" t="n">
        <v>66</v>
      </c>
      <c r="B71" s="2">
        <f>Waterfall!AG71</f>
        <v/>
      </c>
      <c r="C71" s="2">
        <f>Waterfall!BR71</f>
        <v/>
      </c>
      <c r="D71" s="2">
        <f>Waterfall!BG71</f>
        <v/>
      </c>
      <c r="E71" s="2">
        <f>Waterfall!BH71</f>
        <v/>
      </c>
      <c r="F71" s="2">
        <f>B71+C71</f>
        <v/>
      </c>
      <c r="G71" s="2">
        <f>Waterfall!AK71</f>
        <v/>
      </c>
      <c r="H71" s="2">
        <f>Waterfall!BS71</f>
        <v/>
      </c>
      <c r="I71" s="2">
        <f>Waterfall!BF71</f>
        <v/>
      </c>
      <c r="J71" s="2">
        <f>Waterfall!BI71</f>
        <v/>
      </c>
      <c r="K71" s="2">
        <f>G71+H71</f>
        <v/>
      </c>
      <c r="L71" s="2">
        <f>Waterfall!AO71</f>
        <v/>
      </c>
      <c r="M71" s="2">
        <f>Waterfall!BT71</f>
        <v/>
      </c>
      <c r="N71" s="2">
        <f>Waterfall!BE71</f>
        <v/>
      </c>
      <c r="O71" s="2">
        <f>Waterfall!BJ71</f>
        <v/>
      </c>
      <c r="P71" s="2">
        <f>L71+M71</f>
        <v/>
      </c>
      <c r="Q71" s="2">
        <f>Waterfall!BP71</f>
        <v/>
      </c>
      <c r="R71" s="2">
        <f>Waterfall!Z71+Waterfall!BN71</f>
        <v/>
      </c>
      <c r="S71" s="2">
        <f>Q71+R71</f>
        <v/>
      </c>
      <c r="T71" s="3">
        <f>Pool!B71</f>
        <v/>
      </c>
    </row>
    <row r="72">
      <c r="A72" s="7" t="n">
        <v>67</v>
      </c>
      <c r="B72" s="2">
        <f>Waterfall!AG72</f>
        <v/>
      </c>
      <c r="C72" s="2">
        <f>Waterfall!BR72</f>
        <v/>
      </c>
      <c r="D72" s="2">
        <f>Waterfall!BG72</f>
        <v/>
      </c>
      <c r="E72" s="2">
        <f>Waterfall!BH72</f>
        <v/>
      </c>
      <c r="F72" s="2">
        <f>B72+C72</f>
        <v/>
      </c>
      <c r="G72" s="2">
        <f>Waterfall!AK72</f>
        <v/>
      </c>
      <c r="H72" s="2">
        <f>Waterfall!BS72</f>
        <v/>
      </c>
      <c r="I72" s="2">
        <f>Waterfall!BF72</f>
        <v/>
      </c>
      <c r="J72" s="2">
        <f>Waterfall!BI72</f>
        <v/>
      </c>
      <c r="K72" s="2">
        <f>G72+H72</f>
        <v/>
      </c>
      <c r="L72" s="2">
        <f>Waterfall!AO72</f>
        <v/>
      </c>
      <c r="M72" s="2">
        <f>Waterfall!BT72</f>
        <v/>
      </c>
      <c r="N72" s="2">
        <f>Waterfall!BE72</f>
        <v/>
      </c>
      <c r="O72" s="2">
        <f>Waterfall!BJ72</f>
        <v/>
      </c>
      <c r="P72" s="2">
        <f>L72+M72</f>
        <v/>
      </c>
      <c r="Q72" s="2">
        <f>Waterfall!BP72</f>
        <v/>
      </c>
      <c r="R72" s="2">
        <f>Waterfall!Z72+Waterfall!BN72</f>
        <v/>
      </c>
      <c r="S72" s="2">
        <f>Q72+R72</f>
        <v/>
      </c>
      <c r="T72" s="3">
        <f>Pool!B72</f>
        <v/>
      </c>
    </row>
    <row r="73">
      <c r="A73" s="7" t="n">
        <v>68</v>
      </c>
      <c r="B73" s="2">
        <f>Waterfall!AG73</f>
        <v/>
      </c>
      <c r="C73" s="2">
        <f>Waterfall!BR73</f>
        <v/>
      </c>
      <c r="D73" s="2">
        <f>Waterfall!BG73</f>
        <v/>
      </c>
      <c r="E73" s="2">
        <f>Waterfall!BH73</f>
        <v/>
      </c>
      <c r="F73" s="2">
        <f>B73+C73</f>
        <v/>
      </c>
      <c r="G73" s="2">
        <f>Waterfall!AK73</f>
        <v/>
      </c>
      <c r="H73" s="2">
        <f>Waterfall!BS73</f>
        <v/>
      </c>
      <c r="I73" s="2">
        <f>Waterfall!BF73</f>
        <v/>
      </c>
      <c r="J73" s="2">
        <f>Waterfall!BI73</f>
        <v/>
      </c>
      <c r="K73" s="2">
        <f>G73+H73</f>
        <v/>
      </c>
      <c r="L73" s="2">
        <f>Waterfall!AO73</f>
        <v/>
      </c>
      <c r="M73" s="2">
        <f>Waterfall!BT73</f>
        <v/>
      </c>
      <c r="N73" s="2">
        <f>Waterfall!BE73</f>
        <v/>
      </c>
      <c r="O73" s="2">
        <f>Waterfall!BJ73</f>
        <v/>
      </c>
      <c r="P73" s="2">
        <f>L73+M73</f>
        <v/>
      </c>
      <c r="Q73" s="2">
        <f>Waterfall!BP73</f>
        <v/>
      </c>
      <c r="R73" s="2">
        <f>Waterfall!Z73+Waterfall!BN73</f>
        <v/>
      </c>
      <c r="S73" s="2">
        <f>Q73+R73</f>
        <v/>
      </c>
      <c r="T73" s="3">
        <f>Pool!B73</f>
        <v/>
      </c>
    </row>
    <row r="74">
      <c r="A74" s="7" t="n">
        <v>69</v>
      </c>
      <c r="B74" s="2">
        <f>Waterfall!AG74</f>
        <v/>
      </c>
      <c r="C74" s="2">
        <f>Waterfall!BR74</f>
        <v/>
      </c>
      <c r="D74" s="2">
        <f>Waterfall!BG74</f>
        <v/>
      </c>
      <c r="E74" s="2">
        <f>Waterfall!BH74</f>
        <v/>
      </c>
      <c r="F74" s="2">
        <f>B74+C74</f>
        <v/>
      </c>
      <c r="G74" s="2">
        <f>Waterfall!AK74</f>
        <v/>
      </c>
      <c r="H74" s="2">
        <f>Waterfall!BS74</f>
        <v/>
      </c>
      <c r="I74" s="2">
        <f>Waterfall!BF74</f>
        <v/>
      </c>
      <c r="J74" s="2">
        <f>Waterfall!BI74</f>
        <v/>
      </c>
      <c r="K74" s="2">
        <f>G74+H74</f>
        <v/>
      </c>
      <c r="L74" s="2">
        <f>Waterfall!AO74</f>
        <v/>
      </c>
      <c r="M74" s="2">
        <f>Waterfall!BT74</f>
        <v/>
      </c>
      <c r="N74" s="2">
        <f>Waterfall!BE74</f>
        <v/>
      </c>
      <c r="O74" s="2">
        <f>Waterfall!BJ74</f>
        <v/>
      </c>
      <c r="P74" s="2">
        <f>L74+M74</f>
        <v/>
      </c>
      <c r="Q74" s="2">
        <f>Waterfall!BP74</f>
        <v/>
      </c>
      <c r="R74" s="2">
        <f>Waterfall!Z74+Waterfall!BN74</f>
        <v/>
      </c>
      <c r="S74" s="2">
        <f>Q74+R74</f>
        <v/>
      </c>
      <c r="T74" s="3">
        <f>Pool!B74</f>
        <v/>
      </c>
    </row>
    <row r="75">
      <c r="A75" s="7" t="n">
        <v>70</v>
      </c>
      <c r="B75" s="2">
        <f>Waterfall!AG75</f>
        <v/>
      </c>
      <c r="C75" s="2">
        <f>Waterfall!BR75</f>
        <v/>
      </c>
      <c r="D75" s="2">
        <f>Waterfall!BG75</f>
        <v/>
      </c>
      <c r="E75" s="2">
        <f>Waterfall!BH75</f>
        <v/>
      </c>
      <c r="F75" s="2">
        <f>B75+C75</f>
        <v/>
      </c>
      <c r="G75" s="2">
        <f>Waterfall!AK75</f>
        <v/>
      </c>
      <c r="H75" s="2">
        <f>Waterfall!BS75</f>
        <v/>
      </c>
      <c r="I75" s="2">
        <f>Waterfall!BF75</f>
        <v/>
      </c>
      <c r="J75" s="2">
        <f>Waterfall!BI75</f>
        <v/>
      </c>
      <c r="K75" s="2">
        <f>G75+H75</f>
        <v/>
      </c>
      <c r="L75" s="2">
        <f>Waterfall!AO75</f>
        <v/>
      </c>
      <c r="M75" s="2">
        <f>Waterfall!BT75</f>
        <v/>
      </c>
      <c r="N75" s="2">
        <f>Waterfall!BE75</f>
        <v/>
      </c>
      <c r="O75" s="2">
        <f>Waterfall!BJ75</f>
        <v/>
      </c>
      <c r="P75" s="2">
        <f>L75+M75</f>
        <v/>
      </c>
      <c r="Q75" s="2">
        <f>Waterfall!BP75</f>
        <v/>
      </c>
      <c r="R75" s="2">
        <f>Waterfall!Z75+Waterfall!BN75</f>
        <v/>
      </c>
      <c r="S75" s="2">
        <f>Q75+R75</f>
        <v/>
      </c>
      <c r="T75" s="3">
        <f>Pool!B75</f>
        <v/>
      </c>
    </row>
    <row r="76">
      <c r="A76" s="7" t="n">
        <v>71</v>
      </c>
      <c r="B76" s="2">
        <f>Waterfall!AG76</f>
        <v/>
      </c>
      <c r="C76" s="2">
        <f>Waterfall!BR76</f>
        <v/>
      </c>
      <c r="D76" s="2">
        <f>Waterfall!BG76</f>
        <v/>
      </c>
      <c r="E76" s="2">
        <f>Waterfall!BH76</f>
        <v/>
      </c>
      <c r="F76" s="2">
        <f>B76+C76</f>
        <v/>
      </c>
      <c r="G76" s="2">
        <f>Waterfall!AK76</f>
        <v/>
      </c>
      <c r="H76" s="2">
        <f>Waterfall!BS76</f>
        <v/>
      </c>
      <c r="I76" s="2">
        <f>Waterfall!BF76</f>
        <v/>
      </c>
      <c r="J76" s="2">
        <f>Waterfall!BI76</f>
        <v/>
      </c>
      <c r="K76" s="2">
        <f>G76+H76</f>
        <v/>
      </c>
      <c r="L76" s="2">
        <f>Waterfall!AO76</f>
        <v/>
      </c>
      <c r="M76" s="2">
        <f>Waterfall!BT76</f>
        <v/>
      </c>
      <c r="N76" s="2">
        <f>Waterfall!BE76</f>
        <v/>
      </c>
      <c r="O76" s="2">
        <f>Waterfall!BJ76</f>
        <v/>
      </c>
      <c r="P76" s="2">
        <f>L76+M76</f>
        <v/>
      </c>
      <c r="Q76" s="2">
        <f>Waterfall!BP76</f>
        <v/>
      </c>
      <c r="R76" s="2">
        <f>Waterfall!Z76+Waterfall!BN76</f>
        <v/>
      </c>
      <c r="S76" s="2">
        <f>Q76+R76</f>
        <v/>
      </c>
      <c r="T76" s="3">
        <f>Pool!B76</f>
        <v/>
      </c>
    </row>
    <row r="77">
      <c r="A77" s="7" t="n">
        <v>72</v>
      </c>
      <c r="B77" s="2">
        <f>Waterfall!AG77</f>
        <v/>
      </c>
      <c r="C77" s="2">
        <f>Waterfall!BR77</f>
        <v/>
      </c>
      <c r="D77" s="2">
        <f>Waterfall!BG77</f>
        <v/>
      </c>
      <c r="E77" s="2">
        <f>Waterfall!BH77</f>
        <v/>
      </c>
      <c r="F77" s="2">
        <f>B77+C77</f>
        <v/>
      </c>
      <c r="G77" s="2">
        <f>Waterfall!AK77</f>
        <v/>
      </c>
      <c r="H77" s="2">
        <f>Waterfall!BS77</f>
        <v/>
      </c>
      <c r="I77" s="2">
        <f>Waterfall!BF77</f>
        <v/>
      </c>
      <c r="J77" s="2">
        <f>Waterfall!BI77</f>
        <v/>
      </c>
      <c r="K77" s="2">
        <f>G77+H77</f>
        <v/>
      </c>
      <c r="L77" s="2">
        <f>Waterfall!AO77</f>
        <v/>
      </c>
      <c r="M77" s="2">
        <f>Waterfall!BT77</f>
        <v/>
      </c>
      <c r="N77" s="2">
        <f>Waterfall!BE77</f>
        <v/>
      </c>
      <c r="O77" s="2">
        <f>Waterfall!BJ77</f>
        <v/>
      </c>
      <c r="P77" s="2">
        <f>L77+M77</f>
        <v/>
      </c>
      <c r="Q77" s="2">
        <f>Waterfall!BP77</f>
        <v/>
      </c>
      <c r="R77" s="2">
        <f>Waterfall!Z77+Waterfall!BN77</f>
        <v/>
      </c>
      <c r="S77" s="2">
        <f>Q77+R77</f>
        <v/>
      </c>
      <c r="T77" s="3">
        <f>Pool!B77</f>
        <v/>
      </c>
    </row>
    <row r="78">
      <c r="A78" s="7" t="n">
        <v>73</v>
      </c>
      <c r="B78" s="2">
        <f>Waterfall!AG78</f>
        <v/>
      </c>
      <c r="C78" s="2">
        <f>Waterfall!BR78</f>
        <v/>
      </c>
      <c r="D78" s="2">
        <f>Waterfall!BG78</f>
        <v/>
      </c>
      <c r="E78" s="2">
        <f>Waterfall!BH78</f>
        <v/>
      </c>
      <c r="F78" s="2">
        <f>B78+C78</f>
        <v/>
      </c>
      <c r="G78" s="2">
        <f>Waterfall!AK78</f>
        <v/>
      </c>
      <c r="H78" s="2">
        <f>Waterfall!BS78</f>
        <v/>
      </c>
      <c r="I78" s="2">
        <f>Waterfall!BF78</f>
        <v/>
      </c>
      <c r="J78" s="2">
        <f>Waterfall!BI78</f>
        <v/>
      </c>
      <c r="K78" s="2">
        <f>G78+H78</f>
        <v/>
      </c>
      <c r="L78" s="2">
        <f>Waterfall!AO78</f>
        <v/>
      </c>
      <c r="M78" s="2">
        <f>Waterfall!BT78</f>
        <v/>
      </c>
      <c r="N78" s="2">
        <f>Waterfall!BE78</f>
        <v/>
      </c>
      <c r="O78" s="2">
        <f>Waterfall!BJ78</f>
        <v/>
      </c>
      <c r="P78" s="2">
        <f>L78+M78</f>
        <v/>
      </c>
      <c r="Q78" s="2">
        <f>Waterfall!BP78</f>
        <v/>
      </c>
      <c r="R78" s="2">
        <f>Waterfall!Z78+Waterfall!BN78</f>
        <v/>
      </c>
      <c r="S78" s="2">
        <f>Q78+R78</f>
        <v/>
      </c>
      <c r="T78" s="3">
        <f>Pool!B78</f>
        <v/>
      </c>
    </row>
    <row r="79">
      <c r="A79" s="7" t="n">
        <v>74</v>
      </c>
      <c r="B79" s="2">
        <f>Waterfall!AG79</f>
        <v/>
      </c>
      <c r="C79" s="2">
        <f>Waterfall!BR79</f>
        <v/>
      </c>
      <c r="D79" s="2">
        <f>Waterfall!BG79</f>
        <v/>
      </c>
      <c r="E79" s="2">
        <f>Waterfall!BH79</f>
        <v/>
      </c>
      <c r="F79" s="2">
        <f>B79+C79</f>
        <v/>
      </c>
      <c r="G79" s="2">
        <f>Waterfall!AK79</f>
        <v/>
      </c>
      <c r="H79" s="2">
        <f>Waterfall!BS79</f>
        <v/>
      </c>
      <c r="I79" s="2">
        <f>Waterfall!BF79</f>
        <v/>
      </c>
      <c r="J79" s="2">
        <f>Waterfall!BI79</f>
        <v/>
      </c>
      <c r="K79" s="2">
        <f>G79+H79</f>
        <v/>
      </c>
      <c r="L79" s="2">
        <f>Waterfall!AO79</f>
        <v/>
      </c>
      <c r="M79" s="2">
        <f>Waterfall!BT79</f>
        <v/>
      </c>
      <c r="N79" s="2">
        <f>Waterfall!BE79</f>
        <v/>
      </c>
      <c r="O79" s="2">
        <f>Waterfall!BJ79</f>
        <v/>
      </c>
      <c r="P79" s="2">
        <f>L79+M79</f>
        <v/>
      </c>
      <c r="Q79" s="2">
        <f>Waterfall!BP79</f>
        <v/>
      </c>
      <c r="R79" s="2">
        <f>Waterfall!Z79+Waterfall!BN79</f>
        <v/>
      </c>
      <c r="S79" s="2">
        <f>Q79+R79</f>
        <v/>
      </c>
      <c r="T79" s="3">
        <f>Pool!B79</f>
        <v/>
      </c>
    </row>
    <row r="80">
      <c r="A80" s="7" t="n">
        <v>75</v>
      </c>
      <c r="B80" s="2">
        <f>Waterfall!AG80</f>
        <v/>
      </c>
      <c r="C80" s="2">
        <f>Waterfall!BR80</f>
        <v/>
      </c>
      <c r="D80" s="2">
        <f>Waterfall!BG80</f>
        <v/>
      </c>
      <c r="E80" s="2">
        <f>Waterfall!BH80</f>
        <v/>
      </c>
      <c r="F80" s="2">
        <f>B80+C80</f>
        <v/>
      </c>
      <c r="G80" s="2">
        <f>Waterfall!AK80</f>
        <v/>
      </c>
      <c r="H80" s="2">
        <f>Waterfall!BS80</f>
        <v/>
      </c>
      <c r="I80" s="2">
        <f>Waterfall!BF80</f>
        <v/>
      </c>
      <c r="J80" s="2">
        <f>Waterfall!BI80</f>
        <v/>
      </c>
      <c r="K80" s="2">
        <f>G80+H80</f>
        <v/>
      </c>
      <c r="L80" s="2">
        <f>Waterfall!AO80</f>
        <v/>
      </c>
      <c r="M80" s="2">
        <f>Waterfall!BT80</f>
        <v/>
      </c>
      <c r="N80" s="2">
        <f>Waterfall!BE80</f>
        <v/>
      </c>
      <c r="O80" s="2">
        <f>Waterfall!BJ80</f>
        <v/>
      </c>
      <c r="P80" s="2">
        <f>L80+M80</f>
        <v/>
      </c>
      <c r="Q80" s="2">
        <f>Waterfall!BP80</f>
        <v/>
      </c>
      <c r="R80" s="2">
        <f>Waterfall!Z80+Waterfall!BN80</f>
        <v/>
      </c>
      <c r="S80" s="2">
        <f>Q80+R80</f>
        <v/>
      </c>
      <c r="T80" s="3">
        <f>Pool!B80</f>
        <v/>
      </c>
    </row>
    <row r="81">
      <c r="A81" s="7" t="n">
        <v>76</v>
      </c>
      <c r="B81" s="2">
        <f>Waterfall!AG81</f>
        <v/>
      </c>
      <c r="C81" s="2">
        <f>Waterfall!BR81</f>
        <v/>
      </c>
      <c r="D81" s="2">
        <f>Waterfall!BG81</f>
        <v/>
      </c>
      <c r="E81" s="2">
        <f>Waterfall!BH81</f>
        <v/>
      </c>
      <c r="F81" s="2">
        <f>B81+C81</f>
        <v/>
      </c>
      <c r="G81" s="2">
        <f>Waterfall!AK81</f>
        <v/>
      </c>
      <c r="H81" s="2">
        <f>Waterfall!BS81</f>
        <v/>
      </c>
      <c r="I81" s="2">
        <f>Waterfall!BF81</f>
        <v/>
      </c>
      <c r="J81" s="2">
        <f>Waterfall!BI81</f>
        <v/>
      </c>
      <c r="K81" s="2">
        <f>G81+H81</f>
        <v/>
      </c>
      <c r="L81" s="2">
        <f>Waterfall!AO81</f>
        <v/>
      </c>
      <c r="M81" s="2">
        <f>Waterfall!BT81</f>
        <v/>
      </c>
      <c r="N81" s="2">
        <f>Waterfall!BE81</f>
        <v/>
      </c>
      <c r="O81" s="2">
        <f>Waterfall!BJ81</f>
        <v/>
      </c>
      <c r="P81" s="2">
        <f>L81+M81</f>
        <v/>
      </c>
      <c r="Q81" s="2">
        <f>Waterfall!BP81</f>
        <v/>
      </c>
      <c r="R81" s="2">
        <f>Waterfall!Z81+Waterfall!BN81</f>
        <v/>
      </c>
      <c r="S81" s="2">
        <f>Q81+R81</f>
        <v/>
      </c>
      <c r="T81" s="3">
        <f>Pool!B81</f>
        <v/>
      </c>
    </row>
    <row r="82">
      <c r="A82" s="7" t="n">
        <v>77</v>
      </c>
      <c r="B82" s="2">
        <f>Waterfall!AG82</f>
        <v/>
      </c>
      <c r="C82" s="2">
        <f>Waterfall!BR82</f>
        <v/>
      </c>
      <c r="D82" s="2">
        <f>Waterfall!BG82</f>
        <v/>
      </c>
      <c r="E82" s="2">
        <f>Waterfall!BH82</f>
        <v/>
      </c>
      <c r="F82" s="2">
        <f>B82+C82</f>
        <v/>
      </c>
      <c r="G82" s="2">
        <f>Waterfall!AK82</f>
        <v/>
      </c>
      <c r="H82" s="2">
        <f>Waterfall!BS82</f>
        <v/>
      </c>
      <c r="I82" s="2">
        <f>Waterfall!BF82</f>
        <v/>
      </c>
      <c r="J82" s="2">
        <f>Waterfall!BI82</f>
        <v/>
      </c>
      <c r="K82" s="2">
        <f>G82+H82</f>
        <v/>
      </c>
      <c r="L82" s="2">
        <f>Waterfall!AO82</f>
        <v/>
      </c>
      <c r="M82" s="2">
        <f>Waterfall!BT82</f>
        <v/>
      </c>
      <c r="N82" s="2">
        <f>Waterfall!BE82</f>
        <v/>
      </c>
      <c r="O82" s="2">
        <f>Waterfall!BJ82</f>
        <v/>
      </c>
      <c r="P82" s="2">
        <f>L82+M82</f>
        <v/>
      </c>
      <c r="Q82" s="2">
        <f>Waterfall!BP82</f>
        <v/>
      </c>
      <c r="R82" s="2">
        <f>Waterfall!Z82+Waterfall!BN82</f>
        <v/>
      </c>
      <c r="S82" s="2">
        <f>Q82+R82</f>
        <v/>
      </c>
      <c r="T82" s="3">
        <f>Pool!B82</f>
        <v/>
      </c>
    </row>
    <row r="83">
      <c r="A83" s="7" t="n">
        <v>78</v>
      </c>
      <c r="B83" s="2">
        <f>Waterfall!AG83</f>
        <v/>
      </c>
      <c r="C83" s="2">
        <f>Waterfall!BR83</f>
        <v/>
      </c>
      <c r="D83" s="2">
        <f>Waterfall!BG83</f>
        <v/>
      </c>
      <c r="E83" s="2">
        <f>Waterfall!BH83</f>
        <v/>
      </c>
      <c r="F83" s="2">
        <f>B83+C83</f>
        <v/>
      </c>
      <c r="G83" s="2">
        <f>Waterfall!AK83</f>
        <v/>
      </c>
      <c r="H83" s="2">
        <f>Waterfall!BS83</f>
        <v/>
      </c>
      <c r="I83" s="2">
        <f>Waterfall!BF83</f>
        <v/>
      </c>
      <c r="J83" s="2">
        <f>Waterfall!BI83</f>
        <v/>
      </c>
      <c r="K83" s="2">
        <f>G83+H83</f>
        <v/>
      </c>
      <c r="L83" s="2">
        <f>Waterfall!AO83</f>
        <v/>
      </c>
      <c r="M83" s="2">
        <f>Waterfall!BT83</f>
        <v/>
      </c>
      <c r="N83" s="2">
        <f>Waterfall!BE83</f>
        <v/>
      </c>
      <c r="O83" s="2">
        <f>Waterfall!BJ83</f>
        <v/>
      </c>
      <c r="P83" s="2">
        <f>L83+M83</f>
        <v/>
      </c>
      <c r="Q83" s="2">
        <f>Waterfall!BP83</f>
        <v/>
      </c>
      <c r="R83" s="2">
        <f>Waterfall!Z83+Waterfall!BN83</f>
        <v/>
      </c>
      <c r="S83" s="2">
        <f>Q83+R83</f>
        <v/>
      </c>
      <c r="T83" s="3">
        <f>Pool!B83</f>
        <v/>
      </c>
    </row>
    <row r="84">
      <c r="A84" s="7" t="n">
        <v>79</v>
      </c>
      <c r="B84" s="2">
        <f>Waterfall!AG84</f>
        <v/>
      </c>
      <c r="C84" s="2">
        <f>Waterfall!BR84</f>
        <v/>
      </c>
      <c r="D84" s="2">
        <f>Waterfall!BG84</f>
        <v/>
      </c>
      <c r="E84" s="2">
        <f>Waterfall!BH84</f>
        <v/>
      </c>
      <c r="F84" s="2">
        <f>B84+C84</f>
        <v/>
      </c>
      <c r="G84" s="2">
        <f>Waterfall!AK84</f>
        <v/>
      </c>
      <c r="H84" s="2">
        <f>Waterfall!BS84</f>
        <v/>
      </c>
      <c r="I84" s="2">
        <f>Waterfall!BF84</f>
        <v/>
      </c>
      <c r="J84" s="2">
        <f>Waterfall!BI84</f>
        <v/>
      </c>
      <c r="K84" s="2">
        <f>G84+H84</f>
        <v/>
      </c>
      <c r="L84" s="2">
        <f>Waterfall!AO84</f>
        <v/>
      </c>
      <c r="M84" s="2">
        <f>Waterfall!BT84</f>
        <v/>
      </c>
      <c r="N84" s="2">
        <f>Waterfall!BE84</f>
        <v/>
      </c>
      <c r="O84" s="2">
        <f>Waterfall!BJ84</f>
        <v/>
      </c>
      <c r="P84" s="2">
        <f>L84+M84</f>
        <v/>
      </c>
      <c r="Q84" s="2">
        <f>Waterfall!BP84</f>
        <v/>
      </c>
      <c r="R84" s="2">
        <f>Waterfall!Z84+Waterfall!BN84</f>
        <v/>
      </c>
      <c r="S84" s="2">
        <f>Q84+R84</f>
        <v/>
      </c>
      <c r="T84" s="3">
        <f>Pool!B84</f>
        <v/>
      </c>
    </row>
    <row r="85">
      <c r="A85" s="7" t="n">
        <v>80</v>
      </c>
      <c r="B85" s="2">
        <f>Waterfall!AG85</f>
        <v/>
      </c>
      <c r="C85" s="2">
        <f>Waterfall!BR85</f>
        <v/>
      </c>
      <c r="D85" s="2">
        <f>Waterfall!BG85</f>
        <v/>
      </c>
      <c r="E85" s="2">
        <f>Waterfall!BH85</f>
        <v/>
      </c>
      <c r="F85" s="2">
        <f>B85+C85</f>
        <v/>
      </c>
      <c r="G85" s="2">
        <f>Waterfall!AK85</f>
        <v/>
      </c>
      <c r="H85" s="2">
        <f>Waterfall!BS85</f>
        <v/>
      </c>
      <c r="I85" s="2">
        <f>Waterfall!BF85</f>
        <v/>
      </c>
      <c r="J85" s="2">
        <f>Waterfall!BI85</f>
        <v/>
      </c>
      <c r="K85" s="2">
        <f>G85+H85</f>
        <v/>
      </c>
      <c r="L85" s="2">
        <f>Waterfall!AO85</f>
        <v/>
      </c>
      <c r="M85" s="2">
        <f>Waterfall!BT85</f>
        <v/>
      </c>
      <c r="N85" s="2">
        <f>Waterfall!BE85</f>
        <v/>
      </c>
      <c r="O85" s="2">
        <f>Waterfall!BJ85</f>
        <v/>
      </c>
      <c r="P85" s="2">
        <f>L85+M85</f>
        <v/>
      </c>
      <c r="Q85" s="2">
        <f>Waterfall!BP85</f>
        <v/>
      </c>
      <c r="R85" s="2">
        <f>Waterfall!Z85+Waterfall!BN85</f>
        <v/>
      </c>
      <c r="S85" s="2">
        <f>Q85+R85</f>
        <v/>
      </c>
      <c r="T85" s="3">
        <f>Pool!B85</f>
        <v/>
      </c>
    </row>
    <row r="86">
      <c r="A86" s="7" t="n">
        <v>81</v>
      </c>
      <c r="B86" s="2">
        <f>Waterfall!AG86</f>
        <v/>
      </c>
      <c r="C86" s="2">
        <f>Waterfall!BR86</f>
        <v/>
      </c>
      <c r="D86" s="2">
        <f>Waterfall!BG86</f>
        <v/>
      </c>
      <c r="E86" s="2">
        <f>Waterfall!BH86</f>
        <v/>
      </c>
      <c r="F86" s="2">
        <f>B86+C86</f>
        <v/>
      </c>
      <c r="G86" s="2">
        <f>Waterfall!AK86</f>
        <v/>
      </c>
      <c r="H86" s="2">
        <f>Waterfall!BS86</f>
        <v/>
      </c>
      <c r="I86" s="2">
        <f>Waterfall!BF86</f>
        <v/>
      </c>
      <c r="J86" s="2">
        <f>Waterfall!BI86</f>
        <v/>
      </c>
      <c r="K86" s="2">
        <f>G86+H86</f>
        <v/>
      </c>
      <c r="L86" s="2">
        <f>Waterfall!AO86</f>
        <v/>
      </c>
      <c r="M86" s="2">
        <f>Waterfall!BT86</f>
        <v/>
      </c>
      <c r="N86" s="2">
        <f>Waterfall!BE86</f>
        <v/>
      </c>
      <c r="O86" s="2">
        <f>Waterfall!BJ86</f>
        <v/>
      </c>
      <c r="P86" s="2">
        <f>L86+M86</f>
        <v/>
      </c>
      <c r="Q86" s="2">
        <f>Waterfall!BP86</f>
        <v/>
      </c>
      <c r="R86" s="2">
        <f>Waterfall!Z86+Waterfall!BN86</f>
        <v/>
      </c>
      <c r="S86" s="2">
        <f>Q86+R86</f>
        <v/>
      </c>
      <c r="T86" s="3">
        <f>Pool!B86</f>
        <v/>
      </c>
    </row>
    <row r="87">
      <c r="A87" s="7" t="n">
        <v>82</v>
      </c>
      <c r="B87" s="2">
        <f>Waterfall!AG87</f>
        <v/>
      </c>
      <c r="C87" s="2">
        <f>Waterfall!BR87</f>
        <v/>
      </c>
      <c r="D87" s="2">
        <f>Waterfall!BG87</f>
        <v/>
      </c>
      <c r="E87" s="2">
        <f>Waterfall!BH87</f>
        <v/>
      </c>
      <c r="F87" s="2">
        <f>B87+C87</f>
        <v/>
      </c>
      <c r="G87" s="2">
        <f>Waterfall!AK87</f>
        <v/>
      </c>
      <c r="H87" s="2">
        <f>Waterfall!BS87</f>
        <v/>
      </c>
      <c r="I87" s="2">
        <f>Waterfall!BF87</f>
        <v/>
      </c>
      <c r="J87" s="2">
        <f>Waterfall!BI87</f>
        <v/>
      </c>
      <c r="K87" s="2">
        <f>G87+H87</f>
        <v/>
      </c>
      <c r="L87" s="2">
        <f>Waterfall!AO87</f>
        <v/>
      </c>
      <c r="M87" s="2">
        <f>Waterfall!BT87</f>
        <v/>
      </c>
      <c r="N87" s="2">
        <f>Waterfall!BE87</f>
        <v/>
      </c>
      <c r="O87" s="2">
        <f>Waterfall!BJ87</f>
        <v/>
      </c>
      <c r="P87" s="2">
        <f>L87+M87</f>
        <v/>
      </c>
      <c r="Q87" s="2">
        <f>Waterfall!BP87</f>
        <v/>
      </c>
      <c r="R87" s="2">
        <f>Waterfall!Z87+Waterfall!BN87</f>
        <v/>
      </c>
      <c r="S87" s="2">
        <f>Q87+R87</f>
        <v/>
      </c>
      <c r="T87" s="3">
        <f>Pool!B87</f>
        <v/>
      </c>
    </row>
    <row r="88">
      <c r="A88" s="7" t="n">
        <v>83</v>
      </c>
      <c r="B88" s="2">
        <f>Waterfall!AG88</f>
        <v/>
      </c>
      <c r="C88" s="2">
        <f>Waterfall!BR88</f>
        <v/>
      </c>
      <c r="D88" s="2">
        <f>Waterfall!BG88</f>
        <v/>
      </c>
      <c r="E88" s="2">
        <f>Waterfall!BH88</f>
        <v/>
      </c>
      <c r="F88" s="2">
        <f>B88+C88</f>
        <v/>
      </c>
      <c r="G88" s="2">
        <f>Waterfall!AK88</f>
        <v/>
      </c>
      <c r="H88" s="2">
        <f>Waterfall!BS88</f>
        <v/>
      </c>
      <c r="I88" s="2">
        <f>Waterfall!BF88</f>
        <v/>
      </c>
      <c r="J88" s="2">
        <f>Waterfall!BI88</f>
        <v/>
      </c>
      <c r="K88" s="2">
        <f>G88+H88</f>
        <v/>
      </c>
      <c r="L88" s="2">
        <f>Waterfall!AO88</f>
        <v/>
      </c>
      <c r="M88" s="2">
        <f>Waterfall!BT88</f>
        <v/>
      </c>
      <c r="N88" s="2">
        <f>Waterfall!BE88</f>
        <v/>
      </c>
      <c r="O88" s="2">
        <f>Waterfall!BJ88</f>
        <v/>
      </c>
      <c r="P88" s="2">
        <f>L88+M88</f>
        <v/>
      </c>
      <c r="Q88" s="2">
        <f>Waterfall!BP88</f>
        <v/>
      </c>
      <c r="R88" s="2">
        <f>Waterfall!Z88+Waterfall!BN88</f>
        <v/>
      </c>
      <c r="S88" s="2">
        <f>Q88+R88</f>
        <v/>
      </c>
      <c r="T88" s="3">
        <f>Pool!B88</f>
        <v/>
      </c>
    </row>
    <row r="89">
      <c r="A89" s="7" t="n">
        <v>84</v>
      </c>
      <c r="B89" s="2">
        <f>Waterfall!AG89</f>
        <v/>
      </c>
      <c r="C89" s="2">
        <f>Waterfall!BR89</f>
        <v/>
      </c>
      <c r="D89" s="2">
        <f>Waterfall!BG89</f>
        <v/>
      </c>
      <c r="E89" s="2">
        <f>Waterfall!BH89</f>
        <v/>
      </c>
      <c r="F89" s="2">
        <f>B89+C89</f>
        <v/>
      </c>
      <c r="G89" s="2">
        <f>Waterfall!AK89</f>
        <v/>
      </c>
      <c r="H89" s="2">
        <f>Waterfall!BS89</f>
        <v/>
      </c>
      <c r="I89" s="2">
        <f>Waterfall!BF89</f>
        <v/>
      </c>
      <c r="J89" s="2">
        <f>Waterfall!BI89</f>
        <v/>
      </c>
      <c r="K89" s="2">
        <f>G89+H89</f>
        <v/>
      </c>
      <c r="L89" s="2">
        <f>Waterfall!AO89</f>
        <v/>
      </c>
      <c r="M89" s="2">
        <f>Waterfall!BT89</f>
        <v/>
      </c>
      <c r="N89" s="2">
        <f>Waterfall!BE89</f>
        <v/>
      </c>
      <c r="O89" s="2">
        <f>Waterfall!BJ89</f>
        <v/>
      </c>
      <c r="P89" s="2">
        <f>L89+M89</f>
        <v/>
      </c>
      <c r="Q89" s="2">
        <f>Waterfall!BP89</f>
        <v/>
      </c>
      <c r="R89" s="2">
        <f>Waterfall!Z89+Waterfall!BN89</f>
        <v/>
      </c>
      <c r="S89" s="2">
        <f>Q89+R89</f>
        <v/>
      </c>
      <c r="T89" s="3">
        <f>Pool!B89</f>
        <v/>
      </c>
    </row>
    <row r="90">
      <c r="A90" s="7" t="n">
        <v>85</v>
      </c>
      <c r="B90" s="2">
        <f>Waterfall!AG90</f>
        <v/>
      </c>
      <c r="C90" s="2">
        <f>Waterfall!BR90</f>
        <v/>
      </c>
      <c r="D90" s="2">
        <f>Waterfall!BG90</f>
        <v/>
      </c>
      <c r="E90" s="2">
        <f>Waterfall!BH90</f>
        <v/>
      </c>
      <c r="F90" s="2">
        <f>B90+C90</f>
        <v/>
      </c>
      <c r="G90" s="2">
        <f>Waterfall!AK90</f>
        <v/>
      </c>
      <c r="H90" s="2">
        <f>Waterfall!BS90</f>
        <v/>
      </c>
      <c r="I90" s="2">
        <f>Waterfall!BF90</f>
        <v/>
      </c>
      <c r="J90" s="2">
        <f>Waterfall!BI90</f>
        <v/>
      </c>
      <c r="K90" s="2">
        <f>G90+H90</f>
        <v/>
      </c>
      <c r="L90" s="2">
        <f>Waterfall!AO90</f>
        <v/>
      </c>
      <c r="M90" s="2">
        <f>Waterfall!BT90</f>
        <v/>
      </c>
      <c r="N90" s="2">
        <f>Waterfall!BE90</f>
        <v/>
      </c>
      <c r="O90" s="2">
        <f>Waterfall!BJ90</f>
        <v/>
      </c>
      <c r="P90" s="2">
        <f>L90+M90</f>
        <v/>
      </c>
      <c r="Q90" s="2">
        <f>Waterfall!BP90</f>
        <v/>
      </c>
      <c r="R90" s="2">
        <f>Waterfall!Z90+Waterfall!BN90</f>
        <v/>
      </c>
      <c r="S90" s="2">
        <f>Q90+R90</f>
        <v/>
      </c>
      <c r="T90" s="3">
        <f>Pool!B90</f>
        <v/>
      </c>
    </row>
    <row r="91">
      <c r="A91" s="7" t="n">
        <v>86</v>
      </c>
      <c r="B91" s="2">
        <f>Waterfall!AG91</f>
        <v/>
      </c>
      <c r="C91" s="2">
        <f>Waterfall!BR91</f>
        <v/>
      </c>
      <c r="D91" s="2">
        <f>Waterfall!BG91</f>
        <v/>
      </c>
      <c r="E91" s="2">
        <f>Waterfall!BH91</f>
        <v/>
      </c>
      <c r="F91" s="2">
        <f>B91+C91</f>
        <v/>
      </c>
      <c r="G91" s="2">
        <f>Waterfall!AK91</f>
        <v/>
      </c>
      <c r="H91" s="2">
        <f>Waterfall!BS91</f>
        <v/>
      </c>
      <c r="I91" s="2">
        <f>Waterfall!BF91</f>
        <v/>
      </c>
      <c r="J91" s="2">
        <f>Waterfall!BI91</f>
        <v/>
      </c>
      <c r="K91" s="2">
        <f>G91+H91</f>
        <v/>
      </c>
      <c r="L91" s="2">
        <f>Waterfall!AO91</f>
        <v/>
      </c>
      <c r="M91" s="2">
        <f>Waterfall!BT91</f>
        <v/>
      </c>
      <c r="N91" s="2">
        <f>Waterfall!BE91</f>
        <v/>
      </c>
      <c r="O91" s="2">
        <f>Waterfall!BJ91</f>
        <v/>
      </c>
      <c r="P91" s="2">
        <f>L91+M91</f>
        <v/>
      </c>
      <c r="Q91" s="2">
        <f>Waterfall!BP91</f>
        <v/>
      </c>
      <c r="R91" s="2">
        <f>Waterfall!Z91+Waterfall!BN91</f>
        <v/>
      </c>
      <c r="S91" s="2">
        <f>Q91+R91</f>
        <v/>
      </c>
      <c r="T91" s="3">
        <f>Pool!B91</f>
        <v/>
      </c>
    </row>
    <row r="92">
      <c r="A92" s="7" t="n">
        <v>87</v>
      </c>
      <c r="B92" s="2">
        <f>Waterfall!AG92</f>
        <v/>
      </c>
      <c r="C92" s="2">
        <f>Waterfall!BR92</f>
        <v/>
      </c>
      <c r="D92" s="2">
        <f>Waterfall!BG92</f>
        <v/>
      </c>
      <c r="E92" s="2">
        <f>Waterfall!BH92</f>
        <v/>
      </c>
      <c r="F92" s="2">
        <f>B92+C92</f>
        <v/>
      </c>
      <c r="G92" s="2">
        <f>Waterfall!AK92</f>
        <v/>
      </c>
      <c r="H92" s="2">
        <f>Waterfall!BS92</f>
        <v/>
      </c>
      <c r="I92" s="2">
        <f>Waterfall!BF92</f>
        <v/>
      </c>
      <c r="J92" s="2">
        <f>Waterfall!BI92</f>
        <v/>
      </c>
      <c r="K92" s="2">
        <f>G92+H92</f>
        <v/>
      </c>
      <c r="L92" s="2">
        <f>Waterfall!AO92</f>
        <v/>
      </c>
      <c r="M92" s="2">
        <f>Waterfall!BT92</f>
        <v/>
      </c>
      <c r="N92" s="2">
        <f>Waterfall!BE92</f>
        <v/>
      </c>
      <c r="O92" s="2">
        <f>Waterfall!BJ92</f>
        <v/>
      </c>
      <c r="P92" s="2">
        <f>L92+M92</f>
        <v/>
      </c>
      <c r="Q92" s="2">
        <f>Waterfall!BP92</f>
        <v/>
      </c>
      <c r="R92" s="2">
        <f>Waterfall!Z92+Waterfall!BN92</f>
        <v/>
      </c>
      <c r="S92" s="2">
        <f>Q92+R92</f>
        <v/>
      </c>
      <c r="T92" s="3">
        <f>Pool!B92</f>
        <v/>
      </c>
    </row>
    <row r="93">
      <c r="A93" s="7" t="n">
        <v>88</v>
      </c>
      <c r="B93" s="2">
        <f>Waterfall!AG93</f>
        <v/>
      </c>
      <c r="C93" s="2">
        <f>Waterfall!BR93</f>
        <v/>
      </c>
      <c r="D93" s="2">
        <f>Waterfall!BG93</f>
        <v/>
      </c>
      <c r="E93" s="2">
        <f>Waterfall!BH93</f>
        <v/>
      </c>
      <c r="F93" s="2">
        <f>B93+C93</f>
        <v/>
      </c>
      <c r="G93" s="2">
        <f>Waterfall!AK93</f>
        <v/>
      </c>
      <c r="H93" s="2">
        <f>Waterfall!BS93</f>
        <v/>
      </c>
      <c r="I93" s="2">
        <f>Waterfall!BF93</f>
        <v/>
      </c>
      <c r="J93" s="2">
        <f>Waterfall!BI93</f>
        <v/>
      </c>
      <c r="K93" s="2">
        <f>G93+H93</f>
        <v/>
      </c>
      <c r="L93" s="2">
        <f>Waterfall!AO93</f>
        <v/>
      </c>
      <c r="M93" s="2">
        <f>Waterfall!BT93</f>
        <v/>
      </c>
      <c r="N93" s="2">
        <f>Waterfall!BE93</f>
        <v/>
      </c>
      <c r="O93" s="2">
        <f>Waterfall!BJ93</f>
        <v/>
      </c>
      <c r="P93" s="2">
        <f>L93+M93</f>
        <v/>
      </c>
      <c r="Q93" s="2">
        <f>Waterfall!BP93</f>
        <v/>
      </c>
      <c r="R93" s="2">
        <f>Waterfall!Z93+Waterfall!BN93</f>
        <v/>
      </c>
      <c r="S93" s="2">
        <f>Q93+R93</f>
        <v/>
      </c>
      <c r="T93" s="3">
        <f>Pool!B93</f>
        <v/>
      </c>
    </row>
    <row r="94">
      <c r="A94" s="7" t="n">
        <v>89</v>
      </c>
      <c r="B94" s="2">
        <f>Waterfall!AG94</f>
        <v/>
      </c>
      <c r="C94" s="2">
        <f>Waterfall!BR94</f>
        <v/>
      </c>
      <c r="D94" s="2">
        <f>Waterfall!BG94</f>
        <v/>
      </c>
      <c r="E94" s="2">
        <f>Waterfall!BH94</f>
        <v/>
      </c>
      <c r="F94" s="2">
        <f>B94+C94</f>
        <v/>
      </c>
      <c r="G94" s="2">
        <f>Waterfall!AK94</f>
        <v/>
      </c>
      <c r="H94" s="2">
        <f>Waterfall!BS94</f>
        <v/>
      </c>
      <c r="I94" s="2">
        <f>Waterfall!BF94</f>
        <v/>
      </c>
      <c r="J94" s="2">
        <f>Waterfall!BI94</f>
        <v/>
      </c>
      <c r="K94" s="2">
        <f>G94+H94</f>
        <v/>
      </c>
      <c r="L94" s="2">
        <f>Waterfall!AO94</f>
        <v/>
      </c>
      <c r="M94" s="2">
        <f>Waterfall!BT94</f>
        <v/>
      </c>
      <c r="N94" s="2">
        <f>Waterfall!BE94</f>
        <v/>
      </c>
      <c r="O94" s="2">
        <f>Waterfall!BJ94</f>
        <v/>
      </c>
      <c r="P94" s="2">
        <f>L94+M94</f>
        <v/>
      </c>
      <c r="Q94" s="2">
        <f>Waterfall!BP94</f>
        <v/>
      </c>
      <c r="R94" s="2">
        <f>Waterfall!Z94+Waterfall!BN94</f>
        <v/>
      </c>
      <c r="S94" s="2">
        <f>Q94+R94</f>
        <v/>
      </c>
      <c r="T94" s="3">
        <f>Pool!B94</f>
        <v/>
      </c>
    </row>
    <row r="95">
      <c r="A95" s="7" t="n">
        <v>90</v>
      </c>
      <c r="B95" s="2">
        <f>Waterfall!AG95</f>
        <v/>
      </c>
      <c r="C95" s="2">
        <f>Waterfall!BR95</f>
        <v/>
      </c>
      <c r="D95" s="2">
        <f>Waterfall!BG95</f>
        <v/>
      </c>
      <c r="E95" s="2">
        <f>Waterfall!BH95</f>
        <v/>
      </c>
      <c r="F95" s="2">
        <f>B95+C95</f>
        <v/>
      </c>
      <c r="G95" s="2">
        <f>Waterfall!AK95</f>
        <v/>
      </c>
      <c r="H95" s="2">
        <f>Waterfall!BS95</f>
        <v/>
      </c>
      <c r="I95" s="2">
        <f>Waterfall!BF95</f>
        <v/>
      </c>
      <c r="J95" s="2">
        <f>Waterfall!BI95</f>
        <v/>
      </c>
      <c r="K95" s="2">
        <f>G95+H95</f>
        <v/>
      </c>
      <c r="L95" s="2">
        <f>Waterfall!AO95</f>
        <v/>
      </c>
      <c r="M95" s="2">
        <f>Waterfall!BT95</f>
        <v/>
      </c>
      <c r="N95" s="2">
        <f>Waterfall!BE95</f>
        <v/>
      </c>
      <c r="O95" s="2">
        <f>Waterfall!BJ95</f>
        <v/>
      </c>
      <c r="P95" s="2">
        <f>L95+M95</f>
        <v/>
      </c>
      <c r="Q95" s="2">
        <f>Waterfall!BP95</f>
        <v/>
      </c>
      <c r="R95" s="2">
        <f>Waterfall!Z95+Waterfall!BN95</f>
        <v/>
      </c>
      <c r="S95" s="2">
        <f>Q95+R95</f>
        <v/>
      </c>
      <c r="T95" s="3">
        <f>Pool!B95</f>
        <v/>
      </c>
    </row>
    <row r="96">
      <c r="A96" s="7" t="n">
        <v>91</v>
      </c>
      <c r="B96" s="2">
        <f>Waterfall!AG96</f>
        <v/>
      </c>
      <c r="C96" s="2">
        <f>Waterfall!BR96</f>
        <v/>
      </c>
      <c r="D96" s="2">
        <f>Waterfall!BG96</f>
        <v/>
      </c>
      <c r="E96" s="2">
        <f>Waterfall!BH96</f>
        <v/>
      </c>
      <c r="F96" s="2">
        <f>B96+C96</f>
        <v/>
      </c>
      <c r="G96" s="2">
        <f>Waterfall!AK96</f>
        <v/>
      </c>
      <c r="H96" s="2">
        <f>Waterfall!BS96</f>
        <v/>
      </c>
      <c r="I96" s="2">
        <f>Waterfall!BF96</f>
        <v/>
      </c>
      <c r="J96" s="2">
        <f>Waterfall!BI96</f>
        <v/>
      </c>
      <c r="K96" s="2">
        <f>G96+H96</f>
        <v/>
      </c>
      <c r="L96" s="2">
        <f>Waterfall!AO96</f>
        <v/>
      </c>
      <c r="M96" s="2">
        <f>Waterfall!BT96</f>
        <v/>
      </c>
      <c r="N96" s="2">
        <f>Waterfall!BE96</f>
        <v/>
      </c>
      <c r="O96" s="2">
        <f>Waterfall!BJ96</f>
        <v/>
      </c>
      <c r="P96" s="2">
        <f>L96+M96</f>
        <v/>
      </c>
      <c r="Q96" s="2">
        <f>Waterfall!BP96</f>
        <v/>
      </c>
      <c r="R96" s="2">
        <f>Waterfall!Z96+Waterfall!BN96</f>
        <v/>
      </c>
      <c r="S96" s="2">
        <f>Q96+R96</f>
        <v/>
      </c>
      <c r="T96" s="3">
        <f>Pool!B96</f>
        <v/>
      </c>
    </row>
    <row r="97">
      <c r="A97" s="7" t="n">
        <v>92</v>
      </c>
      <c r="B97" s="2">
        <f>Waterfall!AG97</f>
        <v/>
      </c>
      <c r="C97" s="2">
        <f>Waterfall!BR97</f>
        <v/>
      </c>
      <c r="D97" s="2">
        <f>Waterfall!BG97</f>
        <v/>
      </c>
      <c r="E97" s="2">
        <f>Waterfall!BH97</f>
        <v/>
      </c>
      <c r="F97" s="2">
        <f>B97+C97</f>
        <v/>
      </c>
      <c r="G97" s="2">
        <f>Waterfall!AK97</f>
        <v/>
      </c>
      <c r="H97" s="2">
        <f>Waterfall!BS97</f>
        <v/>
      </c>
      <c r="I97" s="2">
        <f>Waterfall!BF97</f>
        <v/>
      </c>
      <c r="J97" s="2">
        <f>Waterfall!BI97</f>
        <v/>
      </c>
      <c r="K97" s="2">
        <f>G97+H97</f>
        <v/>
      </c>
      <c r="L97" s="2">
        <f>Waterfall!AO97</f>
        <v/>
      </c>
      <c r="M97" s="2">
        <f>Waterfall!BT97</f>
        <v/>
      </c>
      <c r="N97" s="2">
        <f>Waterfall!BE97</f>
        <v/>
      </c>
      <c r="O97" s="2">
        <f>Waterfall!BJ97</f>
        <v/>
      </c>
      <c r="P97" s="2">
        <f>L97+M97</f>
        <v/>
      </c>
      <c r="Q97" s="2">
        <f>Waterfall!BP97</f>
        <v/>
      </c>
      <c r="R97" s="2">
        <f>Waterfall!Z97+Waterfall!BN97</f>
        <v/>
      </c>
      <c r="S97" s="2">
        <f>Q97+R97</f>
        <v/>
      </c>
      <c r="T97" s="3">
        <f>Pool!B97</f>
        <v/>
      </c>
    </row>
    <row r="98">
      <c r="A98" s="7" t="n">
        <v>93</v>
      </c>
      <c r="B98" s="2">
        <f>Waterfall!AG98</f>
        <v/>
      </c>
      <c r="C98" s="2">
        <f>Waterfall!BR98</f>
        <v/>
      </c>
      <c r="D98" s="2">
        <f>Waterfall!BG98</f>
        <v/>
      </c>
      <c r="E98" s="2">
        <f>Waterfall!BH98</f>
        <v/>
      </c>
      <c r="F98" s="2">
        <f>B98+C98</f>
        <v/>
      </c>
      <c r="G98" s="2">
        <f>Waterfall!AK98</f>
        <v/>
      </c>
      <c r="H98" s="2">
        <f>Waterfall!BS98</f>
        <v/>
      </c>
      <c r="I98" s="2">
        <f>Waterfall!BF98</f>
        <v/>
      </c>
      <c r="J98" s="2">
        <f>Waterfall!BI98</f>
        <v/>
      </c>
      <c r="K98" s="2">
        <f>G98+H98</f>
        <v/>
      </c>
      <c r="L98" s="2">
        <f>Waterfall!AO98</f>
        <v/>
      </c>
      <c r="M98" s="2">
        <f>Waterfall!BT98</f>
        <v/>
      </c>
      <c r="N98" s="2">
        <f>Waterfall!BE98</f>
        <v/>
      </c>
      <c r="O98" s="2">
        <f>Waterfall!BJ98</f>
        <v/>
      </c>
      <c r="P98" s="2">
        <f>L98+M98</f>
        <v/>
      </c>
      <c r="Q98" s="2">
        <f>Waterfall!BP98</f>
        <v/>
      </c>
      <c r="R98" s="2">
        <f>Waterfall!Z98+Waterfall!BN98</f>
        <v/>
      </c>
      <c r="S98" s="2">
        <f>Q98+R98</f>
        <v/>
      </c>
      <c r="T98" s="3">
        <f>Pool!B98</f>
        <v/>
      </c>
    </row>
    <row r="99">
      <c r="A99" s="7" t="n">
        <v>94</v>
      </c>
      <c r="B99" s="2">
        <f>Waterfall!AG99</f>
        <v/>
      </c>
      <c r="C99" s="2">
        <f>Waterfall!BR99</f>
        <v/>
      </c>
      <c r="D99" s="2">
        <f>Waterfall!BG99</f>
        <v/>
      </c>
      <c r="E99" s="2">
        <f>Waterfall!BH99</f>
        <v/>
      </c>
      <c r="F99" s="2">
        <f>B99+C99</f>
        <v/>
      </c>
      <c r="G99" s="2">
        <f>Waterfall!AK99</f>
        <v/>
      </c>
      <c r="H99" s="2">
        <f>Waterfall!BS99</f>
        <v/>
      </c>
      <c r="I99" s="2">
        <f>Waterfall!BF99</f>
        <v/>
      </c>
      <c r="J99" s="2">
        <f>Waterfall!BI99</f>
        <v/>
      </c>
      <c r="K99" s="2">
        <f>G99+H99</f>
        <v/>
      </c>
      <c r="L99" s="2">
        <f>Waterfall!AO99</f>
        <v/>
      </c>
      <c r="M99" s="2">
        <f>Waterfall!BT99</f>
        <v/>
      </c>
      <c r="N99" s="2">
        <f>Waterfall!BE99</f>
        <v/>
      </c>
      <c r="O99" s="2">
        <f>Waterfall!BJ99</f>
        <v/>
      </c>
      <c r="P99" s="2">
        <f>L99+M99</f>
        <v/>
      </c>
      <c r="Q99" s="2">
        <f>Waterfall!BP99</f>
        <v/>
      </c>
      <c r="R99" s="2">
        <f>Waterfall!Z99+Waterfall!BN99</f>
        <v/>
      </c>
      <c r="S99" s="2">
        <f>Q99+R99</f>
        <v/>
      </c>
      <c r="T99" s="3">
        <f>Pool!B99</f>
        <v/>
      </c>
    </row>
    <row r="100">
      <c r="A100" s="7" t="n">
        <v>95</v>
      </c>
      <c r="B100" s="2">
        <f>Waterfall!AG100</f>
        <v/>
      </c>
      <c r="C100" s="2">
        <f>Waterfall!BR100</f>
        <v/>
      </c>
      <c r="D100" s="2">
        <f>Waterfall!BG100</f>
        <v/>
      </c>
      <c r="E100" s="2">
        <f>Waterfall!BH100</f>
        <v/>
      </c>
      <c r="F100" s="2">
        <f>B100+C100</f>
        <v/>
      </c>
      <c r="G100" s="2">
        <f>Waterfall!AK100</f>
        <v/>
      </c>
      <c r="H100" s="2">
        <f>Waterfall!BS100</f>
        <v/>
      </c>
      <c r="I100" s="2">
        <f>Waterfall!BF100</f>
        <v/>
      </c>
      <c r="J100" s="2">
        <f>Waterfall!BI100</f>
        <v/>
      </c>
      <c r="K100" s="2">
        <f>G100+H100</f>
        <v/>
      </c>
      <c r="L100" s="2">
        <f>Waterfall!AO100</f>
        <v/>
      </c>
      <c r="M100" s="2">
        <f>Waterfall!BT100</f>
        <v/>
      </c>
      <c r="N100" s="2">
        <f>Waterfall!BE100</f>
        <v/>
      </c>
      <c r="O100" s="2">
        <f>Waterfall!BJ100</f>
        <v/>
      </c>
      <c r="P100" s="2">
        <f>L100+M100</f>
        <v/>
      </c>
      <c r="Q100" s="2">
        <f>Waterfall!BP100</f>
        <v/>
      </c>
      <c r="R100" s="2">
        <f>Waterfall!Z100+Waterfall!BN100</f>
        <v/>
      </c>
      <c r="S100" s="2">
        <f>Q100+R100</f>
        <v/>
      </c>
      <c r="T100" s="3">
        <f>Pool!B100</f>
        <v/>
      </c>
    </row>
    <row r="101">
      <c r="A101" s="7" t="n">
        <v>96</v>
      </c>
      <c r="B101" s="2">
        <f>Waterfall!AG101</f>
        <v/>
      </c>
      <c r="C101" s="2">
        <f>Waterfall!BR101</f>
        <v/>
      </c>
      <c r="D101" s="2">
        <f>Waterfall!BG101</f>
        <v/>
      </c>
      <c r="E101" s="2">
        <f>Waterfall!BH101</f>
        <v/>
      </c>
      <c r="F101" s="2">
        <f>B101+C101</f>
        <v/>
      </c>
      <c r="G101" s="2">
        <f>Waterfall!AK101</f>
        <v/>
      </c>
      <c r="H101" s="2">
        <f>Waterfall!BS101</f>
        <v/>
      </c>
      <c r="I101" s="2">
        <f>Waterfall!BF101</f>
        <v/>
      </c>
      <c r="J101" s="2">
        <f>Waterfall!BI101</f>
        <v/>
      </c>
      <c r="K101" s="2">
        <f>G101+H101</f>
        <v/>
      </c>
      <c r="L101" s="2">
        <f>Waterfall!AO101</f>
        <v/>
      </c>
      <c r="M101" s="2">
        <f>Waterfall!BT101</f>
        <v/>
      </c>
      <c r="N101" s="2">
        <f>Waterfall!BE101</f>
        <v/>
      </c>
      <c r="O101" s="2">
        <f>Waterfall!BJ101</f>
        <v/>
      </c>
      <c r="P101" s="2">
        <f>L101+M101</f>
        <v/>
      </c>
      <c r="Q101" s="2">
        <f>Waterfall!BP101</f>
        <v/>
      </c>
      <c r="R101" s="2">
        <f>Waterfall!Z101+Waterfall!BN101</f>
        <v/>
      </c>
      <c r="S101" s="2">
        <f>Q101+R101</f>
        <v/>
      </c>
      <c r="T101" s="3">
        <f>Pool!B101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Retention_CF</t>
        </is>
      </c>
    </row>
    <row r="2">
      <c r="A2" t="inlineStr">
        <is>
          <t>Retained-position cash flows and financing sweep by retention option.</t>
        </is>
      </c>
    </row>
    <row r="4">
      <c r="A4" s="6" t="inlineStr">
        <is>
          <t>Period</t>
        </is>
      </c>
      <c r="B4" s="6" t="inlineStr">
        <is>
          <t>Forward index</t>
        </is>
      </c>
      <c r="C4" s="6" t="inlineStr">
        <is>
          <t>DF A (fwd + FV margin)</t>
        </is>
      </c>
      <c r="D4" s="6" t="inlineStr">
        <is>
          <t>DF B (fwd + FV margin)</t>
        </is>
      </c>
      <c r="E4" s="6" t="inlineStr">
        <is>
          <t>DF C (fwd + FV margin)</t>
        </is>
      </c>
      <c r="F4" s="6" t="inlineStr">
        <is>
          <t>DF R (fwd + FV margin)</t>
        </is>
      </c>
      <c r="G4" s="6" t="inlineStr">
        <is>
          <t>DF financing (fwd + spread)</t>
        </is>
      </c>
      <c r="H4" s="6" t="inlineStr">
        <is>
          <t>US RR vertical 246.4(a)(1) retained cash flow</t>
        </is>
      </c>
      <c r="I4" s="6" t="inlineStr">
        <is>
          <t>rrv loan balance</t>
        </is>
      </c>
      <c r="J4" s="6" t="inlineStr">
        <is>
          <t>rrv loan interest</t>
        </is>
      </c>
      <c r="K4" s="6" t="inlineStr">
        <is>
          <t>rrv loan payment (sweep)</t>
        </is>
      </c>
      <c r="L4" s="6" t="inlineStr">
        <is>
          <t>rrv sponsor cash flow after loan</t>
        </is>
      </c>
      <c r="M4" s="6" t="inlineStr">
        <is>
          <t>US RR horizontal 246.4(a)(2) retained cash flow</t>
        </is>
      </c>
      <c r="N4" s="6" t="inlineStr">
        <is>
          <t>rrh loan balance</t>
        </is>
      </c>
      <c r="O4" s="6" t="inlineStr">
        <is>
          <t>rrh loan interest</t>
        </is>
      </c>
      <c r="P4" s="6" t="inlineStr">
        <is>
          <t>rrh loan payment (sweep)</t>
        </is>
      </c>
      <c r="Q4" s="6" t="inlineStr">
        <is>
          <t>rrh sponsor cash flow after loan</t>
        </is>
      </c>
      <c r="R4" s="6" t="inlineStr">
        <is>
          <t>US RR L-shaped 246.4(a)(3) retained cash flow</t>
        </is>
      </c>
      <c r="S4" s="6" t="inlineStr">
        <is>
          <t>rrl loan balance</t>
        </is>
      </c>
      <c r="T4" s="6" t="inlineStr">
        <is>
          <t>rrl loan interest</t>
        </is>
      </c>
      <c r="U4" s="6" t="inlineStr">
        <is>
          <t>rrl loan payment (sweep)</t>
        </is>
      </c>
      <c r="V4" s="6" t="inlineStr">
        <is>
          <t>rrl sponsor cash flow after loan</t>
        </is>
      </c>
      <c r="W4" s="6" t="inlineStr">
        <is>
          <t>EU Art 6(3)(a) vertical retained cash flow</t>
        </is>
      </c>
      <c r="X4" s="6" t="inlineStr">
        <is>
          <t>euv loan balance</t>
        </is>
      </c>
      <c r="Y4" s="6" t="inlineStr">
        <is>
          <t>euv loan interest</t>
        </is>
      </c>
      <c r="Z4" s="6" t="inlineStr">
        <is>
          <t>euv loan payment (sweep)</t>
        </is>
      </c>
      <c r="AA4" s="6" t="inlineStr">
        <is>
          <t>euv sponsor cash flow after loan</t>
        </is>
      </c>
      <c r="AB4" s="6" t="inlineStr">
        <is>
          <t>EU Art 6(3)(d) first loss retained cash flow</t>
        </is>
      </c>
      <c r="AC4" s="6" t="inlineStr">
        <is>
          <t>eufl loan balance</t>
        </is>
      </c>
      <c r="AD4" s="6" t="inlineStr">
        <is>
          <t>eufl loan interest</t>
        </is>
      </c>
      <c r="AE4" s="6" t="inlineStr">
        <is>
          <t>eufl loan payment (sweep)</t>
        </is>
      </c>
      <c r="AF4" s="6" t="inlineStr">
        <is>
          <t>eufl sponsor cash flow after loan</t>
        </is>
      </c>
    </row>
    <row r="5">
      <c r="A5" s="7" t="n">
        <v>0</v>
      </c>
      <c r="B5" s="3">
        <f>Pool!B5</f>
        <v/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2">
        <f>-Retention!$F$15</f>
        <v/>
      </c>
      <c r="I5" s="2">
        <f>Retention!$H$15</f>
        <v/>
      </c>
      <c r="L5" s="2">
        <f>-(Retention!$F$15-Retention!$H$15)</f>
        <v/>
      </c>
      <c r="M5" s="2">
        <f>-Retention!$F$16</f>
        <v/>
      </c>
      <c r="N5" s="2">
        <f>Retention!$H$16</f>
        <v/>
      </c>
      <c r="Q5" s="2">
        <f>-(Retention!$F$16-Retention!$H$16)</f>
        <v/>
      </c>
      <c r="R5" s="2">
        <f>-Retention!$F$17</f>
        <v/>
      </c>
      <c r="S5" s="2">
        <f>Retention!$H$17</f>
        <v/>
      </c>
      <c r="V5" s="2">
        <f>-(Retention!$F$17-Retention!$H$17)</f>
        <v/>
      </c>
      <c r="W5" s="2">
        <f>-Retention!$F$18</f>
        <v/>
      </c>
      <c r="X5" s="2">
        <f>Retention!$H$18</f>
        <v/>
      </c>
      <c r="AA5" s="2">
        <f>-(Retention!$F$18-Retention!$H$18)</f>
        <v/>
      </c>
      <c r="AB5" s="2">
        <f>-Retention!$F$19</f>
        <v/>
      </c>
      <c r="AC5" s="2">
        <f>Retention!$H$19</f>
        <v/>
      </c>
      <c r="AF5" s="2">
        <f>-(Retention!$F$19-Retention!$H$19)</f>
        <v/>
      </c>
    </row>
    <row r="6">
      <c r="A6" s="7" t="n">
        <v>1</v>
      </c>
      <c r="B6" s="3">
        <f>Pool!B6</f>
        <v/>
      </c>
      <c r="C6" s="8">
        <f>C5/(1+(B6+Inputs!$B$64)/12)</f>
        <v/>
      </c>
      <c r="D6" s="8">
        <f>D5/(1+(B6+Inputs!$B$65)/12)</f>
        <v/>
      </c>
      <c r="E6" s="8">
        <f>E5/(1+(B6+Inputs!$B$66)/12)</f>
        <v/>
      </c>
      <c r="F6" s="8">
        <f>F5/(1+(B6+Inputs!$B$67)/12)</f>
        <v/>
      </c>
      <c r="G6" s="8">
        <f>G5/(1+(B6+Inputs!$B$78)/12)</f>
        <v/>
      </c>
      <c r="H6" s="2">
        <f>Retention!$B$15*CashFlows!F6+Retention!$C$15*CashFlows!K6+Retention!$D$15*CashFlows!P6+Retention!$E$15*CashFlows!S6</f>
        <v/>
      </c>
      <c r="I6" s="2">
        <f>I5+J6-K6</f>
        <v/>
      </c>
      <c r="J6" s="2">
        <f>I5*(B6+Inputs!$B$78)/12</f>
        <v/>
      </c>
      <c r="K6" s="2">
        <f>MIN(H6,I5+J6)</f>
        <v/>
      </c>
      <c r="L6" s="2">
        <f>H6-K6</f>
        <v/>
      </c>
      <c r="M6" s="2">
        <f>Retention!$B$16*CashFlows!F6+Retention!$C$16*CashFlows!K6+Retention!$D$16*CashFlows!P6+Retention!$E$16*CashFlows!S6</f>
        <v/>
      </c>
      <c r="N6" s="2">
        <f>N5+O6-P6</f>
        <v/>
      </c>
      <c r="O6" s="2">
        <f>N5*(B6+Inputs!$B$78)/12</f>
        <v/>
      </c>
      <c r="P6" s="2">
        <f>MIN(M6,N5+O6)</f>
        <v/>
      </c>
      <c r="Q6" s="2">
        <f>M6-P6</f>
        <v/>
      </c>
      <c r="R6" s="2">
        <f>Retention!$B$17*CashFlows!F6+Retention!$C$17*CashFlows!K6+Retention!$D$17*CashFlows!P6+Retention!$E$17*CashFlows!S6</f>
        <v/>
      </c>
      <c r="S6" s="2">
        <f>S5+T6-U6</f>
        <v/>
      </c>
      <c r="T6" s="2">
        <f>S5*(B6+Inputs!$B$78)/12</f>
        <v/>
      </c>
      <c r="U6" s="2">
        <f>MIN(R6,S5+T6)</f>
        <v/>
      </c>
      <c r="V6" s="2">
        <f>R6-U6</f>
        <v/>
      </c>
      <c r="W6" s="2">
        <f>Retention!$B$18*CashFlows!F6+Retention!$C$18*CashFlows!K6+Retention!$D$18*CashFlows!P6+Retention!$E$18*CashFlows!S6</f>
        <v/>
      </c>
      <c r="X6" s="2">
        <f>X5+Y6-Z6</f>
        <v/>
      </c>
      <c r="Y6" s="2">
        <f>X5*(B6+Inputs!$B$78)/12</f>
        <v/>
      </c>
      <c r="Z6" s="2">
        <f>MIN(W6,X5+Y6)</f>
        <v/>
      </c>
      <c r="AA6" s="2">
        <f>W6-Z6</f>
        <v/>
      </c>
      <c r="AB6" s="2">
        <f>Retention!$B$19*CashFlows!F6+Retention!$C$19*CashFlows!K6+Retention!$D$19*CashFlows!P6+Retention!$E$19*CashFlows!S6</f>
        <v/>
      </c>
      <c r="AC6" s="2">
        <f>AC5+AD6-AE6</f>
        <v/>
      </c>
      <c r="AD6" s="2">
        <f>AC5*(B6+Inputs!$B$78)/12</f>
        <v/>
      </c>
      <c r="AE6" s="2">
        <f>MIN(AB6,AC5+AD6)</f>
        <v/>
      </c>
      <c r="AF6" s="2">
        <f>AB6-AE6</f>
        <v/>
      </c>
    </row>
    <row r="7">
      <c r="A7" s="7" t="n">
        <v>2</v>
      </c>
      <c r="B7" s="3">
        <f>Pool!B7</f>
        <v/>
      </c>
      <c r="C7" s="8">
        <f>C6/(1+(B7+Inputs!$B$64)/12)</f>
        <v/>
      </c>
      <c r="D7" s="8">
        <f>D6/(1+(B7+Inputs!$B$65)/12)</f>
        <v/>
      </c>
      <c r="E7" s="8">
        <f>E6/(1+(B7+Inputs!$B$66)/12)</f>
        <v/>
      </c>
      <c r="F7" s="8">
        <f>F6/(1+(B7+Inputs!$B$67)/12)</f>
        <v/>
      </c>
      <c r="G7" s="8">
        <f>G6/(1+(B7+Inputs!$B$78)/12)</f>
        <v/>
      </c>
      <c r="H7" s="2">
        <f>Retention!$B$15*CashFlows!F7+Retention!$C$15*CashFlows!K7+Retention!$D$15*CashFlows!P7+Retention!$E$15*CashFlows!S7</f>
        <v/>
      </c>
      <c r="I7" s="2">
        <f>I6+J7-K7</f>
        <v/>
      </c>
      <c r="J7" s="2">
        <f>I6*(B7+Inputs!$B$78)/12</f>
        <v/>
      </c>
      <c r="K7" s="2">
        <f>MIN(H7,I6+J7)</f>
        <v/>
      </c>
      <c r="L7" s="2">
        <f>H7-K7</f>
        <v/>
      </c>
      <c r="M7" s="2">
        <f>Retention!$B$16*CashFlows!F7+Retention!$C$16*CashFlows!K7+Retention!$D$16*CashFlows!P7+Retention!$E$16*CashFlows!S7</f>
        <v/>
      </c>
      <c r="N7" s="2">
        <f>N6+O7-P7</f>
        <v/>
      </c>
      <c r="O7" s="2">
        <f>N6*(B7+Inputs!$B$78)/12</f>
        <v/>
      </c>
      <c r="P7" s="2">
        <f>MIN(M7,N6+O7)</f>
        <v/>
      </c>
      <c r="Q7" s="2">
        <f>M7-P7</f>
        <v/>
      </c>
      <c r="R7" s="2">
        <f>Retention!$B$17*CashFlows!F7+Retention!$C$17*CashFlows!K7+Retention!$D$17*CashFlows!P7+Retention!$E$17*CashFlows!S7</f>
        <v/>
      </c>
      <c r="S7" s="2">
        <f>S6+T7-U7</f>
        <v/>
      </c>
      <c r="T7" s="2">
        <f>S6*(B7+Inputs!$B$78)/12</f>
        <v/>
      </c>
      <c r="U7" s="2">
        <f>MIN(R7,S6+T7)</f>
        <v/>
      </c>
      <c r="V7" s="2">
        <f>R7-U7</f>
        <v/>
      </c>
      <c r="W7" s="2">
        <f>Retention!$B$18*CashFlows!F7+Retention!$C$18*CashFlows!K7+Retention!$D$18*CashFlows!P7+Retention!$E$18*CashFlows!S7</f>
        <v/>
      </c>
      <c r="X7" s="2">
        <f>X6+Y7-Z7</f>
        <v/>
      </c>
      <c r="Y7" s="2">
        <f>X6*(B7+Inputs!$B$78)/12</f>
        <v/>
      </c>
      <c r="Z7" s="2">
        <f>MIN(W7,X6+Y7)</f>
        <v/>
      </c>
      <c r="AA7" s="2">
        <f>W7-Z7</f>
        <v/>
      </c>
      <c r="AB7" s="2">
        <f>Retention!$B$19*CashFlows!F7+Retention!$C$19*CashFlows!K7+Retention!$D$19*CashFlows!P7+Retention!$E$19*CashFlows!S7</f>
        <v/>
      </c>
      <c r="AC7" s="2">
        <f>AC6+AD7-AE7</f>
        <v/>
      </c>
      <c r="AD7" s="2">
        <f>AC6*(B7+Inputs!$B$78)/12</f>
        <v/>
      </c>
      <c r="AE7" s="2">
        <f>MIN(AB7,AC6+AD7)</f>
        <v/>
      </c>
      <c r="AF7" s="2">
        <f>AB7-AE7</f>
        <v/>
      </c>
    </row>
    <row r="8">
      <c r="A8" s="7" t="n">
        <v>3</v>
      </c>
      <c r="B8" s="3">
        <f>Pool!B8</f>
        <v/>
      </c>
      <c r="C8" s="8">
        <f>C7/(1+(B8+Inputs!$B$64)/12)</f>
        <v/>
      </c>
      <c r="D8" s="8">
        <f>D7/(1+(B8+Inputs!$B$65)/12)</f>
        <v/>
      </c>
      <c r="E8" s="8">
        <f>E7/(1+(B8+Inputs!$B$66)/12)</f>
        <v/>
      </c>
      <c r="F8" s="8">
        <f>F7/(1+(B8+Inputs!$B$67)/12)</f>
        <v/>
      </c>
      <c r="G8" s="8">
        <f>G7/(1+(B8+Inputs!$B$78)/12)</f>
        <v/>
      </c>
      <c r="H8" s="2">
        <f>Retention!$B$15*CashFlows!F8+Retention!$C$15*CashFlows!K8+Retention!$D$15*CashFlows!P8+Retention!$E$15*CashFlows!S8</f>
        <v/>
      </c>
      <c r="I8" s="2">
        <f>I7+J8-K8</f>
        <v/>
      </c>
      <c r="J8" s="2">
        <f>I7*(B8+Inputs!$B$78)/12</f>
        <v/>
      </c>
      <c r="K8" s="2">
        <f>MIN(H8,I7+J8)</f>
        <v/>
      </c>
      <c r="L8" s="2">
        <f>H8-K8</f>
        <v/>
      </c>
      <c r="M8" s="2">
        <f>Retention!$B$16*CashFlows!F8+Retention!$C$16*CashFlows!K8+Retention!$D$16*CashFlows!P8+Retention!$E$16*CashFlows!S8</f>
        <v/>
      </c>
      <c r="N8" s="2">
        <f>N7+O8-P8</f>
        <v/>
      </c>
      <c r="O8" s="2">
        <f>N7*(B8+Inputs!$B$78)/12</f>
        <v/>
      </c>
      <c r="P8" s="2">
        <f>MIN(M8,N7+O8)</f>
        <v/>
      </c>
      <c r="Q8" s="2">
        <f>M8-P8</f>
        <v/>
      </c>
      <c r="R8" s="2">
        <f>Retention!$B$17*CashFlows!F8+Retention!$C$17*CashFlows!K8+Retention!$D$17*CashFlows!P8+Retention!$E$17*CashFlows!S8</f>
        <v/>
      </c>
      <c r="S8" s="2">
        <f>S7+T8-U8</f>
        <v/>
      </c>
      <c r="T8" s="2">
        <f>S7*(B8+Inputs!$B$78)/12</f>
        <v/>
      </c>
      <c r="U8" s="2">
        <f>MIN(R8,S7+T8)</f>
        <v/>
      </c>
      <c r="V8" s="2">
        <f>R8-U8</f>
        <v/>
      </c>
      <c r="W8" s="2">
        <f>Retention!$B$18*CashFlows!F8+Retention!$C$18*CashFlows!K8+Retention!$D$18*CashFlows!P8+Retention!$E$18*CashFlows!S8</f>
        <v/>
      </c>
      <c r="X8" s="2">
        <f>X7+Y8-Z8</f>
        <v/>
      </c>
      <c r="Y8" s="2">
        <f>X7*(B8+Inputs!$B$78)/12</f>
        <v/>
      </c>
      <c r="Z8" s="2">
        <f>MIN(W8,X7+Y8)</f>
        <v/>
      </c>
      <c r="AA8" s="2">
        <f>W8-Z8</f>
        <v/>
      </c>
      <c r="AB8" s="2">
        <f>Retention!$B$19*CashFlows!F8+Retention!$C$19*CashFlows!K8+Retention!$D$19*CashFlows!P8+Retention!$E$19*CashFlows!S8</f>
        <v/>
      </c>
      <c r="AC8" s="2">
        <f>AC7+AD8-AE8</f>
        <v/>
      </c>
      <c r="AD8" s="2">
        <f>AC7*(B8+Inputs!$B$78)/12</f>
        <v/>
      </c>
      <c r="AE8" s="2">
        <f>MIN(AB8,AC7+AD8)</f>
        <v/>
      </c>
      <c r="AF8" s="2">
        <f>AB8-AE8</f>
        <v/>
      </c>
    </row>
    <row r="9">
      <c r="A9" s="7" t="n">
        <v>4</v>
      </c>
      <c r="B9" s="3">
        <f>Pool!B9</f>
        <v/>
      </c>
      <c r="C9" s="8">
        <f>C8/(1+(B9+Inputs!$B$64)/12)</f>
        <v/>
      </c>
      <c r="D9" s="8">
        <f>D8/(1+(B9+Inputs!$B$65)/12)</f>
        <v/>
      </c>
      <c r="E9" s="8">
        <f>E8/(1+(B9+Inputs!$B$66)/12)</f>
        <v/>
      </c>
      <c r="F9" s="8">
        <f>F8/(1+(B9+Inputs!$B$67)/12)</f>
        <v/>
      </c>
      <c r="G9" s="8">
        <f>G8/(1+(B9+Inputs!$B$78)/12)</f>
        <v/>
      </c>
      <c r="H9" s="2">
        <f>Retention!$B$15*CashFlows!F9+Retention!$C$15*CashFlows!K9+Retention!$D$15*CashFlows!P9+Retention!$E$15*CashFlows!S9</f>
        <v/>
      </c>
      <c r="I9" s="2">
        <f>I8+J9-K9</f>
        <v/>
      </c>
      <c r="J9" s="2">
        <f>I8*(B9+Inputs!$B$78)/12</f>
        <v/>
      </c>
      <c r="K9" s="2">
        <f>MIN(H9,I8+J9)</f>
        <v/>
      </c>
      <c r="L9" s="2">
        <f>H9-K9</f>
        <v/>
      </c>
      <c r="M9" s="2">
        <f>Retention!$B$16*CashFlows!F9+Retention!$C$16*CashFlows!K9+Retention!$D$16*CashFlows!P9+Retention!$E$16*CashFlows!S9</f>
        <v/>
      </c>
      <c r="N9" s="2">
        <f>N8+O9-P9</f>
        <v/>
      </c>
      <c r="O9" s="2">
        <f>N8*(B9+Inputs!$B$78)/12</f>
        <v/>
      </c>
      <c r="P9" s="2">
        <f>MIN(M9,N8+O9)</f>
        <v/>
      </c>
      <c r="Q9" s="2">
        <f>M9-P9</f>
        <v/>
      </c>
      <c r="R9" s="2">
        <f>Retention!$B$17*CashFlows!F9+Retention!$C$17*CashFlows!K9+Retention!$D$17*CashFlows!P9+Retention!$E$17*CashFlows!S9</f>
        <v/>
      </c>
      <c r="S9" s="2">
        <f>S8+T9-U9</f>
        <v/>
      </c>
      <c r="T9" s="2">
        <f>S8*(B9+Inputs!$B$78)/12</f>
        <v/>
      </c>
      <c r="U9" s="2">
        <f>MIN(R9,S8+T9)</f>
        <v/>
      </c>
      <c r="V9" s="2">
        <f>R9-U9</f>
        <v/>
      </c>
      <c r="W9" s="2">
        <f>Retention!$B$18*CashFlows!F9+Retention!$C$18*CashFlows!K9+Retention!$D$18*CashFlows!P9+Retention!$E$18*CashFlows!S9</f>
        <v/>
      </c>
      <c r="X9" s="2">
        <f>X8+Y9-Z9</f>
        <v/>
      </c>
      <c r="Y9" s="2">
        <f>X8*(B9+Inputs!$B$78)/12</f>
        <v/>
      </c>
      <c r="Z9" s="2">
        <f>MIN(W9,X8+Y9)</f>
        <v/>
      </c>
      <c r="AA9" s="2">
        <f>W9-Z9</f>
        <v/>
      </c>
      <c r="AB9" s="2">
        <f>Retention!$B$19*CashFlows!F9+Retention!$C$19*CashFlows!K9+Retention!$D$19*CashFlows!P9+Retention!$E$19*CashFlows!S9</f>
        <v/>
      </c>
      <c r="AC9" s="2">
        <f>AC8+AD9-AE9</f>
        <v/>
      </c>
      <c r="AD9" s="2">
        <f>AC8*(B9+Inputs!$B$78)/12</f>
        <v/>
      </c>
      <c r="AE9" s="2">
        <f>MIN(AB9,AC8+AD9)</f>
        <v/>
      </c>
      <c r="AF9" s="2">
        <f>AB9-AE9</f>
        <v/>
      </c>
    </row>
    <row r="10">
      <c r="A10" s="7" t="n">
        <v>5</v>
      </c>
      <c r="B10" s="3">
        <f>Pool!B10</f>
        <v/>
      </c>
      <c r="C10" s="8">
        <f>C9/(1+(B10+Inputs!$B$64)/12)</f>
        <v/>
      </c>
      <c r="D10" s="8">
        <f>D9/(1+(B10+Inputs!$B$65)/12)</f>
        <v/>
      </c>
      <c r="E10" s="8">
        <f>E9/(1+(B10+Inputs!$B$66)/12)</f>
        <v/>
      </c>
      <c r="F10" s="8">
        <f>F9/(1+(B10+Inputs!$B$67)/12)</f>
        <v/>
      </c>
      <c r="G10" s="8">
        <f>G9/(1+(B10+Inputs!$B$78)/12)</f>
        <v/>
      </c>
      <c r="H10" s="2">
        <f>Retention!$B$15*CashFlows!F10+Retention!$C$15*CashFlows!K10+Retention!$D$15*CashFlows!P10+Retention!$E$15*CashFlows!S10</f>
        <v/>
      </c>
      <c r="I10" s="2">
        <f>I9+J10-K10</f>
        <v/>
      </c>
      <c r="J10" s="2">
        <f>I9*(B10+Inputs!$B$78)/12</f>
        <v/>
      </c>
      <c r="K10" s="2">
        <f>MIN(H10,I9+J10)</f>
        <v/>
      </c>
      <c r="L10" s="2">
        <f>H10-K10</f>
        <v/>
      </c>
      <c r="M10" s="2">
        <f>Retention!$B$16*CashFlows!F10+Retention!$C$16*CashFlows!K10+Retention!$D$16*CashFlows!P10+Retention!$E$16*CashFlows!S10</f>
        <v/>
      </c>
      <c r="N10" s="2">
        <f>N9+O10-P10</f>
        <v/>
      </c>
      <c r="O10" s="2">
        <f>N9*(B10+Inputs!$B$78)/12</f>
        <v/>
      </c>
      <c r="P10" s="2">
        <f>MIN(M10,N9+O10)</f>
        <v/>
      </c>
      <c r="Q10" s="2">
        <f>M10-P10</f>
        <v/>
      </c>
      <c r="R10" s="2">
        <f>Retention!$B$17*CashFlows!F10+Retention!$C$17*CashFlows!K10+Retention!$D$17*CashFlows!P10+Retention!$E$17*CashFlows!S10</f>
        <v/>
      </c>
      <c r="S10" s="2">
        <f>S9+T10-U10</f>
        <v/>
      </c>
      <c r="T10" s="2">
        <f>S9*(B10+Inputs!$B$78)/12</f>
        <v/>
      </c>
      <c r="U10" s="2">
        <f>MIN(R10,S9+T10)</f>
        <v/>
      </c>
      <c r="V10" s="2">
        <f>R10-U10</f>
        <v/>
      </c>
      <c r="W10" s="2">
        <f>Retention!$B$18*CashFlows!F10+Retention!$C$18*CashFlows!K10+Retention!$D$18*CashFlows!P10+Retention!$E$18*CashFlows!S10</f>
        <v/>
      </c>
      <c r="X10" s="2">
        <f>X9+Y10-Z10</f>
        <v/>
      </c>
      <c r="Y10" s="2">
        <f>X9*(B10+Inputs!$B$78)/12</f>
        <v/>
      </c>
      <c r="Z10" s="2">
        <f>MIN(W10,X9+Y10)</f>
        <v/>
      </c>
      <c r="AA10" s="2">
        <f>W10-Z10</f>
        <v/>
      </c>
      <c r="AB10" s="2">
        <f>Retention!$B$19*CashFlows!F10+Retention!$C$19*CashFlows!K10+Retention!$D$19*CashFlows!P10+Retention!$E$19*CashFlows!S10</f>
        <v/>
      </c>
      <c r="AC10" s="2">
        <f>AC9+AD10-AE10</f>
        <v/>
      </c>
      <c r="AD10" s="2">
        <f>AC9*(B10+Inputs!$B$78)/12</f>
        <v/>
      </c>
      <c r="AE10" s="2">
        <f>MIN(AB10,AC9+AD10)</f>
        <v/>
      </c>
      <c r="AF10" s="2">
        <f>AB10-AE10</f>
        <v/>
      </c>
    </row>
    <row r="11">
      <c r="A11" s="7" t="n">
        <v>6</v>
      </c>
      <c r="B11" s="3">
        <f>Pool!B11</f>
        <v/>
      </c>
      <c r="C11" s="8">
        <f>C10/(1+(B11+Inputs!$B$64)/12)</f>
        <v/>
      </c>
      <c r="D11" s="8">
        <f>D10/(1+(B11+Inputs!$B$65)/12)</f>
        <v/>
      </c>
      <c r="E11" s="8">
        <f>E10/(1+(B11+Inputs!$B$66)/12)</f>
        <v/>
      </c>
      <c r="F11" s="8">
        <f>F10/(1+(B11+Inputs!$B$67)/12)</f>
        <v/>
      </c>
      <c r="G11" s="8">
        <f>G10/(1+(B11+Inputs!$B$78)/12)</f>
        <v/>
      </c>
      <c r="H11" s="2">
        <f>Retention!$B$15*CashFlows!F11+Retention!$C$15*CashFlows!K11+Retention!$D$15*CashFlows!P11+Retention!$E$15*CashFlows!S11</f>
        <v/>
      </c>
      <c r="I11" s="2">
        <f>I10+J11-K11</f>
        <v/>
      </c>
      <c r="J11" s="2">
        <f>I10*(B11+Inputs!$B$78)/12</f>
        <v/>
      </c>
      <c r="K11" s="2">
        <f>MIN(H11,I10+J11)</f>
        <v/>
      </c>
      <c r="L11" s="2">
        <f>H11-K11</f>
        <v/>
      </c>
      <c r="M11" s="2">
        <f>Retention!$B$16*CashFlows!F11+Retention!$C$16*CashFlows!K11+Retention!$D$16*CashFlows!P11+Retention!$E$16*CashFlows!S11</f>
        <v/>
      </c>
      <c r="N11" s="2">
        <f>N10+O11-P11</f>
        <v/>
      </c>
      <c r="O11" s="2">
        <f>N10*(B11+Inputs!$B$78)/12</f>
        <v/>
      </c>
      <c r="P11" s="2">
        <f>MIN(M11,N10+O11)</f>
        <v/>
      </c>
      <c r="Q11" s="2">
        <f>M11-P11</f>
        <v/>
      </c>
      <c r="R11" s="2">
        <f>Retention!$B$17*CashFlows!F11+Retention!$C$17*CashFlows!K11+Retention!$D$17*CashFlows!P11+Retention!$E$17*CashFlows!S11</f>
        <v/>
      </c>
      <c r="S11" s="2">
        <f>S10+T11-U11</f>
        <v/>
      </c>
      <c r="T11" s="2">
        <f>S10*(B11+Inputs!$B$78)/12</f>
        <v/>
      </c>
      <c r="U11" s="2">
        <f>MIN(R11,S10+T11)</f>
        <v/>
      </c>
      <c r="V11" s="2">
        <f>R11-U11</f>
        <v/>
      </c>
      <c r="W11" s="2">
        <f>Retention!$B$18*CashFlows!F11+Retention!$C$18*CashFlows!K11+Retention!$D$18*CashFlows!P11+Retention!$E$18*CashFlows!S11</f>
        <v/>
      </c>
      <c r="X11" s="2">
        <f>X10+Y11-Z11</f>
        <v/>
      </c>
      <c r="Y11" s="2">
        <f>X10*(B11+Inputs!$B$78)/12</f>
        <v/>
      </c>
      <c r="Z11" s="2">
        <f>MIN(W11,X10+Y11)</f>
        <v/>
      </c>
      <c r="AA11" s="2">
        <f>W11-Z11</f>
        <v/>
      </c>
      <c r="AB11" s="2">
        <f>Retention!$B$19*CashFlows!F11+Retention!$C$19*CashFlows!K11+Retention!$D$19*CashFlows!P11+Retention!$E$19*CashFlows!S11</f>
        <v/>
      </c>
      <c r="AC11" s="2">
        <f>AC10+AD11-AE11</f>
        <v/>
      </c>
      <c r="AD11" s="2">
        <f>AC10*(B11+Inputs!$B$78)/12</f>
        <v/>
      </c>
      <c r="AE11" s="2">
        <f>MIN(AB11,AC10+AD11)</f>
        <v/>
      </c>
      <c r="AF11" s="2">
        <f>AB11-AE11</f>
        <v/>
      </c>
    </row>
    <row r="12">
      <c r="A12" s="7" t="n">
        <v>7</v>
      </c>
      <c r="B12" s="3">
        <f>Pool!B12</f>
        <v/>
      </c>
      <c r="C12" s="8">
        <f>C11/(1+(B12+Inputs!$B$64)/12)</f>
        <v/>
      </c>
      <c r="D12" s="8">
        <f>D11/(1+(B12+Inputs!$B$65)/12)</f>
        <v/>
      </c>
      <c r="E12" s="8">
        <f>E11/(1+(B12+Inputs!$B$66)/12)</f>
        <v/>
      </c>
      <c r="F12" s="8">
        <f>F11/(1+(B12+Inputs!$B$67)/12)</f>
        <v/>
      </c>
      <c r="G12" s="8">
        <f>G11/(1+(B12+Inputs!$B$78)/12)</f>
        <v/>
      </c>
      <c r="H12" s="2">
        <f>Retention!$B$15*CashFlows!F12+Retention!$C$15*CashFlows!K12+Retention!$D$15*CashFlows!P12+Retention!$E$15*CashFlows!S12</f>
        <v/>
      </c>
      <c r="I12" s="2">
        <f>I11+J12-K12</f>
        <v/>
      </c>
      <c r="J12" s="2">
        <f>I11*(B12+Inputs!$B$78)/12</f>
        <v/>
      </c>
      <c r="K12" s="2">
        <f>MIN(H12,I11+J12)</f>
        <v/>
      </c>
      <c r="L12" s="2">
        <f>H12-K12</f>
        <v/>
      </c>
      <c r="M12" s="2">
        <f>Retention!$B$16*CashFlows!F12+Retention!$C$16*CashFlows!K12+Retention!$D$16*CashFlows!P12+Retention!$E$16*CashFlows!S12</f>
        <v/>
      </c>
      <c r="N12" s="2">
        <f>N11+O12-P12</f>
        <v/>
      </c>
      <c r="O12" s="2">
        <f>N11*(B12+Inputs!$B$78)/12</f>
        <v/>
      </c>
      <c r="P12" s="2">
        <f>MIN(M12,N11+O12)</f>
        <v/>
      </c>
      <c r="Q12" s="2">
        <f>M12-P12</f>
        <v/>
      </c>
      <c r="R12" s="2">
        <f>Retention!$B$17*CashFlows!F12+Retention!$C$17*CashFlows!K12+Retention!$D$17*CashFlows!P12+Retention!$E$17*CashFlows!S12</f>
        <v/>
      </c>
      <c r="S12" s="2">
        <f>S11+T12-U12</f>
        <v/>
      </c>
      <c r="T12" s="2">
        <f>S11*(B12+Inputs!$B$78)/12</f>
        <v/>
      </c>
      <c r="U12" s="2">
        <f>MIN(R12,S11+T12)</f>
        <v/>
      </c>
      <c r="V12" s="2">
        <f>R12-U12</f>
        <v/>
      </c>
      <c r="W12" s="2">
        <f>Retention!$B$18*CashFlows!F12+Retention!$C$18*CashFlows!K12+Retention!$D$18*CashFlows!P12+Retention!$E$18*CashFlows!S12</f>
        <v/>
      </c>
      <c r="X12" s="2">
        <f>X11+Y12-Z12</f>
        <v/>
      </c>
      <c r="Y12" s="2">
        <f>X11*(B12+Inputs!$B$78)/12</f>
        <v/>
      </c>
      <c r="Z12" s="2">
        <f>MIN(W12,X11+Y12)</f>
        <v/>
      </c>
      <c r="AA12" s="2">
        <f>W12-Z12</f>
        <v/>
      </c>
      <c r="AB12" s="2">
        <f>Retention!$B$19*CashFlows!F12+Retention!$C$19*CashFlows!K12+Retention!$D$19*CashFlows!P12+Retention!$E$19*CashFlows!S12</f>
        <v/>
      </c>
      <c r="AC12" s="2">
        <f>AC11+AD12-AE12</f>
        <v/>
      </c>
      <c r="AD12" s="2">
        <f>AC11*(B12+Inputs!$B$78)/12</f>
        <v/>
      </c>
      <c r="AE12" s="2">
        <f>MIN(AB12,AC11+AD12)</f>
        <v/>
      </c>
      <c r="AF12" s="2">
        <f>AB12-AE12</f>
        <v/>
      </c>
    </row>
    <row r="13">
      <c r="A13" s="7" t="n">
        <v>8</v>
      </c>
      <c r="B13" s="3">
        <f>Pool!B13</f>
        <v/>
      </c>
      <c r="C13" s="8">
        <f>C12/(1+(B13+Inputs!$B$64)/12)</f>
        <v/>
      </c>
      <c r="D13" s="8">
        <f>D12/(1+(B13+Inputs!$B$65)/12)</f>
        <v/>
      </c>
      <c r="E13" s="8">
        <f>E12/(1+(B13+Inputs!$B$66)/12)</f>
        <v/>
      </c>
      <c r="F13" s="8">
        <f>F12/(1+(B13+Inputs!$B$67)/12)</f>
        <v/>
      </c>
      <c r="G13" s="8">
        <f>G12/(1+(B13+Inputs!$B$78)/12)</f>
        <v/>
      </c>
      <c r="H13" s="2">
        <f>Retention!$B$15*CashFlows!F13+Retention!$C$15*CashFlows!K13+Retention!$D$15*CashFlows!P13+Retention!$E$15*CashFlows!S13</f>
        <v/>
      </c>
      <c r="I13" s="2">
        <f>I12+J13-K13</f>
        <v/>
      </c>
      <c r="J13" s="2">
        <f>I12*(B13+Inputs!$B$78)/12</f>
        <v/>
      </c>
      <c r="K13" s="2">
        <f>MIN(H13,I12+J13)</f>
        <v/>
      </c>
      <c r="L13" s="2">
        <f>H13-K13</f>
        <v/>
      </c>
      <c r="M13" s="2">
        <f>Retention!$B$16*CashFlows!F13+Retention!$C$16*CashFlows!K13+Retention!$D$16*CashFlows!P13+Retention!$E$16*CashFlows!S13</f>
        <v/>
      </c>
      <c r="N13" s="2">
        <f>N12+O13-P13</f>
        <v/>
      </c>
      <c r="O13" s="2">
        <f>N12*(B13+Inputs!$B$78)/12</f>
        <v/>
      </c>
      <c r="P13" s="2">
        <f>MIN(M13,N12+O13)</f>
        <v/>
      </c>
      <c r="Q13" s="2">
        <f>M13-P13</f>
        <v/>
      </c>
      <c r="R13" s="2">
        <f>Retention!$B$17*CashFlows!F13+Retention!$C$17*CashFlows!K13+Retention!$D$17*CashFlows!P13+Retention!$E$17*CashFlows!S13</f>
        <v/>
      </c>
      <c r="S13" s="2">
        <f>S12+T13-U13</f>
        <v/>
      </c>
      <c r="T13" s="2">
        <f>S12*(B13+Inputs!$B$78)/12</f>
        <v/>
      </c>
      <c r="U13" s="2">
        <f>MIN(R13,S12+T13)</f>
        <v/>
      </c>
      <c r="V13" s="2">
        <f>R13-U13</f>
        <v/>
      </c>
      <c r="W13" s="2">
        <f>Retention!$B$18*CashFlows!F13+Retention!$C$18*CashFlows!K13+Retention!$D$18*CashFlows!P13+Retention!$E$18*CashFlows!S13</f>
        <v/>
      </c>
      <c r="X13" s="2">
        <f>X12+Y13-Z13</f>
        <v/>
      </c>
      <c r="Y13" s="2">
        <f>X12*(B13+Inputs!$B$78)/12</f>
        <v/>
      </c>
      <c r="Z13" s="2">
        <f>MIN(W13,X12+Y13)</f>
        <v/>
      </c>
      <c r="AA13" s="2">
        <f>W13-Z13</f>
        <v/>
      </c>
      <c r="AB13" s="2">
        <f>Retention!$B$19*CashFlows!F13+Retention!$C$19*CashFlows!K13+Retention!$D$19*CashFlows!P13+Retention!$E$19*CashFlows!S13</f>
        <v/>
      </c>
      <c r="AC13" s="2">
        <f>AC12+AD13-AE13</f>
        <v/>
      </c>
      <c r="AD13" s="2">
        <f>AC12*(B13+Inputs!$B$78)/12</f>
        <v/>
      </c>
      <c r="AE13" s="2">
        <f>MIN(AB13,AC12+AD13)</f>
        <v/>
      </c>
      <c r="AF13" s="2">
        <f>AB13-AE13</f>
        <v/>
      </c>
    </row>
    <row r="14">
      <c r="A14" s="7" t="n">
        <v>9</v>
      </c>
      <c r="B14" s="3">
        <f>Pool!B14</f>
        <v/>
      </c>
      <c r="C14" s="8">
        <f>C13/(1+(B14+Inputs!$B$64)/12)</f>
        <v/>
      </c>
      <c r="D14" s="8">
        <f>D13/(1+(B14+Inputs!$B$65)/12)</f>
        <v/>
      </c>
      <c r="E14" s="8">
        <f>E13/(1+(B14+Inputs!$B$66)/12)</f>
        <v/>
      </c>
      <c r="F14" s="8">
        <f>F13/(1+(B14+Inputs!$B$67)/12)</f>
        <v/>
      </c>
      <c r="G14" s="8">
        <f>G13/(1+(B14+Inputs!$B$78)/12)</f>
        <v/>
      </c>
      <c r="H14" s="2">
        <f>Retention!$B$15*CashFlows!F14+Retention!$C$15*CashFlows!K14+Retention!$D$15*CashFlows!P14+Retention!$E$15*CashFlows!S14</f>
        <v/>
      </c>
      <c r="I14" s="2">
        <f>I13+J14-K14</f>
        <v/>
      </c>
      <c r="J14" s="2">
        <f>I13*(B14+Inputs!$B$78)/12</f>
        <v/>
      </c>
      <c r="K14" s="2">
        <f>MIN(H14,I13+J14)</f>
        <v/>
      </c>
      <c r="L14" s="2">
        <f>H14-K14</f>
        <v/>
      </c>
      <c r="M14" s="2">
        <f>Retention!$B$16*CashFlows!F14+Retention!$C$16*CashFlows!K14+Retention!$D$16*CashFlows!P14+Retention!$E$16*CashFlows!S14</f>
        <v/>
      </c>
      <c r="N14" s="2">
        <f>N13+O14-P14</f>
        <v/>
      </c>
      <c r="O14" s="2">
        <f>N13*(B14+Inputs!$B$78)/12</f>
        <v/>
      </c>
      <c r="P14" s="2">
        <f>MIN(M14,N13+O14)</f>
        <v/>
      </c>
      <c r="Q14" s="2">
        <f>M14-P14</f>
        <v/>
      </c>
      <c r="R14" s="2">
        <f>Retention!$B$17*CashFlows!F14+Retention!$C$17*CashFlows!K14+Retention!$D$17*CashFlows!P14+Retention!$E$17*CashFlows!S14</f>
        <v/>
      </c>
      <c r="S14" s="2">
        <f>S13+T14-U14</f>
        <v/>
      </c>
      <c r="T14" s="2">
        <f>S13*(B14+Inputs!$B$78)/12</f>
        <v/>
      </c>
      <c r="U14" s="2">
        <f>MIN(R14,S13+T14)</f>
        <v/>
      </c>
      <c r="V14" s="2">
        <f>R14-U14</f>
        <v/>
      </c>
      <c r="W14" s="2">
        <f>Retention!$B$18*CashFlows!F14+Retention!$C$18*CashFlows!K14+Retention!$D$18*CashFlows!P14+Retention!$E$18*CashFlows!S14</f>
        <v/>
      </c>
      <c r="X14" s="2">
        <f>X13+Y14-Z14</f>
        <v/>
      </c>
      <c r="Y14" s="2">
        <f>X13*(B14+Inputs!$B$78)/12</f>
        <v/>
      </c>
      <c r="Z14" s="2">
        <f>MIN(W14,X13+Y14)</f>
        <v/>
      </c>
      <c r="AA14" s="2">
        <f>W14-Z14</f>
        <v/>
      </c>
      <c r="AB14" s="2">
        <f>Retention!$B$19*CashFlows!F14+Retention!$C$19*CashFlows!K14+Retention!$D$19*CashFlows!P14+Retention!$E$19*CashFlows!S14</f>
        <v/>
      </c>
      <c r="AC14" s="2">
        <f>AC13+AD14-AE14</f>
        <v/>
      </c>
      <c r="AD14" s="2">
        <f>AC13*(B14+Inputs!$B$78)/12</f>
        <v/>
      </c>
      <c r="AE14" s="2">
        <f>MIN(AB14,AC13+AD14)</f>
        <v/>
      </c>
      <c r="AF14" s="2">
        <f>AB14-AE14</f>
        <v/>
      </c>
    </row>
    <row r="15">
      <c r="A15" s="7" t="n">
        <v>10</v>
      </c>
      <c r="B15" s="3">
        <f>Pool!B15</f>
        <v/>
      </c>
      <c r="C15" s="8">
        <f>C14/(1+(B15+Inputs!$B$64)/12)</f>
        <v/>
      </c>
      <c r="D15" s="8">
        <f>D14/(1+(B15+Inputs!$B$65)/12)</f>
        <v/>
      </c>
      <c r="E15" s="8">
        <f>E14/(1+(B15+Inputs!$B$66)/12)</f>
        <v/>
      </c>
      <c r="F15" s="8">
        <f>F14/(1+(B15+Inputs!$B$67)/12)</f>
        <v/>
      </c>
      <c r="G15" s="8">
        <f>G14/(1+(B15+Inputs!$B$78)/12)</f>
        <v/>
      </c>
      <c r="H15" s="2">
        <f>Retention!$B$15*CashFlows!F15+Retention!$C$15*CashFlows!K15+Retention!$D$15*CashFlows!P15+Retention!$E$15*CashFlows!S15</f>
        <v/>
      </c>
      <c r="I15" s="2">
        <f>I14+J15-K15</f>
        <v/>
      </c>
      <c r="J15" s="2">
        <f>I14*(B15+Inputs!$B$78)/12</f>
        <v/>
      </c>
      <c r="K15" s="2">
        <f>MIN(H15,I14+J15)</f>
        <v/>
      </c>
      <c r="L15" s="2">
        <f>H15-K15</f>
        <v/>
      </c>
      <c r="M15" s="2">
        <f>Retention!$B$16*CashFlows!F15+Retention!$C$16*CashFlows!K15+Retention!$D$16*CashFlows!P15+Retention!$E$16*CashFlows!S15</f>
        <v/>
      </c>
      <c r="N15" s="2">
        <f>N14+O15-P15</f>
        <v/>
      </c>
      <c r="O15" s="2">
        <f>N14*(B15+Inputs!$B$78)/12</f>
        <v/>
      </c>
      <c r="P15" s="2">
        <f>MIN(M15,N14+O15)</f>
        <v/>
      </c>
      <c r="Q15" s="2">
        <f>M15-P15</f>
        <v/>
      </c>
      <c r="R15" s="2">
        <f>Retention!$B$17*CashFlows!F15+Retention!$C$17*CashFlows!K15+Retention!$D$17*CashFlows!P15+Retention!$E$17*CashFlows!S15</f>
        <v/>
      </c>
      <c r="S15" s="2">
        <f>S14+T15-U15</f>
        <v/>
      </c>
      <c r="T15" s="2">
        <f>S14*(B15+Inputs!$B$78)/12</f>
        <v/>
      </c>
      <c r="U15" s="2">
        <f>MIN(R15,S14+T15)</f>
        <v/>
      </c>
      <c r="V15" s="2">
        <f>R15-U15</f>
        <v/>
      </c>
      <c r="W15" s="2">
        <f>Retention!$B$18*CashFlows!F15+Retention!$C$18*CashFlows!K15+Retention!$D$18*CashFlows!P15+Retention!$E$18*CashFlows!S15</f>
        <v/>
      </c>
      <c r="X15" s="2">
        <f>X14+Y15-Z15</f>
        <v/>
      </c>
      <c r="Y15" s="2">
        <f>X14*(B15+Inputs!$B$78)/12</f>
        <v/>
      </c>
      <c r="Z15" s="2">
        <f>MIN(W15,X14+Y15)</f>
        <v/>
      </c>
      <c r="AA15" s="2">
        <f>W15-Z15</f>
        <v/>
      </c>
      <c r="AB15" s="2">
        <f>Retention!$B$19*CashFlows!F15+Retention!$C$19*CashFlows!K15+Retention!$D$19*CashFlows!P15+Retention!$E$19*CashFlows!S15</f>
        <v/>
      </c>
      <c r="AC15" s="2">
        <f>AC14+AD15-AE15</f>
        <v/>
      </c>
      <c r="AD15" s="2">
        <f>AC14*(B15+Inputs!$B$78)/12</f>
        <v/>
      </c>
      <c r="AE15" s="2">
        <f>MIN(AB15,AC14+AD15)</f>
        <v/>
      </c>
      <c r="AF15" s="2">
        <f>AB15-AE15</f>
        <v/>
      </c>
    </row>
    <row r="16">
      <c r="A16" s="7" t="n">
        <v>11</v>
      </c>
      <c r="B16" s="3">
        <f>Pool!B16</f>
        <v/>
      </c>
      <c r="C16" s="8">
        <f>C15/(1+(B16+Inputs!$B$64)/12)</f>
        <v/>
      </c>
      <c r="D16" s="8">
        <f>D15/(1+(B16+Inputs!$B$65)/12)</f>
        <v/>
      </c>
      <c r="E16" s="8">
        <f>E15/(1+(B16+Inputs!$B$66)/12)</f>
        <v/>
      </c>
      <c r="F16" s="8">
        <f>F15/(1+(B16+Inputs!$B$67)/12)</f>
        <v/>
      </c>
      <c r="G16" s="8">
        <f>G15/(1+(B16+Inputs!$B$78)/12)</f>
        <v/>
      </c>
      <c r="H16" s="2">
        <f>Retention!$B$15*CashFlows!F16+Retention!$C$15*CashFlows!K16+Retention!$D$15*CashFlows!P16+Retention!$E$15*CashFlows!S16</f>
        <v/>
      </c>
      <c r="I16" s="2">
        <f>I15+J16-K16</f>
        <v/>
      </c>
      <c r="J16" s="2">
        <f>I15*(B16+Inputs!$B$78)/12</f>
        <v/>
      </c>
      <c r="K16" s="2">
        <f>MIN(H16,I15+J16)</f>
        <v/>
      </c>
      <c r="L16" s="2">
        <f>H16-K16</f>
        <v/>
      </c>
      <c r="M16" s="2">
        <f>Retention!$B$16*CashFlows!F16+Retention!$C$16*CashFlows!K16+Retention!$D$16*CashFlows!P16+Retention!$E$16*CashFlows!S16</f>
        <v/>
      </c>
      <c r="N16" s="2">
        <f>N15+O16-P16</f>
        <v/>
      </c>
      <c r="O16" s="2">
        <f>N15*(B16+Inputs!$B$78)/12</f>
        <v/>
      </c>
      <c r="P16" s="2">
        <f>MIN(M16,N15+O16)</f>
        <v/>
      </c>
      <c r="Q16" s="2">
        <f>M16-P16</f>
        <v/>
      </c>
      <c r="R16" s="2">
        <f>Retention!$B$17*CashFlows!F16+Retention!$C$17*CashFlows!K16+Retention!$D$17*CashFlows!P16+Retention!$E$17*CashFlows!S16</f>
        <v/>
      </c>
      <c r="S16" s="2">
        <f>S15+T16-U16</f>
        <v/>
      </c>
      <c r="T16" s="2">
        <f>S15*(B16+Inputs!$B$78)/12</f>
        <v/>
      </c>
      <c r="U16" s="2">
        <f>MIN(R16,S15+T16)</f>
        <v/>
      </c>
      <c r="V16" s="2">
        <f>R16-U16</f>
        <v/>
      </c>
      <c r="W16" s="2">
        <f>Retention!$B$18*CashFlows!F16+Retention!$C$18*CashFlows!K16+Retention!$D$18*CashFlows!P16+Retention!$E$18*CashFlows!S16</f>
        <v/>
      </c>
      <c r="X16" s="2">
        <f>X15+Y16-Z16</f>
        <v/>
      </c>
      <c r="Y16" s="2">
        <f>X15*(B16+Inputs!$B$78)/12</f>
        <v/>
      </c>
      <c r="Z16" s="2">
        <f>MIN(W16,X15+Y16)</f>
        <v/>
      </c>
      <c r="AA16" s="2">
        <f>W16-Z16</f>
        <v/>
      </c>
      <c r="AB16" s="2">
        <f>Retention!$B$19*CashFlows!F16+Retention!$C$19*CashFlows!K16+Retention!$D$19*CashFlows!P16+Retention!$E$19*CashFlows!S16</f>
        <v/>
      </c>
      <c r="AC16" s="2">
        <f>AC15+AD16-AE16</f>
        <v/>
      </c>
      <c r="AD16" s="2">
        <f>AC15*(B16+Inputs!$B$78)/12</f>
        <v/>
      </c>
      <c r="AE16" s="2">
        <f>MIN(AB16,AC15+AD16)</f>
        <v/>
      </c>
      <c r="AF16" s="2">
        <f>AB16-AE16</f>
        <v/>
      </c>
    </row>
    <row r="17">
      <c r="A17" s="7" t="n">
        <v>12</v>
      </c>
      <c r="B17" s="3">
        <f>Pool!B17</f>
        <v/>
      </c>
      <c r="C17" s="8">
        <f>C16/(1+(B17+Inputs!$B$64)/12)</f>
        <v/>
      </c>
      <c r="D17" s="8">
        <f>D16/(1+(B17+Inputs!$B$65)/12)</f>
        <v/>
      </c>
      <c r="E17" s="8">
        <f>E16/(1+(B17+Inputs!$B$66)/12)</f>
        <v/>
      </c>
      <c r="F17" s="8">
        <f>F16/(1+(B17+Inputs!$B$67)/12)</f>
        <v/>
      </c>
      <c r="G17" s="8">
        <f>G16/(1+(B17+Inputs!$B$78)/12)</f>
        <v/>
      </c>
      <c r="H17" s="2">
        <f>Retention!$B$15*CashFlows!F17+Retention!$C$15*CashFlows!K17+Retention!$D$15*CashFlows!P17+Retention!$E$15*CashFlows!S17</f>
        <v/>
      </c>
      <c r="I17" s="2">
        <f>I16+J17-K17</f>
        <v/>
      </c>
      <c r="J17" s="2">
        <f>I16*(B17+Inputs!$B$78)/12</f>
        <v/>
      </c>
      <c r="K17" s="2">
        <f>MIN(H17,I16+J17)</f>
        <v/>
      </c>
      <c r="L17" s="2">
        <f>H17-K17</f>
        <v/>
      </c>
      <c r="M17" s="2">
        <f>Retention!$B$16*CashFlows!F17+Retention!$C$16*CashFlows!K17+Retention!$D$16*CashFlows!P17+Retention!$E$16*CashFlows!S17</f>
        <v/>
      </c>
      <c r="N17" s="2">
        <f>N16+O17-P17</f>
        <v/>
      </c>
      <c r="O17" s="2">
        <f>N16*(B17+Inputs!$B$78)/12</f>
        <v/>
      </c>
      <c r="P17" s="2">
        <f>MIN(M17,N16+O17)</f>
        <v/>
      </c>
      <c r="Q17" s="2">
        <f>M17-P17</f>
        <v/>
      </c>
      <c r="R17" s="2">
        <f>Retention!$B$17*CashFlows!F17+Retention!$C$17*CashFlows!K17+Retention!$D$17*CashFlows!P17+Retention!$E$17*CashFlows!S17</f>
        <v/>
      </c>
      <c r="S17" s="2">
        <f>S16+T17-U17</f>
        <v/>
      </c>
      <c r="T17" s="2">
        <f>S16*(B17+Inputs!$B$78)/12</f>
        <v/>
      </c>
      <c r="U17" s="2">
        <f>MIN(R17,S16+T17)</f>
        <v/>
      </c>
      <c r="V17" s="2">
        <f>R17-U17</f>
        <v/>
      </c>
      <c r="W17" s="2">
        <f>Retention!$B$18*CashFlows!F17+Retention!$C$18*CashFlows!K17+Retention!$D$18*CashFlows!P17+Retention!$E$18*CashFlows!S17</f>
        <v/>
      </c>
      <c r="X17" s="2">
        <f>X16+Y17-Z17</f>
        <v/>
      </c>
      <c r="Y17" s="2">
        <f>X16*(B17+Inputs!$B$78)/12</f>
        <v/>
      </c>
      <c r="Z17" s="2">
        <f>MIN(W17,X16+Y17)</f>
        <v/>
      </c>
      <c r="AA17" s="2">
        <f>W17-Z17</f>
        <v/>
      </c>
      <c r="AB17" s="2">
        <f>Retention!$B$19*CashFlows!F17+Retention!$C$19*CashFlows!K17+Retention!$D$19*CashFlows!P17+Retention!$E$19*CashFlows!S17</f>
        <v/>
      </c>
      <c r="AC17" s="2">
        <f>AC16+AD17-AE17</f>
        <v/>
      </c>
      <c r="AD17" s="2">
        <f>AC16*(B17+Inputs!$B$78)/12</f>
        <v/>
      </c>
      <c r="AE17" s="2">
        <f>MIN(AB17,AC16+AD17)</f>
        <v/>
      </c>
      <c r="AF17" s="2">
        <f>AB17-AE17</f>
        <v/>
      </c>
    </row>
    <row r="18">
      <c r="A18" s="7" t="n">
        <v>13</v>
      </c>
      <c r="B18" s="3">
        <f>Pool!B18</f>
        <v/>
      </c>
      <c r="C18" s="8">
        <f>C17/(1+(B18+Inputs!$B$64)/12)</f>
        <v/>
      </c>
      <c r="D18" s="8">
        <f>D17/(1+(B18+Inputs!$B$65)/12)</f>
        <v/>
      </c>
      <c r="E18" s="8">
        <f>E17/(1+(B18+Inputs!$B$66)/12)</f>
        <v/>
      </c>
      <c r="F18" s="8">
        <f>F17/(1+(B18+Inputs!$B$67)/12)</f>
        <v/>
      </c>
      <c r="G18" s="8">
        <f>G17/(1+(B18+Inputs!$B$78)/12)</f>
        <v/>
      </c>
      <c r="H18" s="2">
        <f>Retention!$B$15*CashFlows!F18+Retention!$C$15*CashFlows!K18+Retention!$D$15*CashFlows!P18+Retention!$E$15*CashFlows!S18</f>
        <v/>
      </c>
      <c r="I18" s="2">
        <f>I17+J18-K18</f>
        <v/>
      </c>
      <c r="J18" s="2">
        <f>I17*(B18+Inputs!$B$78)/12</f>
        <v/>
      </c>
      <c r="K18" s="2">
        <f>MIN(H18,I17+J18)</f>
        <v/>
      </c>
      <c r="L18" s="2">
        <f>H18-K18</f>
        <v/>
      </c>
      <c r="M18" s="2">
        <f>Retention!$B$16*CashFlows!F18+Retention!$C$16*CashFlows!K18+Retention!$D$16*CashFlows!P18+Retention!$E$16*CashFlows!S18</f>
        <v/>
      </c>
      <c r="N18" s="2">
        <f>N17+O18-P18</f>
        <v/>
      </c>
      <c r="O18" s="2">
        <f>N17*(B18+Inputs!$B$78)/12</f>
        <v/>
      </c>
      <c r="P18" s="2">
        <f>MIN(M18,N17+O18)</f>
        <v/>
      </c>
      <c r="Q18" s="2">
        <f>M18-P18</f>
        <v/>
      </c>
      <c r="R18" s="2">
        <f>Retention!$B$17*CashFlows!F18+Retention!$C$17*CashFlows!K18+Retention!$D$17*CashFlows!P18+Retention!$E$17*CashFlows!S18</f>
        <v/>
      </c>
      <c r="S18" s="2">
        <f>S17+T18-U18</f>
        <v/>
      </c>
      <c r="T18" s="2">
        <f>S17*(B18+Inputs!$B$78)/12</f>
        <v/>
      </c>
      <c r="U18" s="2">
        <f>MIN(R18,S17+T18)</f>
        <v/>
      </c>
      <c r="V18" s="2">
        <f>R18-U18</f>
        <v/>
      </c>
      <c r="W18" s="2">
        <f>Retention!$B$18*CashFlows!F18+Retention!$C$18*CashFlows!K18+Retention!$D$18*CashFlows!P18+Retention!$E$18*CashFlows!S18</f>
        <v/>
      </c>
      <c r="X18" s="2">
        <f>X17+Y18-Z18</f>
        <v/>
      </c>
      <c r="Y18" s="2">
        <f>X17*(B18+Inputs!$B$78)/12</f>
        <v/>
      </c>
      <c r="Z18" s="2">
        <f>MIN(W18,X17+Y18)</f>
        <v/>
      </c>
      <c r="AA18" s="2">
        <f>W18-Z18</f>
        <v/>
      </c>
      <c r="AB18" s="2">
        <f>Retention!$B$19*CashFlows!F18+Retention!$C$19*CashFlows!K18+Retention!$D$19*CashFlows!P18+Retention!$E$19*CashFlows!S18</f>
        <v/>
      </c>
      <c r="AC18" s="2">
        <f>AC17+AD18-AE18</f>
        <v/>
      </c>
      <c r="AD18" s="2">
        <f>AC17*(B18+Inputs!$B$78)/12</f>
        <v/>
      </c>
      <c r="AE18" s="2">
        <f>MIN(AB18,AC17+AD18)</f>
        <v/>
      </c>
      <c r="AF18" s="2">
        <f>AB18-AE18</f>
        <v/>
      </c>
    </row>
    <row r="19">
      <c r="A19" s="7" t="n">
        <v>14</v>
      </c>
      <c r="B19" s="3">
        <f>Pool!B19</f>
        <v/>
      </c>
      <c r="C19" s="8">
        <f>C18/(1+(B19+Inputs!$B$64)/12)</f>
        <v/>
      </c>
      <c r="D19" s="8">
        <f>D18/(1+(B19+Inputs!$B$65)/12)</f>
        <v/>
      </c>
      <c r="E19" s="8">
        <f>E18/(1+(B19+Inputs!$B$66)/12)</f>
        <v/>
      </c>
      <c r="F19" s="8">
        <f>F18/(1+(B19+Inputs!$B$67)/12)</f>
        <v/>
      </c>
      <c r="G19" s="8">
        <f>G18/(1+(B19+Inputs!$B$78)/12)</f>
        <v/>
      </c>
      <c r="H19" s="2">
        <f>Retention!$B$15*CashFlows!F19+Retention!$C$15*CashFlows!K19+Retention!$D$15*CashFlows!P19+Retention!$E$15*CashFlows!S19</f>
        <v/>
      </c>
      <c r="I19" s="2">
        <f>I18+J19-K19</f>
        <v/>
      </c>
      <c r="J19" s="2">
        <f>I18*(B19+Inputs!$B$78)/12</f>
        <v/>
      </c>
      <c r="K19" s="2">
        <f>MIN(H19,I18+J19)</f>
        <v/>
      </c>
      <c r="L19" s="2">
        <f>H19-K19</f>
        <v/>
      </c>
      <c r="M19" s="2">
        <f>Retention!$B$16*CashFlows!F19+Retention!$C$16*CashFlows!K19+Retention!$D$16*CashFlows!P19+Retention!$E$16*CashFlows!S19</f>
        <v/>
      </c>
      <c r="N19" s="2">
        <f>N18+O19-P19</f>
        <v/>
      </c>
      <c r="O19" s="2">
        <f>N18*(B19+Inputs!$B$78)/12</f>
        <v/>
      </c>
      <c r="P19" s="2">
        <f>MIN(M19,N18+O19)</f>
        <v/>
      </c>
      <c r="Q19" s="2">
        <f>M19-P19</f>
        <v/>
      </c>
      <c r="R19" s="2">
        <f>Retention!$B$17*CashFlows!F19+Retention!$C$17*CashFlows!K19+Retention!$D$17*CashFlows!P19+Retention!$E$17*CashFlows!S19</f>
        <v/>
      </c>
      <c r="S19" s="2">
        <f>S18+T19-U19</f>
        <v/>
      </c>
      <c r="T19" s="2">
        <f>S18*(B19+Inputs!$B$78)/12</f>
        <v/>
      </c>
      <c r="U19" s="2">
        <f>MIN(R19,S18+T19)</f>
        <v/>
      </c>
      <c r="V19" s="2">
        <f>R19-U19</f>
        <v/>
      </c>
      <c r="W19" s="2">
        <f>Retention!$B$18*CashFlows!F19+Retention!$C$18*CashFlows!K19+Retention!$D$18*CashFlows!P19+Retention!$E$18*CashFlows!S19</f>
        <v/>
      </c>
      <c r="X19" s="2">
        <f>X18+Y19-Z19</f>
        <v/>
      </c>
      <c r="Y19" s="2">
        <f>X18*(B19+Inputs!$B$78)/12</f>
        <v/>
      </c>
      <c r="Z19" s="2">
        <f>MIN(W19,X18+Y19)</f>
        <v/>
      </c>
      <c r="AA19" s="2">
        <f>W19-Z19</f>
        <v/>
      </c>
      <c r="AB19" s="2">
        <f>Retention!$B$19*CashFlows!F19+Retention!$C$19*CashFlows!K19+Retention!$D$19*CashFlows!P19+Retention!$E$19*CashFlows!S19</f>
        <v/>
      </c>
      <c r="AC19" s="2">
        <f>AC18+AD19-AE19</f>
        <v/>
      </c>
      <c r="AD19" s="2">
        <f>AC18*(B19+Inputs!$B$78)/12</f>
        <v/>
      </c>
      <c r="AE19" s="2">
        <f>MIN(AB19,AC18+AD19)</f>
        <v/>
      </c>
      <c r="AF19" s="2">
        <f>AB19-AE19</f>
        <v/>
      </c>
    </row>
    <row r="20">
      <c r="A20" s="7" t="n">
        <v>15</v>
      </c>
      <c r="B20" s="3">
        <f>Pool!B20</f>
        <v/>
      </c>
      <c r="C20" s="8">
        <f>C19/(1+(B20+Inputs!$B$64)/12)</f>
        <v/>
      </c>
      <c r="D20" s="8">
        <f>D19/(1+(B20+Inputs!$B$65)/12)</f>
        <v/>
      </c>
      <c r="E20" s="8">
        <f>E19/(1+(B20+Inputs!$B$66)/12)</f>
        <v/>
      </c>
      <c r="F20" s="8">
        <f>F19/(1+(B20+Inputs!$B$67)/12)</f>
        <v/>
      </c>
      <c r="G20" s="8">
        <f>G19/(1+(B20+Inputs!$B$78)/12)</f>
        <v/>
      </c>
      <c r="H20" s="2">
        <f>Retention!$B$15*CashFlows!F20+Retention!$C$15*CashFlows!K20+Retention!$D$15*CashFlows!P20+Retention!$E$15*CashFlows!S20</f>
        <v/>
      </c>
      <c r="I20" s="2">
        <f>I19+J20-K20</f>
        <v/>
      </c>
      <c r="J20" s="2">
        <f>I19*(B20+Inputs!$B$78)/12</f>
        <v/>
      </c>
      <c r="K20" s="2">
        <f>MIN(H20,I19+J20)</f>
        <v/>
      </c>
      <c r="L20" s="2">
        <f>H20-K20</f>
        <v/>
      </c>
      <c r="M20" s="2">
        <f>Retention!$B$16*CashFlows!F20+Retention!$C$16*CashFlows!K20+Retention!$D$16*CashFlows!P20+Retention!$E$16*CashFlows!S20</f>
        <v/>
      </c>
      <c r="N20" s="2">
        <f>N19+O20-P20</f>
        <v/>
      </c>
      <c r="O20" s="2">
        <f>N19*(B20+Inputs!$B$78)/12</f>
        <v/>
      </c>
      <c r="P20" s="2">
        <f>MIN(M20,N19+O20)</f>
        <v/>
      </c>
      <c r="Q20" s="2">
        <f>M20-P20</f>
        <v/>
      </c>
      <c r="R20" s="2">
        <f>Retention!$B$17*CashFlows!F20+Retention!$C$17*CashFlows!K20+Retention!$D$17*CashFlows!P20+Retention!$E$17*CashFlows!S20</f>
        <v/>
      </c>
      <c r="S20" s="2">
        <f>S19+T20-U20</f>
        <v/>
      </c>
      <c r="T20" s="2">
        <f>S19*(B20+Inputs!$B$78)/12</f>
        <v/>
      </c>
      <c r="U20" s="2">
        <f>MIN(R20,S19+T20)</f>
        <v/>
      </c>
      <c r="V20" s="2">
        <f>R20-U20</f>
        <v/>
      </c>
      <c r="W20" s="2">
        <f>Retention!$B$18*CashFlows!F20+Retention!$C$18*CashFlows!K20+Retention!$D$18*CashFlows!P20+Retention!$E$18*CashFlows!S20</f>
        <v/>
      </c>
      <c r="X20" s="2">
        <f>X19+Y20-Z20</f>
        <v/>
      </c>
      <c r="Y20" s="2">
        <f>X19*(B20+Inputs!$B$78)/12</f>
        <v/>
      </c>
      <c r="Z20" s="2">
        <f>MIN(W20,X19+Y20)</f>
        <v/>
      </c>
      <c r="AA20" s="2">
        <f>W20-Z20</f>
        <v/>
      </c>
      <c r="AB20" s="2">
        <f>Retention!$B$19*CashFlows!F20+Retention!$C$19*CashFlows!K20+Retention!$D$19*CashFlows!P20+Retention!$E$19*CashFlows!S20</f>
        <v/>
      </c>
      <c r="AC20" s="2">
        <f>AC19+AD20-AE20</f>
        <v/>
      </c>
      <c r="AD20" s="2">
        <f>AC19*(B20+Inputs!$B$78)/12</f>
        <v/>
      </c>
      <c r="AE20" s="2">
        <f>MIN(AB20,AC19+AD20)</f>
        <v/>
      </c>
      <c r="AF20" s="2">
        <f>AB20-AE20</f>
        <v/>
      </c>
    </row>
    <row r="21">
      <c r="A21" s="7" t="n">
        <v>16</v>
      </c>
      <c r="B21" s="3">
        <f>Pool!B21</f>
        <v/>
      </c>
      <c r="C21" s="8">
        <f>C20/(1+(B21+Inputs!$B$64)/12)</f>
        <v/>
      </c>
      <c r="D21" s="8">
        <f>D20/(1+(B21+Inputs!$B$65)/12)</f>
        <v/>
      </c>
      <c r="E21" s="8">
        <f>E20/(1+(B21+Inputs!$B$66)/12)</f>
        <v/>
      </c>
      <c r="F21" s="8">
        <f>F20/(1+(B21+Inputs!$B$67)/12)</f>
        <v/>
      </c>
      <c r="G21" s="8">
        <f>G20/(1+(B21+Inputs!$B$78)/12)</f>
        <v/>
      </c>
      <c r="H21" s="2">
        <f>Retention!$B$15*CashFlows!F21+Retention!$C$15*CashFlows!K21+Retention!$D$15*CashFlows!P21+Retention!$E$15*CashFlows!S21</f>
        <v/>
      </c>
      <c r="I21" s="2">
        <f>I20+J21-K21</f>
        <v/>
      </c>
      <c r="J21" s="2">
        <f>I20*(B21+Inputs!$B$78)/12</f>
        <v/>
      </c>
      <c r="K21" s="2">
        <f>MIN(H21,I20+J21)</f>
        <v/>
      </c>
      <c r="L21" s="2">
        <f>H21-K21</f>
        <v/>
      </c>
      <c r="M21" s="2">
        <f>Retention!$B$16*CashFlows!F21+Retention!$C$16*CashFlows!K21+Retention!$D$16*CashFlows!P21+Retention!$E$16*CashFlows!S21</f>
        <v/>
      </c>
      <c r="N21" s="2">
        <f>N20+O21-P21</f>
        <v/>
      </c>
      <c r="O21" s="2">
        <f>N20*(B21+Inputs!$B$78)/12</f>
        <v/>
      </c>
      <c r="P21" s="2">
        <f>MIN(M21,N20+O21)</f>
        <v/>
      </c>
      <c r="Q21" s="2">
        <f>M21-P21</f>
        <v/>
      </c>
      <c r="R21" s="2">
        <f>Retention!$B$17*CashFlows!F21+Retention!$C$17*CashFlows!K21+Retention!$D$17*CashFlows!P21+Retention!$E$17*CashFlows!S21</f>
        <v/>
      </c>
      <c r="S21" s="2">
        <f>S20+T21-U21</f>
        <v/>
      </c>
      <c r="T21" s="2">
        <f>S20*(B21+Inputs!$B$78)/12</f>
        <v/>
      </c>
      <c r="U21" s="2">
        <f>MIN(R21,S20+T21)</f>
        <v/>
      </c>
      <c r="V21" s="2">
        <f>R21-U21</f>
        <v/>
      </c>
      <c r="W21" s="2">
        <f>Retention!$B$18*CashFlows!F21+Retention!$C$18*CashFlows!K21+Retention!$D$18*CashFlows!P21+Retention!$E$18*CashFlows!S21</f>
        <v/>
      </c>
      <c r="X21" s="2">
        <f>X20+Y21-Z21</f>
        <v/>
      </c>
      <c r="Y21" s="2">
        <f>X20*(B21+Inputs!$B$78)/12</f>
        <v/>
      </c>
      <c r="Z21" s="2">
        <f>MIN(W21,X20+Y21)</f>
        <v/>
      </c>
      <c r="AA21" s="2">
        <f>W21-Z21</f>
        <v/>
      </c>
      <c r="AB21" s="2">
        <f>Retention!$B$19*CashFlows!F21+Retention!$C$19*CashFlows!K21+Retention!$D$19*CashFlows!P21+Retention!$E$19*CashFlows!S21</f>
        <v/>
      </c>
      <c r="AC21" s="2">
        <f>AC20+AD21-AE21</f>
        <v/>
      </c>
      <c r="AD21" s="2">
        <f>AC20*(B21+Inputs!$B$78)/12</f>
        <v/>
      </c>
      <c r="AE21" s="2">
        <f>MIN(AB21,AC20+AD21)</f>
        <v/>
      </c>
      <c r="AF21" s="2">
        <f>AB21-AE21</f>
        <v/>
      </c>
    </row>
    <row r="22">
      <c r="A22" s="7" t="n">
        <v>17</v>
      </c>
      <c r="B22" s="3">
        <f>Pool!B22</f>
        <v/>
      </c>
      <c r="C22" s="8">
        <f>C21/(1+(B22+Inputs!$B$64)/12)</f>
        <v/>
      </c>
      <c r="D22" s="8">
        <f>D21/(1+(B22+Inputs!$B$65)/12)</f>
        <v/>
      </c>
      <c r="E22" s="8">
        <f>E21/(1+(B22+Inputs!$B$66)/12)</f>
        <v/>
      </c>
      <c r="F22" s="8">
        <f>F21/(1+(B22+Inputs!$B$67)/12)</f>
        <v/>
      </c>
      <c r="G22" s="8">
        <f>G21/(1+(B22+Inputs!$B$78)/12)</f>
        <v/>
      </c>
      <c r="H22" s="2">
        <f>Retention!$B$15*CashFlows!F22+Retention!$C$15*CashFlows!K22+Retention!$D$15*CashFlows!P22+Retention!$E$15*CashFlows!S22</f>
        <v/>
      </c>
      <c r="I22" s="2">
        <f>I21+J22-K22</f>
        <v/>
      </c>
      <c r="J22" s="2">
        <f>I21*(B22+Inputs!$B$78)/12</f>
        <v/>
      </c>
      <c r="K22" s="2">
        <f>MIN(H22,I21+J22)</f>
        <v/>
      </c>
      <c r="L22" s="2">
        <f>H22-K22</f>
        <v/>
      </c>
      <c r="M22" s="2">
        <f>Retention!$B$16*CashFlows!F22+Retention!$C$16*CashFlows!K22+Retention!$D$16*CashFlows!P22+Retention!$E$16*CashFlows!S22</f>
        <v/>
      </c>
      <c r="N22" s="2">
        <f>N21+O22-P22</f>
        <v/>
      </c>
      <c r="O22" s="2">
        <f>N21*(B22+Inputs!$B$78)/12</f>
        <v/>
      </c>
      <c r="P22" s="2">
        <f>MIN(M22,N21+O22)</f>
        <v/>
      </c>
      <c r="Q22" s="2">
        <f>M22-P22</f>
        <v/>
      </c>
      <c r="R22" s="2">
        <f>Retention!$B$17*CashFlows!F22+Retention!$C$17*CashFlows!K22+Retention!$D$17*CashFlows!P22+Retention!$E$17*CashFlows!S22</f>
        <v/>
      </c>
      <c r="S22" s="2">
        <f>S21+T22-U22</f>
        <v/>
      </c>
      <c r="T22" s="2">
        <f>S21*(B22+Inputs!$B$78)/12</f>
        <v/>
      </c>
      <c r="U22" s="2">
        <f>MIN(R22,S21+T22)</f>
        <v/>
      </c>
      <c r="V22" s="2">
        <f>R22-U22</f>
        <v/>
      </c>
      <c r="W22" s="2">
        <f>Retention!$B$18*CashFlows!F22+Retention!$C$18*CashFlows!K22+Retention!$D$18*CashFlows!P22+Retention!$E$18*CashFlows!S22</f>
        <v/>
      </c>
      <c r="X22" s="2">
        <f>X21+Y22-Z22</f>
        <v/>
      </c>
      <c r="Y22" s="2">
        <f>X21*(B22+Inputs!$B$78)/12</f>
        <v/>
      </c>
      <c r="Z22" s="2">
        <f>MIN(W22,X21+Y22)</f>
        <v/>
      </c>
      <c r="AA22" s="2">
        <f>W22-Z22</f>
        <v/>
      </c>
      <c r="AB22" s="2">
        <f>Retention!$B$19*CashFlows!F22+Retention!$C$19*CashFlows!K22+Retention!$D$19*CashFlows!P22+Retention!$E$19*CashFlows!S22</f>
        <v/>
      </c>
      <c r="AC22" s="2">
        <f>AC21+AD22-AE22</f>
        <v/>
      </c>
      <c r="AD22" s="2">
        <f>AC21*(B22+Inputs!$B$78)/12</f>
        <v/>
      </c>
      <c r="AE22" s="2">
        <f>MIN(AB22,AC21+AD22)</f>
        <v/>
      </c>
      <c r="AF22" s="2">
        <f>AB22-AE22</f>
        <v/>
      </c>
    </row>
    <row r="23">
      <c r="A23" s="7" t="n">
        <v>18</v>
      </c>
      <c r="B23" s="3">
        <f>Pool!B23</f>
        <v/>
      </c>
      <c r="C23" s="8">
        <f>C22/(1+(B23+Inputs!$B$64)/12)</f>
        <v/>
      </c>
      <c r="D23" s="8">
        <f>D22/(1+(B23+Inputs!$B$65)/12)</f>
        <v/>
      </c>
      <c r="E23" s="8">
        <f>E22/(1+(B23+Inputs!$B$66)/12)</f>
        <v/>
      </c>
      <c r="F23" s="8">
        <f>F22/(1+(B23+Inputs!$B$67)/12)</f>
        <v/>
      </c>
      <c r="G23" s="8">
        <f>G22/(1+(B23+Inputs!$B$78)/12)</f>
        <v/>
      </c>
      <c r="H23" s="2">
        <f>Retention!$B$15*CashFlows!F23+Retention!$C$15*CashFlows!K23+Retention!$D$15*CashFlows!P23+Retention!$E$15*CashFlows!S23</f>
        <v/>
      </c>
      <c r="I23" s="2">
        <f>I22+J23-K23</f>
        <v/>
      </c>
      <c r="J23" s="2">
        <f>I22*(B23+Inputs!$B$78)/12</f>
        <v/>
      </c>
      <c r="K23" s="2">
        <f>MIN(H23,I22+J23)</f>
        <v/>
      </c>
      <c r="L23" s="2">
        <f>H23-K23</f>
        <v/>
      </c>
      <c r="M23" s="2">
        <f>Retention!$B$16*CashFlows!F23+Retention!$C$16*CashFlows!K23+Retention!$D$16*CashFlows!P23+Retention!$E$16*CashFlows!S23</f>
        <v/>
      </c>
      <c r="N23" s="2">
        <f>N22+O23-P23</f>
        <v/>
      </c>
      <c r="O23" s="2">
        <f>N22*(B23+Inputs!$B$78)/12</f>
        <v/>
      </c>
      <c r="P23" s="2">
        <f>MIN(M23,N22+O23)</f>
        <v/>
      </c>
      <c r="Q23" s="2">
        <f>M23-P23</f>
        <v/>
      </c>
      <c r="R23" s="2">
        <f>Retention!$B$17*CashFlows!F23+Retention!$C$17*CashFlows!K23+Retention!$D$17*CashFlows!P23+Retention!$E$17*CashFlows!S23</f>
        <v/>
      </c>
      <c r="S23" s="2">
        <f>S22+T23-U23</f>
        <v/>
      </c>
      <c r="T23" s="2">
        <f>S22*(B23+Inputs!$B$78)/12</f>
        <v/>
      </c>
      <c r="U23" s="2">
        <f>MIN(R23,S22+T23)</f>
        <v/>
      </c>
      <c r="V23" s="2">
        <f>R23-U23</f>
        <v/>
      </c>
      <c r="W23" s="2">
        <f>Retention!$B$18*CashFlows!F23+Retention!$C$18*CashFlows!K23+Retention!$D$18*CashFlows!P23+Retention!$E$18*CashFlows!S23</f>
        <v/>
      </c>
      <c r="X23" s="2">
        <f>X22+Y23-Z23</f>
        <v/>
      </c>
      <c r="Y23" s="2">
        <f>X22*(B23+Inputs!$B$78)/12</f>
        <v/>
      </c>
      <c r="Z23" s="2">
        <f>MIN(W23,X22+Y23)</f>
        <v/>
      </c>
      <c r="AA23" s="2">
        <f>W23-Z23</f>
        <v/>
      </c>
      <c r="AB23" s="2">
        <f>Retention!$B$19*CashFlows!F23+Retention!$C$19*CashFlows!K23+Retention!$D$19*CashFlows!P23+Retention!$E$19*CashFlows!S23</f>
        <v/>
      </c>
      <c r="AC23" s="2">
        <f>AC22+AD23-AE23</f>
        <v/>
      </c>
      <c r="AD23" s="2">
        <f>AC22*(B23+Inputs!$B$78)/12</f>
        <v/>
      </c>
      <c r="AE23" s="2">
        <f>MIN(AB23,AC22+AD23)</f>
        <v/>
      </c>
      <c r="AF23" s="2">
        <f>AB23-AE23</f>
        <v/>
      </c>
    </row>
    <row r="24">
      <c r="A24" s="7" t="n">
        <v>19</v>
      </c>
      <c r="B24" s="3">
        <f>Pool!B24</f>
        <v/>
      </c>
      <c r="C24" s="8">
        <f>C23/(1+(B24+Inputs!$B$64)/12)</f>
        <v/>
      </c>
      <c r="D24" s="8">
        <f>D23/(1+(B24+Inputs!$B$65)/12)</f>
        <v/>
      </c>
      <c r="E24" s="8">
        <f>E23/(1+(B24+Inputs!$B$66)/12)</f>
        <v/>
      </c>
      <c r="F24" s="8">
        <f>F23/(1+(B24+Inputs!$B$67)/12)</f>
        <v/>
      </c>
      <c r="G24" s="8">
        <f>G23/(1+(B24+Inputs!$B$78)/12)</f>
        <v/>
      </c>
      <c r="H24" s="2">
        <f>Retention!$B$15*CashFlows!F24+Retention!$C$15*CashFlows!K24+Retention!$D$15*CashFlows!P24+Retention!$E$15*CashFlows!S24</f>
        <v/>
      </c>
      <c r="I24" s="2">
        <f>I23+J24-K24</f>
        <v/>
      </c>
      <c r="J24" s="2">
        <f>I23*(B24+Inputs!$B$78)/12</f>
        <v/>
      </c>
      <c r="K24" s="2">
        <f>MIN(H24,I23+J24)</f>
        <v/>
      </c>
      <c r="L24" s="2">
        <f>H24-K24</f>
        <v/>
      </c>
      <c r="M24" s="2">
        <f>Retention!$B$16*CashFlows!F24+Retention!$C$16*CashFlows!K24+Retention!$D$16*CashFlows!P24+Retention!$E$16*CashFlows!S24</f>
        <v/>
      </c>
      <c r="N24" s="2">
        <f>N23+O24-P24</f>
        <v/>
      </c>
      <c r="O24" s="2">
        <f>N23*(B24+Inputs!$B$78)/12</f>
        <v/>
      </c>
      <c r="P24" s="2">
        <f>MIN(M24,N23+O24)</f>
        <v/>
      </c>
      <c r="Q24" s="2">
        <f>M24-P24</f>
        <v/>
      </c>
      <c r="R24" s="2">
        <f>Retention!$B$17*CashFlows!F24+Retention!$C$17*CashFlows!K24+Retention!$D$17*CashFlows!P24+Retention!$E$17*CashFlows!S24</f>
        <v/>
      </c>
      <c r="S24" s="2">
        <f>S23+T24-U24</f>
        <v/>
      </c>
      <c r="T24" s="2">
        <f>S23*(B24+Inputs!$B$78)/12</f>
        <v/>
      </c>
      <c r="U24" s="2">
        <f>MIN(R24,S23+T24)</f>
        <v/>
      </c>
      <c r="V24" s="2">
        <f>R24-U24</f>
        <v/>
      </c>
      <c r="W24" s="2">
        <f>Retention!$B$18*CashFlows!F24+Retention!$C$18*CashFlows!K24+Retention!$D$18*CashFlows!P24+Retention!$E$18*CashFlows!S24</f>
        <v/>
      </c>
      <c r="X24" s="2">
        <f>X23+Y24-Z24</f>
        <v/>
      </c>
      <c r="Y24" s="2">
        <f>X23*(B24+Inputs!$B$78)/12</f>
        <v/>
      </c>
      <c r="Z24" s="2">
        <f>MIN(W24,X23+Y24)</f>
        <v/>
      </c>
      <c r="AA24" s="2">
        <f>W24-Z24</f>
        <v/>
      </c>
      <c r="AB24" s="2">
        <f>Retention!$B$19*CashFlows!F24+Retention!$C$19*CashFlows!K24+Retention!$D$19*CashFlows!P24+Retention!$E$19*CashFlows!S24</f>
        <v/>
      </c>
      <c r="AC24" s="2">
        <f>AC23+AD24-AE24</f>
        <v/>
      </c>
      <c r="AD24" s="2">
        <f>AC23*(B24+Inputs!$B$78)/12</f>
        <v/>
      </c>
      <c r="AE24" s="2">
        <f>MIN(AB24,AC23+AD24)</f>
        <v/>
      </c>
      <c r="AF24" s="2">
        <f>AB24-AE24</f>
        <v/>
      </c>
    </row>
    <row r="25">
      <c r="A25" s="7" t="n">
        <v>20</v>
      </c>
      <c r="B25" s="3">
        <f>Pool!B25</f>
        <v/>
      </c>
      <c r="C25" s="8">
        <f>C24/(1+(B25+Inputs!$B$64)/12)</f>
        <v/>
      </c>
      <c r="D25" s="8">
        <f>D24/(1+(B25+Inputs!$B$65)/12)</f>
        <v/>
      </c>
      <c r="E25" s="8">
        <f>E24/(1+(B25+Inputs!$B$66)/12)</f>
        <v/>
      </c>
      <c r="F25" s="8">
        <f>F24/(1+(B25+Inputs!$B$67)/12)</f>
        <v/>
      </c>
      <c r="G25" s="8">
        <f>G24/(1+(B25+Inputs!$B$78)/12)</f>
        <v/>
      </c>
      <c r="H25" s="2">
        <f>Retention!$B$15*CashFlows!F25+Retention!$C$15*CashFlows!K25+Retention!$D$15*CashFlows!P25+Retention!$E$15*CashFlows!S25</f>
        <v/>
      </c>
      <c r="I25" s="2">
        <f>I24+J25-K25</f>
        <v/>
      </c>
      <c r="J25" s="2">
        <f>I24*(B25+Inputs!$B$78)/12</f>
        <v/>
      </c>
      <c r="K25" s="2">
        <f>MIN(H25,I24+J25)</f>
        <v/>
      </c>
      <c r="L25" s="2">
        <f>H25-K25</f>
        <v/>
      </c>
      <c r="M25" s="2">
        <f>Retention!$B$16*CashFlows!F25+Retention!$C$16*CashFlows!K25+Retention!$D$16*CashFlows!P25+Retention!$E$16*CashFlows!S25</f>
        <v/>
      </c>
      <c r="N25" s="2">
        <f>N24+O25-P25</f>
        <v/>
      </c>
      <c r="O25" s="2">
        <f>N24*(B25+Inputs!$B$78)/12</f>
        <v/>
      </c>
      <c r="P25" s="2">
        <f>MIN(M25,N24+O25)</f>
        <v/>
      </c>
      <c r="Q25" s="2">
        <f>M25-P25</f>
        <v/>
      </c>
      <c r="R25" s="2">
        <f>Retention!$B$17*CashFlows!F25+Retention!$C$17*CashFlows!K25+Retention!$D$17*CashFlows!P25+Retention!$E$17*CashFlows!S25</f>
        <v/>
      </c>
      <c r="S25" s="2">
        <f>S24+T25-U25</f>
        <v/>
      </c>
      <c r="T25" s="2">
        <f>S24*(B25+Inputs!$B$78)/12</f>
        <v/>
      </c>
      <c r="U25" s="2">
        <f>MIN(R25,S24+T25)</f>
        <v/>
      </c>
      <c r="V25" s="2">
        <f>R25-U25</f>
        <v/>
      </c>
      <c r="W25" s="2">
        <f>Retention!$B$18*CashFlows!F25+Retention!$C$18*CashFlows!K25+Retention!$D$18*CashFlows!P25+Retention!$E$18*CashFlows!S25</f>
        <v/>
      </c>
      <c r="X25" s="2">
        <f>X24+Y25-Z25</f>
        <v/>
      </c>
      <c r="Y25" s="2">
        <f>X24*(B25+Inputs!$B$78)/12</f>
        <v/>
      </c>
      <c r="Z25" s="2">
        <f>MIN(W25,X24+Y25)</f>
        <v/>
      </c>
      <c r="AA25" s="2">
        <f>W25-Z25</f>
        <v/>
      </c>
      <c r="AB25" s="2">
        <f>Retention!$B$19*CashFlows!F25+Retention!$C$19*CashFlows!K25+Retention!$D$19*CashFlows!P25+Retention!$E$19*CashFlows!S25</f>
        <v/>
      </c>
      <c r="AC25" s="2">
        <f>AC24+AD25-AE25</f>
        <v/>
      </c>
      <c r="AD25" s="2">
        <f>AC24*(B25+Inputs!$B$78)/12</f>
        <v/>
      </c>
      <c r="AE25" s="2">
        <f>MIN(AB25,AC24+AD25)</f>
        <v/>
      </c>
      <c r="AF25" s="2">
        <f>AB25-AE25</f>
        <v/>
      </c>
    </row>
    <row r="26">
      <c r="A26" s="7" t="n">
        <v>21</v>
      </c>
      <c r="B26" s="3">
        <f>Pool!B26</f>
        <v/>
      </c>
      <c r="C26" s="8">
        <f>C25/(1+(B26+Inputs!$B$64)/12)</f>
        <v/>
      </c>
      <c r="D26" s="8">
        <f>D25/(1+(B26+Inputs!$B$65)/12)</f>
        <v/>
      </c>
      <c r="E26" s="8">
        <f>E25/(1+(B26+Inputs!$B$66)/12)</f>
        <v/>
      </c>
      <c r="F26" s="8">
        <f>F25/(1+(B26+Inputs!$B$67)/12)</f>
        <v/>
      </c>
      <c r="G26" s="8">
        <f>G25/(1+(B26+Inputs!$B$78)/12)</f>
        <v/>
      </c>
      <c r="H26" s="2">
        <f>Retention!$B$15*CashFlows!F26+Retention!$C$15*CashFlows!K26+Retention!$D$15*CashFlows!P26+Retention!$E$15*CashFlows!S26</f>
        <v/>
      </c>
      <c r="I26" s="2">
        <f>I25+J26-K26</f>
        <v/>
      </c>
      <c r="J26" s="2">
        <f>I25*(B26+Inputs!$B$78)/12</f>
        <v/>
      </c>
      <c r="K26" s="2">
        <f>MIN(H26,I25+J26)</f>
        <v/>
      </c>
      <c r="L26" s="2">
        <f>H26-K26</f>
        <v/>
      </c>
      <c r="M26" s="2">
        <f>Retention!$B$16*CashFlows!F26+Retention!$C$16*CashFlows!K26+Retention!$D$16*CashFlows!P26+Retention!$E$16*CashFlows!S26</f>
        <v/>
      </c>
      <c r="N26" s="2">
        <f>N25+O26-P26</f>
        <v/>
      </c>
      <c r="O26" s="2">
        <f>N25*(B26+Inputs!$B$78)/12</f>
        <v/>
      </c>
      <c r="P26" s="2">
        <f>MIN(M26,N25+O26)</f>
        <v/>
      </c>
      <c r="Q26" s="2">
        <f>M26-P26</f>
        <v/>
      </c>
      <c r="R26" s="2">
        <f>Retention!$B$17*CashFlows!F26+Retention!$C$17*CashFlows!K26+Retention!$D$17*CashFlows!P26+Retention!$E$17*CashFlows!S26</f>
        <v/>
      </c>
      <c r="S26" s="2">
        <f>S25+T26-U26</f>
        <v/>
      </c>
      <c r="T26" s="2">
        <f>S25*(B26+Inputs!$B$78)/12</f>
        <v/>
      </c>
      <c r="U26" s="2">
        <f>MIN(R26,S25+T26)</f>
        <v/>
      </c>
      <c r="V26" s="2">
        <f>R26-U26</f>
        <v/>
      </c>
      <c r="W26" s="2">
        <f>Retention!$B$18*CashFlows!F26+Retention!$C$18*CashFlows!K26+Retention!$D$18*CashFlows!P26+Retention!$E$18*CashFlows!S26</f>
        <v/>
      </c>
      <c r="X26" s="2">
        <f>X25+Y26-Z26</f>
        <v/>
      </c>
      <c r="Y26" s="2">
        <f>X25*(B26+Inputs!$B$78)/12</f>
        <v/>
      </c>
      <c r="Z26" s="2">
        <f>MIN(W26,X25+Y26)</f>
        <v/>
      </c>
      <c r="AA26" s="2">
        <f>W26-Z26</f>
        <v/>
      </c>
      <c r="AB26" s="2">
        <f>Retention!$B$19*CashFlows!F26+Retention!$C$19*CashFlows!K26+Retention!$D$19*CashFlows!P26+Retention!$E$19*CashFlows!S26</f>
        <v/>
      </c>
      <c r="AC26" s="2">
        <f>AC25+AD26-AE26</f>
        <v/>
      </c>
      <c r="AD26" s="2">
        <f>AC25*(B26+Inputs!$B$78)/12</f>
        <v/>
      </c>
      <c r="AE26" s="2">
        <f>MIN(AB26,AC25+AD26)</f>
        <v/>
      </c>
      <c r="AF26" s="2">
        <f>AB26-AE26</f>
        <v/>
      </c>
    </row>
    <row r="27">
      <c r="A27" s="7" t="n">
        <v>22</v>
      </c>
      <c r="B27" s="3">
        <f>Pool!B27</f>
        <v/>
      </c>
      <c r="C27" s="8">
        <f>C26/(1+(B27+Inputs!$B$64)/12)</f>
        <v/>
      </c>
      <c r="D27" s="8">
        <f>D26/(1+(B27+Inputs!$B$65)/12)</f>
        <v/>
      </c>
      <c r="E27" s="8">
        <f>E26/(1+(B27+Inputs!$B$66)/12)</f>
        <v/>
      </c>
      <c r="F27" s="8">
        <f>F26/(1+(B27+Inputs!$B$67)/12)</f>
        <v/>
      </c>
      <c r="G27" s="8">
        <f>G26/(1+(B27+Inputs!$B$78)/12)</f>
        <v/>
      </c>
      <c r="H27" s="2">
        <f>Retention!$B$15*CashFlows!F27+Retention!$C$15*CashFlows!K27+Retention!$D$15*CashFlows!P27+Retention!$E$15*CashFlows!S27</f>
        <v/>
      </c>
      <c r="I27" s="2">
        <f>I26+J27-K27</f>
        <v/>
      </c>
      <c r="J27" s="2">
        <f>I26*(B27+Inputs!$B$78)/12</f>
        <v/>
      </c>
      <c r="K27" s="2">
        <f>MIN(H27,I26+J27)</f>
        <v/>
      </c>
      <c r="L27" s="2">
        <f>H27-K27</f>
        <v/>
      </c>
      <c r="M27" s="2">
        <f>Retention!$B$16*CashFlows!F27+Retention!$C$16*CashFlows!K27+Retention!$D$16*CashFlows!P27+Retention!$E$16*CashFlows!S27</f>
        <v/>
      </c>
      <c r="N27" s="2">
        <f>N26+O27-P27</f>
        <v/>
      </c>
      <c r="O27" s="2">
        <f>N26*(B27+Inputs!$B$78)/12</f>
        <v/>
      </c>
      <c r="P27" s="2">
        <f>MIN(M27,N26+O27)</f>
        <v/>
      </c>
      <c r="Q27" s="2">
        <f>M27-P27</f>
        <v/>
      </c>
      <c r="R27" s="2">
        <f>Retention!$B$17*CashFlows!F27+Retention!$C$17*CashFlows!K27+Retention!$D$17*CashFlows!P27+Retention!$E$17*CashFlows!S27</f>
        <v/>
      </c>
      <c r="S27" s="2">
        <f>S26+T27-U27</f>
        <v/>
      </c>
      <c r="T27" s="2">
        <f>S26*(B27+Inputs!$B$78)/12</f>
        <v/>
      </c>
      <c r="U27" s="2">
        <f>MIN(R27,S26+T27)</f>
        <v/>
      </c>
      <c r="V27" s="2">
        <f>R27-U27</f>
        <v/>
      </c>
      <c r="W27" s="2">
        <f>Retention!$B$18*CashFlows!F27+Retention!$C$18*CashFlows!K27+Retention!$D$18*CashFlows!P27+Retention!$E$18*CashFlows!S27</f>
        <v/>
      </c>
      <c r="X27" s="2">
        <f>X26+Y27-Z27</f>
        <v/>
      </c>
      <c r="Y27" s="2">
        <f>X26*(B27+Inputs!$B$78)/12</f>
        <v/>
      </c>
      <c r="Z27" s="2">
        <f>MIN(W27,X26+Y27)</f>
        <v/>
      </c>
      <c r="AA27" s="2">
        <f>W27-Z27</f>
        <v/>
      </c>
      <c r="AB27" s="2">
        <f>Retention!$B$19*CashFlows!F27+Retention!$C$19*CashFlows!K27+Retention!$D$19*CashFlows!P27+Retention!$E$19*CashFlows!S27</f>
        <v/>
      </c>
      <c r="AC27" s="2">
        <f>AC26+AD27-AE27</f>
        <v/>
      </c>
      <c r="AD27" s="2">
        <f>AC26*(B27+Inputs!$B$78)/12</f>
        <v/>
      </c>
      <c r="AE27" s="2">
        <f>MIN(AB27,AC26+AD27)</f>
        <v/>
      </c>
      <c r="AF27" s="2">
        <f>AB27-AE27</f>
        <v/>
      </c>
    </row>
    <row r="28">
      <c r="A28" s="7" t="n">
        <v>23</v>
      </c>
      <c r="B28" s="3">
        <f>Pool!B28</f>
        <v/>
      </c>
      <c r="C28" s="8">
        <f>C27/(1+(B28+Inputs!$B$64)/12)</f>
        <v/>
      </c>
      <c r="D28" s="8">
        <f>D27/(1+(B28+Inputs!$B$65)/12)</f>
        <v/>
      </c>
      <c r="E28" s="8">
        <f>E27/(1+(B28+Inputs!$B$66)/12)</f>
        <v/>
      </c>
      <c r="F28" s="8">
        <f>F27/(1+(B28+Inputs!$B$67)/12)</f>
        <v/>
      </c>
      <c r="G28" s="8">
        <f>G27/(1+(B28+Inputs!$B$78)/12)</f>
        <v/>
      </c>
      <c r="H28" s="2">
        <f>Retention!$B$15*CashFlows!F28+Retention!$C$15*CashFlows!K28+Retention!$D$15*CashFlows!P28+Retention!$E$15*CashFlows!S28</f>
        <v/>
      </c>
      <c r="I28" s="2">
        <f>I27+J28-K28</f>
        <v/>
      </c>
      <c r="J28" s="2">
        <f>I27*(B28+Inputs!$B$78)/12</f>
        <v/>
      </c>
      <c r="K28" s="2">
        <f>MIN(H28,I27+J28)</f>
        <v/>
      </c>
      <c r="L28" s="2">
        <f>H28-K28</f>
        <v/>
      </c>
      <c r="M28" s="2">
        <f>Retention!$B$16*CashFlows!F28+Retention!$C$16*CashFlows!K28+Retention!$D$16*CashFlows!P28+Retention!$E$16*CashFlows!S28</f>
        <v/>
      </c>
      <c r="N28" s="2">
        <f>N27+O28-P28</f>
        <v/>
      </c>
      <c r="O28" s="2">
        <f>N27*(B28+Inputs!$B$78)/12</f>
        <v/>
      </c>
      <c r="P28" s="2">
        <f>MIN(M28,N27+O28)</f>
        <v/>
      </c>
      <c r="Q28" s="2">
        <f>M28-P28</f>
        <v/>
      </c>
      <c r="R28" s="2">
        <f>Retention!$B$17*CashFlows!F28+Retention!$C$17*CashFlows!K28+Retention!$D$17*CashFlows!P28+Retention!$E$17*CashFlows!S28</f>
        <v/>
      </c>
      <c r="S28" s="2">
        <f>S27+T28-U28</f>
        <v/>
      </c>
      <c r="T28" s="2">
        <f>S27*(B28+Inputs!$B$78)/12</f>
        <v/>
      </c>
      <c r="U28" s="2">
        <f>MIN(R28,S27+T28)</f>
        <v/>
      </c>
      <c r="V28" s="2">
        <f>R28-U28</f>
        <v/>
      </c>
      <c r="W28" s="2">
        <f>Retention!$B$18*CashFlows!F28+Retention!$C$18*CashFlows!K28+Retention!$D$18*CashFlows!P28+Retention!$E$18*CashFlows!S28</f>
        <v/>
      </c>
      <c r="X28" s="2">
        <f>X27+Y28-Z28</f>
        <v/>
      </c>
      <c r="Y28" s="2">
        <f>X27*(B28+Inputs!$B$78)/12</f>
        <v/>
      </c>
      <c r="Z28" s="2">
        <f>MIN(W28,X27+Y28)</f>
        <v/>
      </c>
      <c r="AA28" s="2">
        <f>W28-Z28</f>
        <v/>
      </c>
      <c r="AB28" s="2">
        <f>Retention!$B$19*CashFlows!F28+Retention!$C$19*CashFlows!K28+Retention!$D$19*CashFlows!P28+Retention!$E$19*CashFlows!S28</f>
        <v/>
      </c>
      <c r="AC28" s="2">
        <f>AC27+AD28-AE28</f>
        <v/>
      </c>
      <c r="AD28" s="2">
        <f>AC27*(B28+Inputs!$B$78)/12</f>
        <v/>
      </c>
      <c r="AE28" s="2">
        <f>MIN(AB28,AC27+AD28)</f>
        <v/>
      </c>
      <c r="AF28" s="2">
        <f>AB28-AE28</f>
        <v/>
      </c>
    </row>
    <row r="29">
      <c r="A29" s="7" t="n">
        <v>24</v>
      </c>
      <c r="B29" s="3">
        <f>Pool!B29</f>
        <v/>
      </c>
      <c r="C29" s="8">
        <f>C28/(1+(B29+Inputs!$B$64)/12)</f>
        <v/>
      </c>
      <c r="D29" s="8">
        <f>D28/(1+(B29+Inputs!$B$65)/12)</f>
        <v/>
      </c>
      <c r="E29" s="8">
        <f>E28/(1+(B29+Inputs!$B$66)/12)</f>
        <v/>
      </c>
      <c r="F29" s="8">
        <f>F28/(1+(B29+Inputs!$B$67)/12)</f>
        <v/>
      </c>
      <c r="G29" s="8">
        <f>G28/(1+(B29+Inputs!$B$78)/12)</f>
        <v/>
      </c>
      <c r="H29" s="2">
        <f>Retention!$B$15*CashFlows!F29+Retention!$C$15*CashFlows!K29+Retention!$D$15*CashFlows!P29+Retention!$E$15*CashFlows!S29</f>
        <v/>
      </c>
      <c r="I29" s="2">
        <f>I28+J29-K29</f>
        <v/>
      </c>
      <c r="J29" s="2">
        <f>I28*(B29+Inputs!$B$78)/12</f>
        <v/>
      </c>
      <c r="K29" s="2">
        <f>MIN(H29,I28+J29)</f>
        <v/>
      </c>
      <c r="L29" s="2">
        <f>H29-K29</f>
        <v/>
      </c>
      <c r="M29" s="2">
        <f>Retention!$B$16*CashFlows!F29+Retention!$C$16*CashFlows!K29+Retention!$D$16*CashFlows!P29+Retention!$E$16*CashFlows!S29</f>
        <v/>
      </c>
      <c r="N29" s="2">
        <f>N28+O29-P29</f>
        <v/>
      </c>
      <c r="O29" s="2">
        <f>N28*(B29+Inputs!$B$78)/12</f>
        <v/>
      </c>
      <c r="P29" s="2">
        <f>MIN(M29,N28+O29)</f>
        <v/>
      </c>
      <c r="Q29" s="2">
        <f>M29-P29</f>
        <v/>
      </c>
      <c r="R29" s="2">
        <f>Retention!$B$17*CashFlows!F29+Retention!$C$17*CashFlows!K29+Retention!$D$17*CashFlows!P29+Retention!$E$17*CashFlows!S29</f>
        <v/>
      </c>
      <c r="S29" s="2">
        <f>S28+T29-U29</f>
        <v/>
      </c>
      <c r="T29" s="2">
        <f>S28*(B29+Inputs!$B$78)/12</f>
        <v/>
      </c>
      <c r="U29" s="2">
        <f>MIN(R29,S28+T29)</f>
        <v/>
      </c>
      <c r="V29" s="2">
        <f>R29-U29</f>
        <v/>
      </c>
      <c r="W29" s="2">
        <f>Retention!$B$18*CashFlows!F29+Retention!$C$18*CashFlows!K29+Retention!$D$18*CashFlows!P29+Retention!$E$18*CashFlows!S29</f>
        <v/>
      </c>
      <c r="X29" s="2">
        <f>X28+Y29-Z29</f>
        <v/>
      </c>
      <c r="Y29" s="2">
        <f>X28*(B29+Inputs!$B$78)/12</f>
        <v/>
      </c>
      <c r="Z29" s="2">
        <f>MIN(W29,X28+Y29)</f>
        <v/>
      </c>
      <c r="AA29" s="2">
        <f>W29-Z29</f>
        <v/>
      </c>
      <c r="AB29" s="2">
        <f>Retention!$B$19*CashFlows!F29+Retention!$C$19*CashFlows!K29+Retention!$D$19*CashFlows!P29+Retention!$E$19*CashFlows!S29</f>
        <v/>
      </c>
      <c r="AC29" s="2">
        <f>AC28+AD29-AE29</f>
        <v/>
      </c>
      <c r="AD29" s="2">
        <f>AC28*(B29+Inputs!$B$78)/12</f>
        <v/>
      </c>
      <c r="AE29" s="2">
        <f>MIN(AB29,AC28+AD29)</f>
        <v/>
      </c>
      <c r="AF29" s="2">
        <f>AB29-AE29</f>
        <v/>
      </c>
    </row>
    <row r="30">
      <c r="A30" s="7" t="n">
        <v>25</v>
      </c>
      <c r="B30" s="3">
        <f>Pool!B30</f>
        <v/>
      </c>
      <c r="C30" s="8">
        <f>C29/(1+(B30+Inputs!$B$64)/12)</f>
        <v/>
      </c>
      <c r="D30" s="8">
        <f>D29/(1+(B30+Inputs!$B$65)/12)</f>
        <v/>
      </c>
      <c r="E30" s="8">
        <f>E29/(1+(B30+Inputs!$B$66)/12)</f>
        <v/>
      </c>
      <c r="F30" s="8">
        <f>F29/(1+(B30+Inputs!$B$67)/12)</f>
        <v/>
      </c>
      <c r="G30" s="8">
        <f>G29/(1+(B30+Inputs!$B$78)/12)</f>
        <v/>
      </c>
      <c r="H30" s="2">
        <f>Retention!$B$15*CashFlows!F30+Retention!$C$15*CashFlows!K30+Retention!$D$15*CashFlows!P30+Retention!$E$15*CashFlows!S30</f>
        <v/>
      </c>
      <c r="I30" s="2">
        <f>I29+J30-K30</f>
        <v/>
      </c>
      <c r="J30" s="2">
        <f>I29*(B30+Inputs!$B$78)/12</f>
        <v/>
      </c>
      <c r="K30" s="2">
        <f>MIN(H30,I29+J30)</f>
        <v/>
      </c>
      <c r="L30" s="2">
        <f>H30-K30</f>
        <v/>
      </c>
      <c r="M30" s="2">
        <f>Retention!$B$16*CashFlows!F30+Retention!$C$16*CashFlows!K30+Retention!$D$16*CashFlows!P30+Retention!$E$16*CashFlows!S30</f>
        <v/>
      </c>
      <c r="N30" s="2">
        <f>N29+O30-P30</f>
        <v/>
      </c>
      <c r="O30" s="2">
        <f>N29*(B30+Inputs!$B$78)/12</f>
        <v/>
      </c>
      <c r="P30" s="2">
        <f>MIN(M30,N29+O30)</f>
        <v/>
      </c>
      <c r="Q30" s="2">
        <f>M30-P30</f>
        <v/>
      </c>
      <c r="R30" s="2">
        <f>Retention!$B$17*CashFlows!F30+Retention!$C$17*CashFlows!K30+Retention!$D$17*CashFlows!P30+Retention!$E$17*CashFlows!S30</f>
        <v/>
      </c>
      <c r="S30" s="2">
        <f>S29+T30-U30</f>
        <v/>
      </c>
      <c r="T30" s="2">
        <f>S29*(B30+Inputs!$B$78)/12</f>
        <v/>
      </c>
      <c r="U30" s="2">
        <f>MIN(R30,S29+T30)</f>
        <v/>
      </c>
      <c r="V30" s="2">
        <f>R30-U30</f>
        <v/>
      </c>
      <c r="W30" s="2">
        <f>Retention!$B$18*CashFlows!F30+Retention!$C$18*CashFlows!K30+Retention!$D$18*CashFlows!P30+Retention!$E$18*CashFlows!S30</f>
        <v/>
      </c>
      <c r="X30" s="2">
        <f>X29+Y30-Z30</f>
        <v/>
      </c>
      <c r="Y30" s="2">
        <f>X29*(B30+Inputs!$B$78)/12</f>
        <v/>
      </c>
      <c r="Z30" s="2">
        <f>MIN(W30,X29+Y30)</f>
        <v/>
      </c>
      <c r="AA30" s="2">
        <f>W30-Z30</f>
        <v/>
      </c>
      <c r="AB30" s="2">
        <f>Retention!$B$19*CashFlows!F30+Retention!$C$19*CashFlows!K30+Retention!$D$19*CashFlows!P30+Retention!$E$19*CashFlows!S30</f>
        <v/>
      </c>
      <c r="AC30" s="2">
        <f>AC29+AD30-AE30</f>
        <v/>
      </c>
      <c r="AD30" s="2">
        <f>AC29*(B30+Inputs!$B$78)/12</f>
        <v/>
      </c>
      <c r="AE30" s="2">
        <f>MIN(AB30,AC29+AD30)</f>
        <v/>
      </c>
      <c r="AF30" s="2">
        <f>AB30-AE30</f>
        <v/>
      </c>
    </row>
    <row r="31">
      <c r="A31" s="7" t="n">
        <v>26</v>
      </c>
      <c r="B31" s="3">
        <f>Pool!B31</f>
        <v/>
      </c>
      <c r="C31" s="8">
        <f>C30/(1+(B31+Inputs!$B$64)/12)</f>
        <v/>
      </c>
      <c r="D31" s="8">
        <f>D30/(1+(B31+Inputs!$B$65)/12)</f>
        <v/>
      </c>
      <c r="E31" s="8">
        <f>E30/(1+(B31+Inputs!$B$66)/12)</f>
        <v/>
      </c>
      <c r="F31" s="8">
        <f>F30/(1+(B31+Inputs!$B$67)/12)</f>
        <v/>
      </c>
      <c r="G31" s="8">
        <f>G30/(1+(B31+Inputs!$B$78)/12)</f>
        <v/>
      </c>
      <c r="H31" s="2">
        <f>Retention!$B$15*CashFlows!F31+Retention!$C$15*CashFlows!K31+Retention!$D$15*CashFlows!P31+Retention!$E$15*CashFlows!S31</f>
        <v/>
      </c>
      <c r="I31" s="2">
        <f>I30+J31-K31</f>
        <v/>
      </c>
      <c r="J31" s="2">
        <f>I30*(B31+Inputs!$B$78)/12</f>
        <v/>
      </c>
      <c r="K31" s="2">
        <f>MIN(H31,I30+J31)</f>
        <v/>
      </c>
      <c r="L31" s="2">
        <f>H31-K31</f>
        <v/>
      </c>
      <c r="M31" s="2">
        <f>Retention!$B$16*CashFlows!F31+Retention!$C$16*CashFlows!K31+Retention!$D$16*CashFlows!P31+Retention!$E$16*CashFlows!S31</f>
        <v/>
      </c>
      <c r="N31" s="2">
        <f>N30+O31-P31</f>
        <v/>
      </c>
      <c r="O31" s="2">
        <f>N30*(B31+Inputs!$B$78)/12</f>
        <v/>
      </c>
      <c r="P31" s="2">
        <f>MIN(M31,N30+O31)</f>
        <v/>
      </c>
      <c r="Q31" s="2">
        <f>M31-P31</f>
        <v/>
      </c>
      <c r="R31" s="2">
        <f>Retention!$B$17*CashFlows!F31+Retention!$C$17*CashFlows!K31+Retention!$D$17*CashFlows!P31+Retention!$E$17*CashFlows!S31</f>
        <v/>
      </c>
      <c r="S31" s="2">
        <f>S30+T31-U31</f>
        <v/>
      </c>
      <c r="T31" s="2">
        <f>S30*(B31+Inputs!$B$78)/12</f>
        <v/>
      </c>
      <c r="U31" s="2">
        <f>MIN(R31,S30+T31)</f>
        <v/>
      </c>
      <c r="V31" s="2">
        <f>R31-U31</f>
        <v/>
      </c>
      <c r="W31" s="2">
        <f>Retention!$B$18*CashFlows!F31+Retention!$C$18*CashFlows!K31+Retention!$D$18*CashFlows!P31+Retention!$E$18*CashFlows!S31</f>
        <v/>
      </c>
      <c r="X31" s="2">
        <f>X30+Y31-Z31</f>
        <v/>
      </c>
      <c r="Y31" s="2">
        <f>X30*(B31+Inputs!$B$78)/12</f>
        <v/>
      </c>
      <c r="Z31" s="2">
        <f>MIN(W31,X30+Y31)</f>
        <v/>
      </c>
      <c r="AA31" s="2">
        <f>W31-Z31</f>
        <v/>
      </c>
      <c r="AB31" s="2">
        <f>Retention!$B$19*CashFlows!F31+Retention!$C$19*CashFlows!K31+Retention!$D$19*CashFlows!P31+Retention!$E$19*CashFlows!S31</f>
        <v/>
      </c>
      <c r="AC31" s="2">
        <f>AC30+AD31-AE31</f>
        <v/>
      </c>
      <c r="AD31" s="2">
        <f>AC30*(B31+Inputs!$B$78)/12</f>
        <v/>
      </c>
      <c r="AE31" s="2">
        <f>MIN(AB31,AC30+AD31)</f>
        <v/>
      </c>
      <c r="AF31" s="2">
        <f>AB31-AE31</f>
        <v/>
      </c>
    </row>
    <row r="32">
      <c r="A32" s="7" t="n">
        <v>27</v>
      </c>
      <c r="B32" s="3">
        <f>Pool!B32</f>
        <v/>
      </c>
      <c r="C32" s="8">
        <f>C31/(1+(B32+Inputs!$B$64)/12)</f>
        <v/>
      </c>
      <c r="D32" s="8">
        <f>D31/(1+(B32+Inputs!$B$65)/12)</f>
        <v/>
      </c>
      <c r="E32" s="8">
        <f>E31/(1+(B32+Inputs!$B$66)/12)</f>
        <v/>
      </c>
      <c r="F32" s="8">
        <f>F31/(1+(B32+Inputs!$B$67)/12)</f>
        <v/>
      </c>
      <c r="G32" s="8">
        <f>G31/(1+(B32+Inputs!$B$78)/12)</f>
        <v/>
      </c>
      <c r="H32" s="2">
        <f>Retention!$B$15*CashFlows!F32+Retention!$C$15*CashFlows!K32+Retention!$D$15*CashFlows!P32+Retention!$E$15*CashFlows!S32</f>
        <v/>
      </c>
      <c r="I32" s="2">
        <f>I31+J32-K32</f>
        <v/>
      </c>
      <c r="J32" s="2">
        <f>I31*(B32+Inputs!$B$78)/12</f>
        <v/>
      </c>
      <c r="K32" s="2">
        <f>MIN(H32,I31+J32)</f>
        <v/>
      </c>
      <c r="L32" s="2">
        <f>H32-K32</f>
        <v/>
      </c>
      <c r="M32" s="2">
        <f>Retention!$B$16*CashFlows!F32+Retention!$C$16*CashFlows!K32+Retention!$D$16*CashFlows!P32+Retention!$E$16*CashFlows!S32</f>
        <v/>
      </c>
      <c r="N32" s="2">
        <f>N31+O32-P32</f>
        <v/>
      </c>
      <c r="O32" s="2">
        <f>N31*(B32+Inputs!$B$78)/12</f>
        <v/>
      </c>
      <c r="P32" s="2">
        <f>MIN(M32,N31+O32)</f>
        <v/>
      </c>
      <c r="Q32" s="2">
        <f>M32-P32</f>
        <v/>
      </c>
      <c r="R32" s="2">
        <f>Retention!$B$17*CashFlows!F32+Retention!$C$17*CashFlows!K32+Retention!$D$17*CashFlows!P32+Retention!$E$17*CashFlows!S32</f>
        <v/>
      </c>
      <c r="S32" s="2">
        <f>S31+T32-U32</f>
        <v/>
      </c>
      <c r="T32" s="2">
        <f>S31*(B32+Inputs!$B$78)/12</f>
        <v/>
      </c>
      <c r="U32" s="2">
        <f>MIN(R32,S31+T32)</f>
        <v/>
      </c>
      <c r="V32" s="2">
        <f>R32-U32</f>
        <v/>
      </c>
      <c r="W32" s="2">
        <f>Retention!$B$18*CashFlows!F32+Retention!$C$18*CashFlows!K32+Retention!$D$18*CashFlows!P32+Retention!$E$18*CashFlows!S32</f>
        <v/>
      </c>
      <c r="X32" s="2">
        <f>X31+Y32-Z32</f>
        <v/>
      </c>
      <c r="Y32" s="2">
        <f>X31*(B32+Inputs!$B$78)/12</f>
        <v/>
      </c>
      <c r="Z32" s="2">
        <f>MIN(W32,X31+Y32)</f>
        <v/>
      </c>
      <c r="AA32" s="2">
        <f>W32-Z32</f>
        <v/>
      </c>
      <c r="AB32" s="2">
        <f>Retention!$B$19*CashFlows!F32+Retention!$C$19*CashFlows!K32+Retention!$D$19*CashFlows!P32+Retention!$E$19*CashFlows!S32</f>
        <v/>
      </c>
      <c r="AC32" s="2">
        <f>AC31+AD32-AE32</f>
        <v/>
      </c>
      <c r="AD32" s="2">
        <f>AC31*(B32+Inputs!$B$78)/12</f>
        <v/>
      </c>
      <c r="AE32" s="2">
        <f>MIN(AB32,AC31+AD32)</f>
        <v/>
      </c>
      <c r="AF32" s="2">
        <f>AB32-AE32</f>
        <v/>
      </c>
    </row>
    <row r="33">
      <c r="A33" s="7" t="n">
        <v>28</v>
      </c>
      <c r="B33" s="3">
        <f>Pool!B33</f>
        <v/>
      </c>
      <c r="C33" s="8">
        <f>C32/(1+(B33+Inputs!$B$64)/12)</f>
        <v/>
      </c>
      <c r="D33" s="8">
        <f>D32/(1+(B33+Inputs!$B$65)/12)</f>
        <v/>
      </c>
      <c r="E33" s="8">
        <f>E32/(1+(B33+Inputs!$B$66)/12)</f>
        <v/>
      </c>
      <c r="F33" s="8">
        <f>F32/(1+(B33+Inputs!$B$67)/12)</f>
        <v/>
      </c>
      <c r="G33" s="8">
        <f>G32/(1+(B33+Inputs!$B$78)/12)</f>
        <v/>
      </c>
      <c r="H33" s="2">
        <f>Retention!$B$15*CashFlows!F33+Retention!$C$15*CashFlows!K33+Retention!$D$15*CashFlows!P33+Retention!$E$15*CashFlows!S33</f>
        <v/>
      </c>
      <c r="I33" s="2">
        <f>I32+J33-K33</f>
        <v/>
      </c>
      <c r="J33" s="2">
        <f>I32*(B33+Inputs!$B$78)/12</f>
        <v/>
      </c>
      <c r="K33" s="2">
        <f>MIN(H33,I32+J33)</f>
        <v/>
      </c>
      <c r="L33" s="2">
        <f>H33-K33</f>
        <v/>
      </c>
      <c r="M33" s="2">
        <f>Retention!$B$16*CashFlows!F33+Retention!$C$16*CashFlows!K33+Retention!$D$16*CashFlows!P33+Retention!$E$16*CashFlows!S33</f>
        <v/>
      </c>
      <c r="N33" s="2">
        <f>N32+O33-P33</f>
        <v/>
      </c>
      <c r="O33" s="2">
        <f>N32*(B33+Inputs!$B$78)/12</f>
        <v/>
      </c>
      <c r="P33" s="2">
        <f>MIN(M33,N32+O33)</f>
        <v/>
      </c>
      <c r="Q33" s="2">
        <f>M33-P33</f>
        <v/>
      </c>
      <c r="R33" s="2">
        <f>Retention!$B$17*CashFlows!F33+Retention!$C$17*CashFlows!K33+Retention!$D$17*CashFlows!P33+Retention!$E$17*CashFlows!S33</f>
        <v/>
      </c>
      <c r="S33" s="2">
        <f>S32+T33-U33</f>
        <v/>
      </c>
      <c r="T33" s="2">
        <f>S32*(B33+Inputs!$B$78)/12</f>
        <v/>
      </c>
      <c r="U33" s="2">
        <f>MIN(R33,S32+T33)</f>
        <v/>
      </c>
      <c r="V33" s="2">
        <f>R33-U33</f>
        <v/>
      </c>
      <c r="W33" s="2">
        <f>Retention!$B$18*CashFlows!F33+Retention!$C$18*CashFlows!K33+Retention!$D$18*CashFlows!P33+Retention!$E$18*CashFlows!S33</f>
        <v/>
      </c>
      <c r="X33" s="2">
        <f>X32+Y33-Z33</f>
        <v/>
      </c>
      <c r="Y33" s="2">
        <f>X32*(B33+Inputs!$B$78)/12</f>
        <v/>
      </c>
      <c r="Z33" s="2">
        <f>MIN(W33,X32+Y33)</f>
        <v/>
      </c>
      <c r="AA33" s="2">
        <f>W33-Z33</f>
        <v/>
      </c>
      <c r="AB33" s="2">
        <f>Retention!$B$19*CashFlows!F33+Retention!$C$19*CashFlows!K33+Retention!$D$19*CashFlows!P33+Retention!$E$19*CashFlows!S33</f>
        <v/>
      </c>
      <c r="AC33" s="2">
        <f>AC32+AD33-AE33</f>
        <v/>
      </c>
      <c r="AD33" s="2">
        <f>AC32*(B33+Inputs!$B$78)/12</f>
        <v/>
      </c>
      <c r="AE33" s="2">
        <f>MIN(AB33,AC32+AD33)</f>
        <v/>
      </c>
      <c r="AF33" s="2">
        <f>AB33-AE33</f>
        <v/>
      </c>
    </row>
    <row r="34">
      <c r="A34" s="7" t="n">
        <v>29</v>
      </c>
      <c r="B34" s="3">
        <f>Pool!B34</f>
        <v/>
      </c>
      <c r="C34" s="8">
        <f>C33/(1+(B34+Inputs!$B$64)/12)</f>
        <v/>
      </c>
      <c r="D34" s="8">
        <f>D33/(1+(B34+Inputs!$B$65)/12)</f>
        <v/>
      </c>
      <c r="E34" s="8">
        <f>E33/(1+(B34+Inputs!$B$66)/12)</f>
        <v/>
      </c>
      <c r="F34" s="8">
        <f>F33/(1+(B34+Inputs!$B$67)/12)</f>
        <v/>
      </c>
      <c r="G34" s="8">
        <f>G33/(1+(B34+Inputs!$B$78)/12)</f>
        <v/>
      </c>
      <c r="H34" s="2">
        <f>Retention!$B$15*CashFlows!F34+Retention!$C$15*CashFlows!K34+Retention!$D$15*CashFlows!P34+Retention!$E$15*CashFlows!S34</f>
        <v/>
      </c>
      <c r="I34" s="2">
        <f>I33+J34-K34</f>
        <v/>
      </c>
      <c r="J34" s="2">
        <f>I33*(B34+Inputs!$B$78)/12</f>
        <v/>
      </c>
      <c r="K34" s="2">
        <f>MIN(H34,I33+J34)</f>
        <v/>
      </c>
      <c r="L34" s="2">
        <f>H34-K34</f>
        <v/>
      </c>
      <c r="M34" s="2">
        <f>Retention!$B$16*CashFlows!F34+Retention!$C$16*CashFlows!K34+Retention!$D$16*CashFlows!P34+Retention!$E$16*CashFlows!S34</f>
        <v/>
      </c>
      <c r="N34" s="2">
        <f>N33+O34-P34</f>
        <v/>
      </c>
      <c r="O34" s="2">
        <f>N33*(B34+Inputs!$B$78)/12</f>
        <v/>
      </c>
      <c r="P34" s="2">
        <f>MIN(M34,N33+O34)</f>
        <v/>
      </c>
      <c r="Q34" s="2">
        <f>M34-P34</f>
        <v/>
      </c>
      <c r="R34" s="2">
        <f>Retention!$B$17*CashFlows!F34+Retention!$C$17*CashFlows!K34+Retention!$D$17*CashFlows!P34+Retention!$E$17*CashFlows!S34</f>
        <v/>
      </c>
      <c r="S34" s="2">
        <f>S33+T34-U34</f>
        <v/>
      </c>
      <c r="T34" s="2">
        <f>S33*(B34+Inputs!$B$78)/12</f>
        <v/>
      </c>
      <c r="U34" s="2">
        <f>MIN(R34,S33+T34)</f>
        <v/>
      </c>
      <c r="V34" s="2">
        <f>R34-U34</f>
        <v/>
      </c>
      <c r="W34" s="2">
        <f>Retention!$B$18*CashFlows!F34+Retention!$C$18*CashFlows!K34+Retention!$D$18*CashFlows!P34+Retention!$E$18*CashFlows!S34</f>
        <v/>
      </c>
      <c r="X34" s="2">
        <f>X33+Y34-Z34</f>
        <v/>
      </c>
      <c r="Y34" s="2">
        <f>X33*(B34+Inputs!$B$78)/12</f>
        <v/>
      </c>
      <c r="Z34" s="2">
        <f>MIN(W34,X33+Y34)</f>
        <v/>
      </c>
      <c r="AA34" s="2">
        <f>W34-Z34</f>
        <v/>
      </c>
      <c r="AB34" s="2">
        <f>Retention!$B$19*CashFlows!F34+Retention!$C$19*CashFlows!K34+Retention!$D$19*CashFlows!P34+Retention!$E$19*CashFlows!S34</f>
        <v/>
      </c>
      <c r="AC34" s="2">
        <f>AC33+AD34-AE34</f>
        <v/>
      </c>
      <c r="AD34" s="2">
        <f>AC33*(B34+Inputs!$B$78)/12</f>
        <v/>
      </c>
      <c r="AE34" s="2">
        <f>MIN(AB34,AC33+AD34)</f>
        <v/>
      </c>
      <c r="AF34" s="2">
        <f>AB34-AE34</f>
        <v/>
      </c>
    </row>
    <row r="35">
      <c r="A35" s="7" t="n">
        <v>30</v>
      </c>
      <c r="B35" s="3">
        <f>Pool!B35</f>
        <v/>
      </c>
      <c r="C35" s="8">
        <f>C34/(1+(B35+Inputs!$B$64)/12)</f>
        <v/>
      </c>
      <c r="D35" s="8">
        <f>D34/(1+(B35+Inputs!$B$65)/12)</f>
        <v/>
      </c>
      <c r="E35" s="8">
        <f>E34/(1+(B35+Inputs!$B$66)/12)</f>
        <v/>
      </c>
      <c r="F35" s="8">
        <f>F34/(1+(B35+Inputs!$B$67)/12)</f>
        <v/>
      </c>
      <c r="G35" s="8">
        <f>G34/(1+(B35+Inputs!$B$78)/12)</f>
        <v/>
      </c>
      <c r="H35" s="2">
        <f>Retention!$B$15*CashFlows!F35+Retention!$C$15*CashFlows!K35+Retention!$D$15*CashFlows!P35+Retention!$E$15*CashFlows!S35</f>
        <v/>
      </c>
      <c r="I35" s="2">
        <f>I34+J35-K35</f>
        <v/>
      </c>
      <c r="J35" s="2">
        <f>I34*(B35+Inputs!$B$78)/12</f>
        <v/>
      </c>
      <c r="K35" s="2">
        <f>MIN(H35,I34+J35)</f>
        <v/>
      </c>
      <c r="L35" s="2">
        <f>H35-K35</f>
        <v/>
      </c>
      <c r="M35" s="2">
        <f>Retention!$B$16*CashFlows!F35+Retention!$C$16*CashFlows!K35+Retention!$D$16*CashFlows!P35+Retention!$E$16*CashFlows!S35</f>
        <v/>
      </c>
      <c r="N35" s="2">
        <f>N34+O35-P35</f>
        <v/>
      </c>
      <c r="O35" s="2">
        <f>N34*(B35+Inputs!$B$78)/12</f>
        <v/>
      </c>
      <c r="P35" s="2">
        <f>MIN(M35,N34+O35)</f>
        <v/>
      </c>
      <c r="Q35" s="2">
        <f>M35-P35</f>
        <v/>
      </c>
      <c r="R35" s="2">
        <f>Retention!$B$17*CashFlows!F35+Retention!$C$17*CashFlows!K35+Retention!$D$17*CashFlows!P35+Retention!$E$17*CashFlows!S35</f>
        <v/>
      </c>
      <c r="S35" s="2">
        <f>S34+T35-U35</f>
        <v/>
      </c>
      <c r="T35" s="2">
        <f>S34*(B35+Inputs!$B$78)/12</f>
        <v/>
      </c>
      <c r="U35" s="2">
        <f>MIN(R35,S34+T35)</f>
        <v/>
      </c>
      <c r="V35" s="2">
        <f>R35-U35</f>
        <v/>
      </c>
      <c r="W35" s="2">
        <f>Retention!$B$18*CashFlows!F35+Retention!$C$18*CashFlows!K35+Retention!$D$18*CashFlows!P35+Retention!$E$18*CashFlows!S35</f>
        <v/>
      </c>
      <c r="X35" s="2">
        <f>X34+Y35-Z35</f>
        <v/>
      </c>
      <c r="Y35" s="2">
        <f>X34*(B35+Inputs!$B$78)/12</f>
        <v/>
      </c>
      <c r="Z35" s="2">
        <f>MIN(W35,X34+Y35)</f>
        <v/>
      </c>
      <c r="AA35" s="2">
        <f>W35-Z35</f>
        <v/>
      </c>
      <c r="AB35" s="2">
        <f>Retention!$B$19*CashFlows!F35+Retention!$C$19*CashFlows!K35+Retention!$D$19*CashFlows!P35+Retention!$E$19*CashFlows!S35</f>
        <v/>
      </c>
      <c r="AC35" s="2">
        <f>AC34+AD35-AE35</f>
        <v/>
      </c>
      <c r="AD35" s="2">
        <f>AC34*(B35+Inputs!$B$78)/12</f>
        <v/>
      </c>
      <c r="AE35" s="2">
        <f>MIN(AB35,AC34+AD35)</f>
        <v/>
      </c>
      <c r="AF35" s="2">
        <f>AB35-AE35</f>
        <v/>
      </c>
    </row>
    <row r="36">
      <c r="A36" s="7" t="n">
        <v>31</v>
      </c>
      <c r="B36" s="3">
        <f>Pool!B36</f>
        <v/>
      </c>
      <c r="C36" s="8">
        <f>C35/(1+(B36+Inputs!$B$64)/12)</f>
        <v/>
      </c>
      <c r="D36" s="8">
        <f>D35/(1+(B36+Inputs!$B$65)/12)</f>
        <v/>
      </c>
      <c r="E36" s="8">
        <f>E35/(1+(B36+Inputs!$B$66)/12)</f>
        <v/>
      </c>
      <c r="F36" s="8">
        <f>F35/(1+(B36+Inputs!$B$67)/12)</f>
        <v/>
      </c>
      <c r="G36" s="8">
        <f>G35/(1+(B36+Inputs!$B$78)/12)</f>
        <v/>
      </c>
      <c r="H36" s="2">
        <f>Retention!$B$15*CashFlows!F36+Retention!$C$15*CashFlows!K36+Retention!$D$15*CashFlows!P36+Retention!$E$15*CashFlows!S36</f>
        <v/>
      </c>
      <c r="I36" s="2">
        <f>I35+J36-K36</f>
        <v/>
      </c>
      <c r="J36" s="2">
        <f>I35*(B36+Inputs!$B$78)/12</f>
        <v/>
      </c>
      <c r="K36" s="2">
        <f>MIN(H36,I35+J36)</f>
        <v/>
      </c>
      <c r="L36" s="2">
        <f>H36-K36</f>
        <v/>
      </c>
      <c r="M36" s="2">
        <f>Retention!$B$16*CashFlows!F36+Retention!$C$16*CashFlows!K36+Retention!$D$16*CashFlows!P36+Retention!$E$16*CashFlows!S36</f>
        <v/>
      </c>
      <c r="N36" s="2">
        <f>N35+O36-P36</f>
        <v/>
      </c>
      <c r="O36" s="2">
        <f>N35*(B36+Inputs!$B$78)/12</f>
        <v/>
      </c>
      <c r="P36" s="2">
        <f>MIN(M36,N35+O36)</f>
        <v/>
      </c>
      <c r="Q36" s="2">
        <f>M36-P36</f>
        <v/>
      </c>
      <c r="R36" s="2">
        <f>Retention!$B$17*CashFlows!F36+Retention!$C$17*CashFlows!K36+Retention!$D$17*CashFlows!P36+Retention!$E$17*CashFlows!S36</f>
        <v/>
      </c>
      <c r="S36" s="2">
        <f>S35+T36-U36</f>
        <v/>
      </c>
      <c r="T36" s="2">
        <f>S35*(B36+Inputs!$B$78)/12</f>
        <v/>
      </c>
      <c r="U36" s="2">
        <f>MIN(R36,S35+T36)</f>
        <v/>
      </c>
      <c r="V36" s="2">
        <f>R36-U36</f>
        <v/>
      </c>
      <c r="W36" s="2">
        <f>Retention!$B$18*CashFlows!F36+Retention!$C$18*CashFlows!K36+Retention!$D$18*CashFlows!P36+Retention!$E$18*CashFlows!S36</f>
        <v/>
      </c>
      <c r="X36" s="2">
        <f>X35+Y36-Z36</f>
        <v/>
      </c>
      <c r="Y36" s="2">
        <f>X35*(B36+Inputs!$B$78)/12</f>
        <v/>
      </c>
      <c r="Z36" s="2">
        <f>MIN(W36,X35+Y36)</f>
        <v/>
      </c>
      <c r="AA36" s="2">
        <f>W36-Z36</f>
        <v/>
      </c>
      <c r="AB36" s="2">
        <f>Retention!$B$19*CashFlows!F36+Retention!$C$19*CashFlows!K36+Retention!$D$19*CashFlows!P36+Retention!$E$19*CashFlows!S36</f>
        <v/>
      </c>
      <c r="AC36" s="2">
        <f>AC35+AD36-AE36</f>
        <v/>
      </c>
      <c r="AD36" s="2">
        <f>AC35*(B36+Inputs!$B$78)/12</f>
        <v/>
      </c>
      <c r="AE36" s="2">
        <f>MIN(AB36,AC35+AD36)</f>
        <v/>
      </c>
      <c r="AF36" s="2">
        <f>AB36-AE36</f>
        <v/>
      </c>
    </row>
    <row r="37">
      <c r="A37" s="7" t="n">
        <v>32</v>
      </c>
      <c r="B37" s="3">
        <f>Pool!B37</f>
        <v/>
      </c>
      <c r="C37" s="8">
        <f>C36/(1+(B37+Inputs!$B$64)/12)</f>
        <v/>
      </c>
      <c r="D37" s="8">
        <f>D36/(1+(B37+Inputs!$B$65)/12)</f>
        <v/>
      </c>
      <c r="E37" s="8">
        <f>E36/(1+(B37+Inputs!$B$66)/12)</f>
        <v/>
      </c>
      <c r="F37" s="8">
        <f>F36/(1+(B37+Inputs!$B$67)/12)</f>
        <v/>
      </c>
      <c r="G37" s="8">
        <f>G36/(1+(B37+Inputs!$B$78)/12)</f>
        <v/>
      </c>
      <c r="H37" s="2">
        <f>Retention!$B$15*CashFlows!F37+Retention!$C$15*CashFlows!K37+Retention!$D$15*CashFlows!P37+Retention!$E$15*CashFlows!S37</f>
        <v/>
      </c>
      <c r="I37" s="2">
        <f>I36+J37-K37</f>
        <v/>
      </c>
      <c r="J37" s="2">
        <f>I36*(B37+Inputs!$B$78)/12</f>
        <v/>
      </c>
      <c r="K37" s="2">
        <f>MIN(H37,I36+J37)</f>
        <v/>
      </c>
      <c r="L37" s="2">
        <f>H37-K37</f>
        <v/>
      </c>
      <c r="M37" s="2">
        <f>Retention!$B$16*CashFlows!F37+Retention!$C$16*CashFlows!K37+Retention!$D$16*CashFlows!P37+Retention!$E$16*CashFlows!S37</f>
        <v/>
      </c>
      <c r="N37" s="2">
        <f>N36+O37-P37</f>
        <v/>
      </c>
      <c r="O37" s="2">
        <f>N36*(B37+Inputs!$B$78)/12</f>
        <v/>
      </c>
      <c r="P37" s="2">
        <f>MIN(M37,N36+O37)</f>
        <v/>
      </c>
      <c r="Q37" s="2">
        <f>M37-P37</f>
        <v/>
      </c>
      <c r="R37" s="2">
        <f>Retention!$B$17*CashFlows!F37+Retention!$C$17*CashFlows!K37+Retention!$D$17*CashFlows!P37+Retention!$E$17*CashFlows!S37</f>
        <v/>
      </c>
      <c r="S37" s="2">
        <f>S36+T37-U37</f>
        <v/>
      </c>
      <c r="T37" s="2">
        <f>S36*(B37+Inputs!$B$78)/12</f>
        <v/>
      </c>
      <c r="U37" s="2">
        <f>MIN(R37,S36+T37)</f>
        <v/>
      </c>
      <c r="V37" s="2">
        <f>R37-U37</f>
        <v/>
      </c>
      <c r="W37" s="2">
        <f>Retention!$B$18*CashFlows!F37+Retention!$C$18*CashFlows!K37+Retention!$D$18*CashFlows!P37+Retention!$E$18*CashFlows!S37</f>
        <v/>
      </c>
      <c r="X37" s="2">
        <f>X36+Y37-Z37</f>
        <v/>
      </c>
      <c r="Y37" s="2">
        <f>X36*(B37+Inputs!$B$78)/12</f>
        <v/>
      </c>
      <c r="Z37" s="2">
        <f>MIN(W37,X36+Y37)</f>
        <v/>
      </c>
      <c r="AA37" s="2">
        <f>W37-Z37</f>
        <v/>
      </c>
      <c r="AB37" s="2">
        <f>Retention!$B$19*CashFlows!F37+Retention!$C$19*CashFlows!K37+Retention!$D$19*CashFlows!P37+Retention!$E$19*CashFlows!S37</f>
        <v/>
      </c>
      <c r="AC37" s="2">
        <f>AC36+AD37-AE37</f>
        <v/>
      </c>
      <c r="AD37" s="2">
        <f>AC36*(B37+Inputs!$B$78)/12</f>
        <v/>
      </c>
      <c r="AE37" s="2">
        <f>MIN(AB37,AC36+AD37)</f>
        <v/>
      </c>
      <c r="AF37" s="2">
        <f>AB37-AE37</f>
        <v/>
      </c>
    </row>
    <row r="38">
      <c r="A38" s="7" t="n">
        <v>33</v>
      </c>
      <c r="B38" s="3">
        <f>Pool!B38</f>
        <v/>
      </c>
      <c r="C38" s="8">
        <f>C37/(1+(B38+Inputs!$B$64)/12)</f>
        <v/>
      </c>
      <c r="D38" s="8">
        <f>D37/(1+(B38+Inputs!$B$65)/12)</f>
        <v/>
      </c>
      <c r="E38" s="8">
        <f>E37/(1+(B38+Inputs!$B$66)/12)</f>
        <v/>
      </c>
      <c r="F38" s="8">
        <f>F37/(1+(B38+Inputs!$B$67)/12)</f>
        <v/>
      </c>
      <c r="G38" s="8">
        <f>G37/(1+(B38+Inputs!$B$78)/12)</f>
        <v/>
      </c>
      <c r="H38" s="2">
        <f>Retention!$B$15*CashFlows!F38+Retention!$C$15*CashFlows!K38+Retention!$D$15*CashFlows!P38+Retention!$E$15*CashFlows!S38</f>
        <v/>
      </c>
      <c r="I38" s="2">
        <f>I37+J38-K38</f>
        <v/>
      </c>
      <c r="J38" s="2">
        <f>I37*(B38+Inputs!$B$78)/12</f>
        <v/>
      </c>
      <c r="K38" s="2">
        <f>MIN(H38,I37+J38)</f>
        <v/>
      </c>
      <c r="L38" s="2">
        <f>H38-K38</f>
        <v/>
      </c>
      <c r="M38" s="2">
        <f>Retention!$B$16*CashFlows!F38+Retention!$C$16*CashFlows!K38+Retention!$D$16*CashFlows!P38+Retention!$E$16*CashFlows!S38</f>
        <v/>
      </c>
      <c r="N38" s="2">
        <f>N37+O38-P38</f>
        <v/>
      </c>
      <c r="O38" s="2">
        <f>N37*(B38+Inputs!$B$78)/12</f>
        <v/>
      </c>
      <c r="P38" s="2">
        <f>MIN(M38,N37+O38)</f>
        <v/>
      </c>
      <c r="Q38" s="2">
        <f>M38-P38</f>
        <v/>
      </c>
      <c r="R38" s="2">
        <f>Retention!$B$17*CashFlows!F38+Retention!$C$17*CashFlows!K38+Retention!$D$17*CashFlows!P38+Retention!$E$17*CashFlows!S38</f>
        <v/>
      </c>
      <c r="S38" s="2">
        <f>S37+T38-U38</f>
        <v/>
      </c>
      <c r="T38" s="2">
        <f>S37*(B38+Inputs!$B$78)/12</f>
        <v/>
      </c>
      <c r="U38" s="2">
        <f>MIN(R38,S37+T38)</f>
        <v/>
      </c>
      <c r="V38" s="2">
        <f>R38-U38</f>
        <v/>
      </c>
      <c r="W38" s="2">
        <f>Retention!$B$18*CashFlows!F38+Retention!$C$18*CashFlows!K38+Retention!$D$18*CashFlows!P38+Retention!$E$18*CashFlows!S38</f>
        <v/>
      </c>
      <c r="X38" s="2">
        <f>X37+Y38-Z38</f>
        <v/>
      </c>
      <c r="Y38" s="2">
        <f>X37*(B38+Inputs!$B$78)/12</f>
        <v/>
      </c>
      <c r="Z38" s="2">
        <f>MIN(W38,X37+Y38)</f>
        <v/>
      </c>
      <c r="AA38" s="2">
        <f>W38-Z38</f>
        <v/>
      </c>
      <c r="AB38" s="2">
        <f>Retention!$B$19*CashFlows!F38+Retention!$C$19*CashFlows!K38+Retention!$D$19*CashFlows!P38+Retention!$E$19*CashFlows!S38</f>
        <v/>
      </c>
      <c r="AC38" s="2">
        <f>AC37+AD38-AE38</f>
        <v/>
      </c>
      <c r="AD38" s="2">
        <f>AC37*(B38+Inputs!$B$78)/12</f>
        <v/>
      </c>
      <c r="AE38" s="2">
        <f>MIN(AB38,AC37+AD38)</f>
        <v/>
      </c>
      <c r="AF38" s="2">
        <f>AB38-AE38</f>
        <v/>
      </c>
    </row>
    <row r="39">
      <c r="A39" s="7" t="n">
        <v>34</v>
      </c>
      <c r="B39" s="3">
        <f>Pool!B39</f>
        <v/>
      </c>
      <c r="C39" s="8">
        <f>C38/(1+(B39+Inputs!$B$64)/12)</f>
        <v/>
      </c>
      <c r="D39" s="8">
        <f>D38/(1+(B39+Inputs!$B$65)/12)</f>
        <v/>
      </c>
      <c r="E39" s="8">
        <f>E38/(1+(B39+Inputs!$B$66)/12)</f>
        <v/>
      </c>
      <c r="F39" s="8">
        <f>F38/(1+(B39+Inputs!$B$67)/12)</f>
        <v/>
      </c>
      <c r="G39" s="8">
        <f>G38/(1+(B39+Inputs!$B$78)/12)</f>
        <v/>
      </c>
      <c r="H39" s="2">
        <f>Retention!$B$15*CashFlows!F39+Retention!$C$15*CashFlows!K39+Retention!$D$15*CashFlows!P39+Retention!$E$15*CashFlows!S39</f>
        <v/>
      </c>
      <c r="I39" s="2">
        <f>I38+J39-K39</f>
        <v/>
      </c>
      <c r="J39" s="2">
        <f>I38*(B39+Inputs!$B$78)/12</f>
        <v/>
      </c>
      <c r="K39" s="2">
        <f>MIN(H39,I38+J39)</f>
        <v/>
      </c>
      <c r="L39" s="2">
        <f>H39-K39</f>
        <v/>
      </c>
      <c r="M39" s="2">
        <f>Retention!$B$16*CashFlows!F39+Retention!$C$16*CashFlows!K39+Retention!$D$16*CashFlows!P39+Retention!$E$16*CashFlows!S39</f>
        <v/>
      </c>
      <c r="N39" s="2">
        <f>N38+O39-P39</f>
        <v/>
      </c>
      <c r="O39" s="2">
        <f>N38*(B39+Inputs!$B$78)/12</f>
        <v/>
      </c>
      <c r="P39" s="2">
        <f>MIN(M39,N38+O39)</f>
        <v/>
      </c>
      <c r="Q39" s="2">
        <f>M39-P39</f>
        <v/>
      </c>
      <c r="R39" s="2">
        <f>Retention!$B$17*CashFlows!F39+Retention!$C$17*CashFlows!K39+Retention!$D$17*CashFlows!P39+Retention!$E$17*CashFlows!S39</f>
        <v/>
      </c>
      <c r="S39" s="2">
        <f>S38+T39-U39</f>
        <v/>
      </c>
      <c r="T39" s="2">
        <f>S38*(B39+Inputs!$B$78)/12</f>
        <v/>
      </c>
      <c r="U39" s="2">
        <f>MIN(R39,S38+T39)</f>
        <v/>
      </c>
      <c r="V39" s="2">
        <f>R39-U39</f>
        <v/>
      </c>
      <c r="W39" s="2">
        <f>Retention!$B$18*CashFlows!F39+Retention!$C$18*CashFlows!K39+Retention!$D$18*CashFlows!P39+Retention!$E$18*CashFlows!S39</f>
        <v/>
      </c>
      <c r="X39" s="2">
        <f>X38+Y39-Z39</f>
        <v/>
      </c>
      <c r="Y39" s="2">
        <f>X38*(B39+Inputs!$B$78)/12</f>
        <v/>
      </c>
      <c r="Z39" s="2">
        <f>MIN(W39,X38+Y39)</f>
        <v/>
      </c>
      <c r="AA39" s="2">
        <f>W39-Z39</f>
        <v/>
      </c>
      <c r="AB39" s="2">
        <f>Retention!$B$19*CashFlows!F39+Retention!$C$19*CashFlows!K39+Retention!$D$19*CashFlows!P39+Retention!$E$19*CashFlows!S39</f>
        <v/>
      </c>
      <c r="AC39" s="2">
        <f>AC38+AD39-AE39</f>
        <v/>
      </c>
      <c r="AD39" s="2">
        <f>AC38*(B39+Inputs!$B$78)/12</f>
        <v/>
      </c>
      <c r="AE39" s="2">
        <f>MIN(AB39,AC38+AD39)</f>
        <v/>
      </c>
      <c r="AF39" s="2">
        <f>AB39-AE39</f>
        <v/>
      </c>
    </row>
    <row r="40">
      <c r="A40" s="7" t="n">
        <v>35</v>
      </c>
      <c r="B40" s="3">
        <f>Pool!B40</f>
        <v/>
      </c>
      <c r="C40" s="8">
        <f>C39/(1+(B40+Inputs!$B$64)/12)</f>
        <v/>
      </c>
      <c r="D40" s="8">
        <f>D39/(1+(B40+Inputs!$B$65)/12)</f>
        <v/>
      </c>
      <c r="E40" s="8">
        <f>E39/(1+(B40+Inputs!$B$66)/12)</f>
        <v/>
      </c>
      <c r="F40" s="8">
        <f>F39/(1+(B40+Inputs!$B$67)/12)</f>
        <v/>
      </c>
      <c r="G40" s="8">
        <f>G39/(1+(B40+Inputs!$B$78)/12)</f>
        <v/>
      </c>
      <c r="H40" s="2">
        <f>Retention!$B$15*CashFlows!F40+Retention!$C$15*CashFlows!K40+Retention!$D$15*CashFlows!P40+Retention!$E$15*CashFlows!S40</f>
        <v/>
      </c>
      <c r="I40" s="2">
        <f>I39+J40-K40</f>
        <v/>
      </c>
      <c r="J40" s="2">
        <f>I39*(B40+Inputs!$B$78)/12</f>
        <v/>
      </c>
      <c r="K40" s="2">
        <f>MIN(H40,I39+J40)</f>
        <v/>
      </c>
      <c r="L40" s="2">
        <f>H40-K40</f>
        <v/>
      </c>
      <c r="M40" s="2">
        <f>Retention!$B$16*CashFlows!F40+Retention!$C$16*CashFlows!K40+Retention!$D$16*CashFlows!P40+Retention!$E$16*CashFlows!S40</f>
        <v/>
      </c>
      <c r="N40" s="2">
        <f>N39+O40-P40</f>
        <v/>
      </c>
      <c r="O40" s="2">
        <f>N39*(B40+Inputs!$B$78)/12</f>
        <v/>
      </c>
      <c r="P40" s="2">
        <f>MIN(M40,N39+O40)</f>
        <v/>
      </c>
      <c r="Q40" s="2">
        <f>M40-P40</f>
        <v/>
      </c>
      <c r="R40" s="2">
        <f>Retention!$B$17*CashFlows!F40+Retention!$C$17*CashFlows!K40+Retention!$D$17*CashFlows!P40+Retention!$E$17*CashFlows!S40</f>
        <v/>
      </c>
      <c r="S40" s="2">
        <f>S39+T40-U40</f>
        <v/>
      </c>
      <c r="T40" s="2">
        <f>S39*(B40+Inputs!$B$78)/12</f>
        <v/>
      </c>
      <c r="U40" s="2">
        <f>MIN(R40,S39+T40)</f>
        <v/>
      </c>
      <c r="V40" s="2">
        <f>R40-U40</f>
        <v/>
      </c>
      <c r="W40" s="2">
        <f>Retention!$B$18*CashFlows!F40+Retention!$C$18*CashFlows!K40+Retention!$D$18*CashFlows!P40+Retention!$E$18*CashFlows!S40</f>
        <v/>
      </c>
      <c r="X40" s="2">
        <f>X39+Y40-Z40</f>
        <v/>
      </c>
      <c r="Y40" s="2">
        <f>X39*(B40+Inputs!$B$78)/12</f>
        <v/>
      </c>
      <c r="Z40" s="2">
        <f>MIN(W40,X39+Y40)</f>
        <v/>
      </c>
      <c r="AA40" s="2">
        <f>W40-Z40</f>
        <v/>
      </c>
      <c r="AB40" s="2">
        <f>Retention!$B$19*CashFlows!F40+Retention!$C$19*CashFlows!K40+Retention!$D$19*CashFlows!P40+Retention!$E$19*CashFlows!S40</f>
        <v/>
      </c>
      <c r="AC40" s="2">
        <f>AC39+AD40-AE40</f>
        <v/>
      </c>
      <c r="AD40" s="2">
        <f>AC39*(B40+Inputs!$B$78)/12</f>
        <v/>
      </c>
      <c r="AE40" s="2">
        <f>MIN(AB40,AC39+AD40)</f>
        <v/>
      </c>
      <c r="AF40" s="2">
        <f>AB40-AE40</f>
        <v/>
      </c>
    </row>
    <row r="41">
      <c r="A41" s="7" t="n">
        <v>36</v>
      </c>
      <c r="B41" s="3">
        <f>Pool!B41</f>
        <v/>
      </c>
      <c r="C41" s="8">
        <f>C40/(1+(B41+Inputs!$B$64)/12)</f>
        <v/>
      </c>
      <c r="D41" s="8">
        <f>D40/(1+(B41+Inputs!$B$65)/12)</f>
        <v/>
      </c>
      <c r="E41" s="8">
        <f>E40/(1+(B41+Inputs!$B$66)/12)</f>
        <v/>
      </c>
      <c r="F41" s="8">
        <f>F40/(1+(B41+Inputs!$B$67)/12)</f>
        <v/>
      </c>
      <c r="G41" s="8">
        <f>G40/(1+(B41+Inputs!$B$78)/12)</f>
        <v/>
      </c>
      <c r="H41" s="2">
        <f>Retention!$B$15*CashFlows!F41+Retention!$C$15*CashFlows!K41+Retention!$D$15*CashFlows!P41+Retention!$E$15*CashFlows!S41</f>
        <v/>
      </c>
      <c r="I41" s="2">
        <f>I40+J41-K41</f>
        <v/>
      </c>
      <c r="J41" s="2">
        <f>I40*(B41+Inputs!$B$78)/12</f>
        <v/>
      </c>
      <c r="K41" s="2">
        <f>MIN(H41,I40+J41)</f>
        <v/>
      </c>
      <c r="L41" s="2">
        <f>H41-K41</f>
        <v/>
      </c>
      <c r="M41" s="2">
        <f>Retention!$B$16*CashFlows!F41+Retention!$C$16*CashFlows!K41+Retention!$D$16*CashFlows!P41+Retention!$E$16*CashFlows!S41</f>
        <v/>
      </c>
      <c r="N41" s="2">
        <f>N40+O41-P41</f>
        <v/>
      </c>
      <c r="O41" s="2">
        <f>N40*(B41+Inputs!$B$78)/12</f>
        <v/>
      </c>
      <c r="P41" s="2">
        <f>MIN(M41,N40+O41)</f>
        <v/>
      </c>
      <c r="Q41" s="2">
        <f>M41-P41</f>
        <v/>
      </c>
      <c r="R41" s="2">
        <f>Retention!$B$17*CashFlows!F41+Retention!$C$17*CashFlows!K41+Retention!$D$17*CashFlows!P41+Retention!$E$17*CashFlows!S41</f>
        <v/>
      </c>
      <c r="S41" s="2">
        <f>S40+T41-U41</f>
        <v/>
      </c>
      <c r="T41" s="2">
        <f>S40*(B41+Inputs!$B$78)/12</f>
        <v/>
      </c>
      <c r="U41" s="2">
        <f>MIN(R41,S40+T41)</f>
        <v/>
      </c>
      <c r="V41" s="2">
        <f>R41-U41</f>
        <v/>
      </c>
      <c r="W41" s="2">
        <f>Retention!$B$18*CashFlows!F41+Retention!$C$18*CashFlows!K41+Retention!$D$18*CashFlows!P41+Retention!$E$18*CashFlows!S41</f>
        <v/>
      </c>
      <c r="X41" s="2">
        <f>X40+Y41-Z41</f>
        <v/>
      </c>
      <c r="Y41" s="2">
        <f>X40*(B41+Inputs!$B$78)/12</f>
        <v/>
      </c>
      <c r="Z41" s="2">
        <f>MIN(W41,X40+Y41)</f>
        <v/>
      </c>
      <c r="AA41" s="2">
        <f>W41-Z41</f>
        <v/>
      </c>
      <c r="AB41" s="2">
        <f>Retention!$B$19*CashFlows!F41+Retention!$C$19*CashFlows!K41+Retention!$D$19*CashFlows!P41+Retention!$E$19*CashFlows!S41</f>
        <v/>
      </c>
      <c r="AC41" s="2">
        <f>AC40+AD41-AE41</f>
        <v/>
      </c>
      <c r="AD41" s="2">
        <f>AC40*(B41+Inputs!$B$78)/12</f>
        <v/>
      </c>
      <c r="AE41" s="2">
        <f>MIN(AB41,AC40+AD41)</f>
        <v/>
      </c>
      <c r="AF41" s="2">
        <f>AB41-AE41</f>
        <v/>
      </c>
    </row>
    <row r="42">
      <c r="A42" s="7" t="n">
        <v>37</v>
      </c>
      <c r="B42" s="3">
        <f>Pool!B42</f>
        <v/>
      </c>
      <c r="C42" s="8">
        <f>C41/(1+(B42+Inputs!$B$64)/12)</f>
        <v/>
      </c>
      <c r="D42" s="8">
        <f>D41/(1+(B42+Inputs!$B$65)/12)</f>
        <v/>
      </c>
      <c r="E42" s="8">
        <f>E41/(1+(B42+Inputs!$B$66)/12)</f>
        <v/>
      </c>
      <c r="F42" s="8">
        <f>F41/(1+(B42+Inputs!$B$67)/12)</f>
        <v/>
      </c>
      <c r="G42" s="8">
        <f>G41/(1+(B42+Inputs!$B$78)/12)</f>
        <v/>
      </c>
      <c r="H42" s="2">
        <f>Retention!$B$15*CashFlows!F42+Retention!$C$15*CashFlows!K42+Retention!$D$15*CashFlows!P42+Retention!$E$15*CashFlows!S42</f>
        <v/>
      </c>
      <c r="I42" s="2">
        <f>I41+J42-K42</f>
        <v/>
      </c>
      <c r="J42" s="2">
        <f>I41*(B42+Inputs!$B$78)/12</f>
        <v/>
      </c>
      <c r="K42" s="2">
        <f>MIN(H42,I41+J42)</f>
        <v/>
      </c>
      <c r="L42" s="2">
        <f>H42-K42</f>
        <v/>
      </c>
      <c r="M42" s="2">
        <f>Retention!$B$16*CashFlows!F42+Retention!$C$16*CashFlows!K42+Retention!$D$16*CashFlows!P42+Retention!$E$16*CashFlows!S42</f>
        <v/>
      </c>
      <c r="N42" s="2">
        <f>N41+O42-P42</f>
        <v/>
      </c>
      <c r="O42" s="2">
        <f>N41*(B42+Inputs!$B$78)/12</f>
        <v/>
      </c>
      <c r="P42" s="2">
        <f>MIN(M42,N41+O42)</f>
        <v/>
      </c>
      <c r="Q42" s="2">
        <f>M42-P42</f>
        <v/>
      </c>
      <c r="R42" s="2">
        <f>Retention!$B$17*CashFlows!F42+Retention!$C$17*CashFlows!K42+Retention!$D$17*CashFlows!P42+Retention!$E$17*CashFlows!S42</f>
        <v/>
      </c>
      <c r="S42" s="2">
        <f>S41+T42-U42</f>
        <v/>
      </c>
      <c r="T42" s="2">
        <f>S41*(B42+Inputs!$B$78)/12</f>
        <v/>
      </c>
      <c r="U42" s="2">
        <f>MIN(R42,S41+T42)</f>
        <v/>
      </c>
      <c r="V42" s="2">
        <f>R42-U42</f>
        <v/>
      </c>
      <c r="W42" s="2">
        <f>Retention!$B$18*CashFlows!F42+Retention!$C$18*CashFlows!K42+Retention!$D$18*CashFlows!P42+Retention!$E$18*CashFlows!S42</f>
        <v/>
      </c>
      <c r="X42" s="2">
        <f>X41+Y42-Z42</f>
        <v/>
      </c>
      <c r="Y42" s="2">
        <f>X41*(B42+Inputs!$B$78)/12</f>
        <v/>
      </c>
      <c r="Z42" s="2">
        <f>MIN(W42,X41+Y42)</f>
        <v/>
      </c>
      <c r="AA42" s="2">
        <f>W42-Z42</f>
        <v/>
      </c>
      <c r="AB42" s="2">
        <f>Retention!$B$19*CashFlows!F42+Retention!$C$19*CashFlows!K42+Retention!$D$19*CashFlows!P42+Retention!$E$19*CashFlows!S42</f>
        <v/>
      </c>
      <c r="AC42" s="2">
        <f>AC41+AD42-AE42</f>
        <v/>
      </c>
      <c r="AD42" s="2">
        <f>AC41*(B42+Inputs!$B$78)/12</f>
        <v/>
      </c>
      <c r="AE42" s="2">
        <f>MIN(AB42,AC41+AD42)</f>
        <v/>
      </c>
      <c r="AF42" s="2">
        <f>AB42-AE42</f>
        <v/>
      </c>
    </row>
    <row r="43">
      <c r="A43" s="7" t="n">
        <v>38</v>
      </c>
      <c r="B43" s="3">
        <f>Pool!B43</f>
        <v/>
      </c>
      <c r="C43" s="8">
        <f>C42/(1+(B43+Inputs!$B$64)/12)</f>
        <v/>
      </c>
      <c r="D43" s="8">
        <f>D42/(1+(B43+Inputs!$B$65)/12)</f>
        <v/>
      </c>
      <c r="E43" s="8">
        <f>E42/(1+(B43+Inputs!$B$66)/12)</f>
        <v/>
      </c>
      <c r="F43" s="8">
        <f>F42/(1+(B43+Inputs!$B$67)/12)</f>
        <v/>
      </c>
      <c r="G43" s="8">
        <f>G42/(1+(B43+Inputs!$B$78)/12)</f>
        <v/>
      </c>
      <c r="H43" s="2">
        <f>Retention!$B$15*CashFlows!F43+Retention!$C$15*CashFlows!K43+Retention!$D$15*CashFlows!P43+Retention!$E$15*CashFlows!S43</f>
        <v/>
      </c>
      <c r="I43" s="2">
        <f>I42+J43-K43</f>
        <v/>
      </c>
      <c r="J43" s="2">
        <f>I42*(B43+Inputs!$B$78)/12</f>
        <v/>
      </c>
      <c r="K43" s="2">
        <f>MIN(H43,I42+J43)</f>
        <v/>
      </c>
      <c r="L43" s="2">
        <f>H43-K43</f>
        <v/>
      </c>
      <c r="M43" s="2">
        <f>Retention!$B$16*CashFlows!F43+Retention!$C$16*CashFlows!K43+Retention!$D$16*CashFlows!P43+Retention!$E$16*CashFlows!S43</f>
        <v/>
      </c>
      <c r="N43" s="2">
        <f>N42+O43-P43</f>
        <v/>
      </c>
      <c r="O43" s="2">
        <f>N42*(B43+Inputs!$B$78)/12</f>
        <v/>
      </c>
      <c r="P43" s="2">
        <f>MIN(M43,N42+O43)</f>
        <v/>
      </c>
      <c r="Q43" s="2">
        <f>M43-P43</f>
        <v/>
      </c>
      <c r="R43" s="2">
        <f>Retention!$B$17*CashFlows!F43+Retention!$C$17*CashFlows!K43+Retention!$D$17*CashFlows!P43+Retention!$E$17*CashFlows!S43</f>
        <v/>
      </c>
      <c r="S43" s="2">
        <f>S42+T43-U43</f>
        <v/>
      </c>
      <c r="T43" s="2">
        <f>S42*(B43+Inputs!$B$78)/12</f>
        <v/>
      </c>
      <c r="U43" s="2">
        <f>MIN(R43,S42+T43)</f>
        <v/>
      </c>
      <c r="V43" s="2">
        <f>R43-U43</f>
        <v/>
      </c>
      <c r="W43" s="2">
        <f>Retention!$B$18*CashFlows!F43+Retention!$C$18*CashFlows!K43+Retention!$D$18*CashFlows!P43+Retention!$E$18*CashFlows!S43</f>
        <v/>
      </c>
      <c r="X43" s="2">
        <f>X42+Y43-Z43</f>
        <v/>
      </c>
      <c r="Y43" s="2">
        <f>X42*(B43+Inputs!$B$78)/12</f>
        <v/>
      </c>
      <c r="Z43" s="2">
        <f>MIN(W43,X42+Y43)</f>
        <v/>
      </c>
      <c r="AA43" s="2">
        <f>W43-Z43</f>
        <v/>
      </c>
      <c r="AB43" s="2">
        <f>Retention!$B$19*CashFlows!F43+Retention!$C$19*CashFlows!K43+Retention!$D$19*CashFlows!P43+Retention!$E$19*CashFlows!S43</f>
        <v/>
      </c>
      <c r="AC43" s="2">
        <f>AC42+AD43-AE43</f>
        <v/>
      </c>
      <c r="AD43" s="2">
        <f>AC42*(B43+Inputs!$B$78)/12</f>
        <v/>
      </c>
      <c r="AE43" s="2">
        <f>MIN(AB43,AC42+AD43)</f>
        <v/>
      </c>
      <c r="AF43" s="2">
        <f>AB43-AE43</f>
        <v/>
      </c>
    </row>
    <row r="44">
      <c r="A44" s="7" t="n">
        <v>39</v>
      </c>
      <c r="B44" s="3">
        <f>Pool!B44</f>
        <v/>
      </c>
      <c r="C44" s="8">
        <f>C43/(1+(B44+Inputs!$B$64)/12)</f>
        <v/>
      </c>
      <c r="D44" s="8">
        <f>D43/(1+(B44+Inputs!$B$65)/12)</f>
        <v/>
      </c>
      <c r="E44" s="8">
        <f>E43/(1+(B44+Inputs!$B$66)/12)</f>
        <v/>
      </c>
      <c r="F44" s="8">
        <f>F43/(1+(B44+Inputs!$B$67)/12)</f>
        <v/>
      </c>
      <c r="G44" s="8">
        <f>G43/(1+(B44+Inputs!$B$78)/12)</f>
        <v/>
      </c>
      <c r="H44" s="2">
        <f>Retention!$B$15*CashFlows!F44+Retention!$C$15*CashFlows!K44+Retention!$D$15*CashFlows!P44+Retention!$E$15*CashFlows!S44</f>
        <v/>
      </c>
      <c r="I44" s="2">
        <f>I43+J44-K44</f>
        <v/>
      </c>
      <c r="J44" s="2">
        <f>I43*(B44+Inputs!$B$78)/12</f>
        <v/>
      </c>
      <c r="K44" s="2">
        <f>MIN(H44,I43+J44)</f>
        <v/>
      </c>
      <c r="L44" s="2">
        <f>H44-K44</f>
        <v/>
      </c>
      <c r="M44" s="2">
        <f>Retention!$B$16*CashFlows!F44+Retention!$C$16*CashFlows!K44+Retention!$D$16*CashFlows!P44+Retention!$E$16*CashFlows!S44</f>
        <v/>
      </c>
      <c r="N44" s="2">
        <f>N43+O44-P44</f>
        <v/>
      </c>
      <c r="O44" s="2">
        <f>N43*(B44+Inputs!$B$78)/12</f>
        <v/>
      </c>
      <c r="P44" s="2">
        <f>MIN(M44,N43+O44)</f>
        <v/>
      </c>
      <c r="Q44" s="2">
        <f>M44-P44</f>
        <v/>
      </c>
      <c r="R44" s="2">
        <f>Retention!$B$17*CashFlows!F44+Retention!$C$17*CashFlows!K44+Retention!$D$17*CashFlows!P44+Retention!$E$17*CashFlows!S44</f>
        <v/>
      </c>
      <c r="S44" s="2">
        <f>S43+T44-U44</f>
        <v/>
      </c>
      <c r="T44" s="2">
        <f>S43*(B44+Inputs!$B$78)/12</f>
        <v/>
      </c>
      <c r="U44" s="2">
        <f>MIN(R44,S43+T44)</f>
        <v/>
      </c>
      <c r="V44" s="2">
        <f>R44-U44</f>
        <v/>
      </c>
      <c r="W44" s="2">
        <f>Retention!$B$18*CashFlows!F44+Retention!$C$18*CashFlows!K44+Retention!$D$18*CashFlows!P44+Retention!$E$18*CashFlows!S44</f>
        <v/>
      </c>
      <c r="X44" s="2">
        <f>X43+Y44-Z44</f>
        <v/>
      </c>
      <c r="Y44" s="2">
        <f>X43*(B44+Inputs!$B$78)/12</f>
        <v/>
      </c>
      <c r="Z44" s="2">
        <f>MIN(W44,X43+Y44)</f>
        <v/>
      </c>
      <c r="AA44" s="2">
        <f>W44-Z44</f>
        <v/>
      </c>
      <c r="AB44" s="2">
        <f>Retention!$B$19*CashFlows!F44+Retention!$C$19*CashFlows!K44+Retention!$D$19*CashFlows!P44+Retention!$E$19*CashFlows!S44</f>
        <v/>
      </c>
      <c r="AC44" s="2">
        <f>AC43+AD44-AE44</f>
        <v/>
      </c>
      <c r="AD44" s="2">
        <f>AC43*(B44+Inputs!$B$78)/12</f>
        <v/>
      </c>
      <c r="AE44" s="2">
        <f>MIN(AB44,AC43+AD44)</f>
        <v/>
      </c>
      <c r="AF44" s="2">
        <f>AB44-AE44</f>
        <v/>
      </c>
    </row>
    <row r="45">
      <c r="A45" s="7" t="n">
        <v>40</v>
      </c>
      <c r="B45" s="3">
        <f>Pool!B45</f>
        <v/>
      </c>
      <c r="C45" s="8">
        <f>C44/(1+(B45+Inputs!$B$64)/12)</f>
        <v/>
      </c>
      <c r="D45" s="8">
        <f>D44/(1+(B45+Inputs!$B$65)/12)</f>
        <v/>
      </c>
      <c r="E45" s="8">
        <f>E44/(1+(B45+Inputs!$B$66)/12)</f>
        <v/>
      </c>
      <c r="F45" s="8">
        <f>F44/(1+(B45+Inputs!$B$67)/12)</f>
        <v/>
      </c>
      <c r="G45" s="8">
        <f>G44/(1+(B45+Inputs!$B$78)/12)</f>
        <v/>
      </c>
      <c r="H45" s="2">
        <f>Retention!$B$15*CashFlows!F45+Retention!$C$15*CashFlows!K45+Retention!$D$15*CashFlows!P45+Retention!$E$15*CashFlows!S45</f>
        <v/>
      </c>
      <c r="I45" s="2">
        <f>I44+J45-K45</f>
        <v/>
      </c>
      <c r="J45" s="2">
        <f>I44*(B45+Inputs!$B$78)/12</f>
        <v/>
      </c>
      <c r="K45" s="2">
        <f>MIN(H45,I44+J45)</f>
        <v/>
      </c>
      <c r="L45" s="2">
        <f>H45-K45</f>
        <v/>
      </c>
      <c r="M45" s="2">
        <f>Retention!$B$16*CashFlows!F45+Retention!$C$16*CashFlows!K45+Retention!$D$16*CashFlows!P45+Retention!$E$16*CashFlows!S45</f>
        <v/>
      </c>
      <c r="N45" s="2">
        <f>N44+O45-P45</f>
        <v/>
      </c>
      <c r="O45" s="2">
        <f>N44*(B45+Inputs!$B$78)/12</f>
        <v/>
      </c>
      <c r="P45" s="2">
        <f>MIN(M45,N44+O45)</f>
        <v/>
      </c>
      <c r="Q45" s="2">
        <f>M45-P45</f>
        <v/>
      </c>
      <c r="R45" s="2">
        <f>Retention!$B$17*CashFlows!F45+Retention!$C$17*CashFlows!K45+Retention!$D$17*CashFlows!P45+Retention!$E$17*CashFlows!S45</f>
        <v/>
      </c>
      <c r="S45" s="2">
        <f>S44+T45-U45</f>
        <v/>
      </c>
      <c r="T45" s="2">
        <f>S44*(B45+Inputs!$B$78)/12</f>
        <v/>
      </c>
      <c r="U45" s="2">
        <f>MIN(R45,S44+T45)</f>
        <v/>
      </c>
      <c r="V45" s="2">
        <f>R45-U45</f>
        <v/>
      </c>
      <c r="W45" s="2">
        <f>Retention!$B$18*CashFlows!F45+Retention!$C$18*CashFlows!K45+Retention!$D$18*CashFlows!P45+Retention!$E$18*CashFlows!S45</f>
        <v/>
      </c>
      <c r="X45" s="2">
        <f>X44+Y45-Z45</f>
        <v/>
      </c>
      <c r="Y45" s="2">
        <f>X44*(B45+Inputs!$B$78)/12</f>
        <v/>
      </c>
      <c r="Z45" s="2">
        <f>MIN(W45,X44+Y45)</f>
        <v/>
      </c>
      <c r="AA45" s="2">
        <f>W45-Z45</f>
        <v/>
      </c>
      <c r="AB45" s="2">
        <f>Retention!$B$19*CashFlows!F45+Retention!$C$19*CashFlows!K45+Retention!$D$19*CashFlows!P45+Retention!$E$19*CashFlows!S45</f>
        <v/>
      </c>
      <c r="AC45" s="2">
        <f>AC44+AD45-AE45</f>
        <v/>
      </c>
      <c r="AD45" s="2">
        <f>AC44*(B45+Inputs!$B$78)/12</f>
        <v/>
      </c>
      <c r="AE45" s="2">
        <f>MIN(AB45,AC44+AD45)</f>
        <v/>
      </c>
      <c r="AF45" s="2">
        <f>AB45-AE45</f>
        <v/>
      </c>
    </row>
    <row r="46">
      <c r="A46" s="7" t="n">
        <v>41</v>
      </c>
      <c r="B46" s="3">
        <f>Pool!B46</f>
        <v/>
      </c>
      <c r="C46" s="8">
        <f>C45/(1+(B46+Inputs!$B$64)/12)</f>
        <v/>
      </c>
      <c r="D46" s="8">
        <f>D45/(1+(B46+Inputs!$B$65)/12)</f>
        <v/>
      </c>
      <c r="E46" s="8">
        <f>E45/(1+(B46+Inputs!$B$66)/12)</f>
        <v/>
      </c>
      <c r="F46" s="8">
        <f>F45/(1+(B46+Inputs!$B$67)/12)</f>
        <v/>
      </c>
      <c r="G46" s="8">
        <f>G45/(1+(B46+Inputs!$B$78)/12)</f>
        <v/>
      </c>
      <c r="H46" s="2">
        <f>Retention!$B$15*CashFlows!F46+Retention!$C$15*CashFlows!K46+Retention!$D$15*CashFlows!P46+Retention!$E$15*CashFlows!S46</f>
        <v/>
      </c>
      <c r="I46" s="2">
        <f>I45+J46-K46</f>
        <v/>
      </c>
      <c r="J46" s="2">
        <f>I45*(B46+Inputs!$B$78)/12</f>
        <v/>
      </c>
      <c r="K46" s="2">
        <f>MIN(H46,I45+J46)</f>
        <v/>
      </c>
      <c r="L46" s="2">
        <f>H46-K46</f>
        <v/>
      </c>
      <c r="M46" s="2">
        <f>Retention!$B$16*CashFlows!F46+Retention!$C$16*CashFlows!K46+Retention!$D$16*CashFlows!P46+Retention!$E$16*CashFlows!S46</f>
        <v/>
      </c>
      <c r="N46" s="2">
        <f>N45+O46-P46</f>
        <v/>
      </c>
      <c r="O46" s="2">
        <f>N45*(B46+Inputs!$B$78)/12</f>
        <v/>
      </c>
      <c r="P46" s="2">
        <f>MIN(M46,N45+O46)</f>
        <v/>
      </c>
      <c r="Q46" s="2">
        <f>M46-P46</f>
        <v/>
      </c>
      <c r="R46" s="2">
        <f>Retention!$B$17*CashFlows!F46+Retention!$C$17*CashFlows!K46+Retention!$D$17*CashFlows!P46+Retention!$E$17*CashFlows!S46</f>
        <v/>
      </c>
      <c r="S46" s="2">
        <f>S45+T46-U46</f>
        <v/>
      </c>
      <c r="T46" s="2">
        <f>S45*(B46+Inputs!$B$78)/12</f>
        <v/>
      </c>
      <c r="U46" s="2">
        <f>MIN(R46,S45+T46)</f>
        <v/>
      </c>
      <c r="V46" s="2">
        <f>R46-U46</f>
        <v/>
      </c>
      <c r="W46" s="2">
        <f>Retention!$B$18*CashFlows!F46+Retention!$C$18*CashFlows!K46+Retention!$D$18*CashFlows!P46+Retention!$E$18*CashFlows!S46</f>
        <v/>
      </c>
      <c r="X46" s="2">
        <f>X45+Y46-Z46</f>
        <v/>
      </c>
      <c r="Y46" s="2">
        <f>X45*(B46+Inputs!$B$78)/12</f>
        <v/>
      </c>
      <c r="Z46" s="2">
        <f>MIN(W46,X45+Y46)</f>
        <v/>
      </c>
      <c r="AA46" s="2">
        <f>W46-Z46</f>
        <v/>
      </c>
      <c r="AB46" s="2">
        <f>Retention!$B$19*CashFlows!F46+Retention!$C$19*CashFlows!K46+Retention!$D$19*CashFlows!P46+Retention!$E$19*CashFlows!S46</f>
        <v/>
      </c>
      <c r="AC46" s="2">
        <f>AC45+AD46-AE46</f>
        <v/>
      </c>
      <c r="AD46" s="2">
        <f>AC45*(B46+Inputs!$B$78)/12</f>
        <v/>
      </c>
      <c r="AE46" s="2">
        <f>MIN(AB46,AC45+AD46)</f>
        <v/>
      </c>
      <c r="AF46" s="2">
        <f>AB46-AE46</f>
        <v/>
      </c>
    </row>
    <row r="47">
      <c r="A47" s="7" t="n">
        <v>42</v>
      </c>
      <c r="B47" s="3">
        <f>Pool!B47</f>
        <v/>
      </c>
      <c r="C47" s="8">
        <f>C46/(1+(B47+Inputs!$B$64)/12)</f>
        <v/>
      </c>
      <c r="D47" s="8">
        <f>D46/(1+(B47+Inputs!$B$65)/12)</f>
        <v/>
      </c>
      <c r="E47" s="8">
        <f>E46/(1+(B47+Inputs!$B$66)/12)</f>
        <v/>
      </c>
      <c r="F47" s="8">
        <f>F46/(1+(B47+Inputs!$B$67)/12)</f>
        <v/>
      </c>
      <c r="G47" s="8">
        <f>G46/(1+(B47+Inputs!$B$78)/12)</f>
        <v/>
      </c>
      <c r="H47" s="2">
        <f>Retention!$B$15*CashFlows!F47+Retention!$C$15*CashFlows!K47+Retention!$D$15*CashFlows!P47+Retention!$E$15*CashFlows!S47</f>
        <v/>
      </c>
      <c r="I47" s="2">
        <f>I46+J47-K47</f>
        <v/>
      </c>
      <c r="J47" s="2">
        <f>I46*(B47+Inputs!$B$78)/12</f>
        <v/>
      </c>
      <c r="K47" s="2">
        <f>MIN(H47,I46+J47)</f>
        <v/>
      </c>
      <c r="L47" s="2">
        <f>H47-K47</f>
        <v/>
      </c>
      <c r="M47" s="2">
        <f>Retention!$B$16*CashFlows!F47+Retention!$C$16*CashFlows!K47+Retention!$D$16*CashFlows!P47+Retention!$E$16*CashFlows!S47</f>
        <v/>
      </c>
      <c r="N47" s="2">
        <f>N46+O47-P47</f>
        <v/>
      </c>
      <c r="O47" s="2">
        <f>N46*(B47+Inputs!$B$78)/12</f>
        <v/>
      </c>
      <c r="P47" s="2">
        <f>MIN(M47,N46+O47)</f>
        <v/>
      </c>
      <c r="Q47" s="2">
        <f>M47-P47</f>
        <v/>
      </c>
      <c r="R47" s="2">
        <f>Retention!$B$17*CashFlows!F47+Retention!$C$17*CashFlows!K47+Retention!$D$17*CashFlows!P47+Retention!$E$17*CashFlows!S47</f>
        <v/>
      </c>
      <c r="S47" s="2">
        <f>S46+T47-U47</f>
        <v/>
      </c>
      <c r="T47" s="2">
        <f>S46*(B47+Inputs!$B$78)/12</f>
        <v/>
      </c>
      <c r="U47" s="2">
        <f>MIN(R47,S46+T47)</f>
        <v/>
      </c>
      <c r="V47" s="2">
        <f>R47-U47</f>
        <v/>
      </c>
      <c r="W47" s="2">
        <f>Retention!$B$18*CashFlows!F47+Retention!$C$18*CashFlows!K47+Retention!$D$18*CashFlows!P47+Retention!$E$18*CashFlows!S47</f>
        <v/>
      </c>
      <c r="X47" s="2">
        <f>X46+Y47-Z47</f>
        <v/>
      </c>
      <c r="Y47" s="2">
        <f>X46*(B47+Inputs!$B$78)/12</f>
        <v/>
      </c>
      <c r="Z47" s="2">
        <f>MIN(W47,X46+Y47)</f>
        <v/>
      </c>
      <c r="AA47" s="2">
        <f>W47-Z47</f>
        <v/>
      </c>
      <c r="AB47" s="2">
        <f>Retention!$B$19*CashFlows!F47+Retention!$C$19*CashFlows!K47+Retention!$D$19*CashFlows!P47+Retention!$E$19*CashFlows!S47</f>
        <v/>
      </c>
      <c r="AC47" s="2">
        <f>AC46+AD47-AE47</f>
        <v/>
      </c>
      <c r="AD47" s="2">
        <f>AC46*(B47+Inputs!$B$78)/12</f>
        <v/>
      </c>
      <c r="AE47" s="2">
        <f>MIN(AB47,AC46+AD47)</f>
        <v/>
      </c>
      <c r="AF47" s="2">
        <f>AB47-AE47</f>
        <v/>
      </c>
    </row>
    <row r="48">
      <c r="A48" s="7" t="n">
        <v>43</v>
      </c>
      <c r="B48" s="3">
        <f>Pool!B48</f>
        <v/>
      </c>
      <c r="C48" s="8">
        <f>C47/(1+(B48+Inputs!$B$64)/12)</f>
        <v/>
      </c>
      <c r="D48" s="8">
        <f>D47/(1+(B48+Inputs!$B$65)/12)</f>
        <v/>
      </c>
      <c r="E48" s="8">
        <f>E47/(1+(B48+Inputs!$B$66)/12)</f>
        <v/>
      </c>
      <c r="F48" s="8">
        <f>F47/(1+(B48+Inputs!$B$67)/12)</f>
        <v/>
      </c>
      <c r="G48" s="8">
        <f>G47/(1+(B48+Inputs!$B$78)/12)</f>
        <v/>
      </c>
      <c r="H48" s="2">
        <f>Retention!$B$15*CashFlows!F48+Retention!$C$15*CashFlows!K48+Retention!$D$15*CashFlows!P48+Retention!$E$15*CashFlows!S48</f>
        <v/>
      </c>
      <c r="I48" s="2">
        <f>I47+J48-K48</f>
        <v/>
      </c>
      <c r="J48" s="2">
        <f>I47*(B48+Inputs!$B$78)/12</f>
        <v/>
      </c>
      <c r="K48" s="2">
        <f>MIN(H48,I47+J48)</f>
        <v/>
      </c>
      <c r="L48" s="2">
        <f>H48-K48</f>
        <v/>
      </c>
      <c r="M48" s="2">
        <f>Retention!$B$16*CashFlows!F48+Retention!$C$16*CashFlows!K48+Retention!$D$16*CashFlows!P48+Retention!$E$16*CashFlows!S48</f>
        <v/>
      </c>
      <c r="N48" s="2">
        <f>N47+O48-P48</f>
        <v/>
      </c>
      <c r="O48" s="2">
        <f>N47*(B48+Inputs!$B$78)/12</f>
        <v/>
      </c>
      <c r="P48" s="2">
        <f>MIN(M48,N47+O48)</f>
        <v/>
      </c>
      <c r="Q48" s="2">
        <f>M48-P48</f>
        <v/>
      </c>
      <c r="R48" s="2">
        <f>Retention!$B$17*CashFlows!F48+Retention!$C$17*CashFlows!K48+Retention!$D$17*CashFlows!P48+Retention!$E$17*CashFlows!S48</f>
        <v/>
      </c>
      <c r="S48" s="2">
        <f>S47+T48-U48</f>
        <v/>
      </c>
      <c r="T48" s="2">
        <f>S47*(B48+Inputs!$B$78)/12</f>
        <v/>
      </c>
      <c r="U48" s="2">
        <f>MIN(R48,S47+T48)</f>
        <v/>
      </c>
      <c r="V48" s="2">
        <f>R48-U48</f>
        <v/>
      </c>
      <c r="W48" s="2">
        <f>Retention!$B$18*CashFlows!F48+Retention!$C$18*CashFlows!K48+Retention!$D$18*CashFlows!P48+Retention!$E$18*CashFlows!S48</f>
        <v/>
      </c>
      <c r="X48" s="2">
        <f>X47+Y48-Z48</f>
        <v/>
      </c>
      <c r="Y48" s="2">
        <f>X47*(B48+Inputs!$B$78)/12</f>
        <v/>
      </c>
      <c r="Z48" s="2">
        <f>MIN(W48,X47+Y48)</f>
        <v/>
      </c>
      <c r="AA48" s="2">
        <f>W48-Z48</f>
        <v/>
      </c>
      <c r="AB48" s="2">
        <f>Retention!$B$19*CashFlows!F48+Retention!$C$19*CashFlows!K48+Retention!$D$19*CashFlows!P48+Retention!$E$19*CashFlows!S48</f>
        <v/>
      </c>
      <c r="AC48" s="2">
        <f>AC47+AD48-AE48</f>
        <v/>
      </c>
      <c r="AD48" s="2">
        <f>AC47*(B48+Inputs!$B$78)/12</f>
        <v/>
      </c>
      <c r="AE48" s="2">
        <f>MIN(AB48,AC47+AD48)</f>
        <v/>
      </c>
      <c r="AF48" s="2">
        <f>AB48-AE48</f>
        <v/>
      </c>
    </row>
    <row r="49">
      <c r="A49" s="7" t="n">
        <v>44</v>
      </c>
      <c r="B49" s="3">
        <f>Pool!B49</f>
        <v/>
      </c>
      <c r="C49" s="8">
        <f>C48/(1+(B49+Inputs!$B$64)/12)</f>
        <v/>
      </c>
      <c r="D49" s="8">
        <f>D48/(1+(B49+Inputs!$B$65)/12)</f>
        <v/>
      </c>
      <c r="E49" s="8">
        <f>E48/(1+(B49+Inputs!$B$66)/12)</f>
        <v/>
      </c>
      <c r="F49" s="8">
        <f>F48/(1+(B49+Inputs!$B$67)/12)</f>
        <v/>
      </c>
      <c r="G49" s="8">
        <f>G48/(1+(B49+Inputs!$B$78)/12)</f>
        <v/>
      </c>
      <c r="H49" s="2">
        <f>Retention!$B$15*CashFlows!F49+Retention!$C$15*CashFlows!K49+Retention!$D$15*CashFlows!P49+Retention!$E$15*CashFlows!S49</f>
        <v/>
      </c>
      <c r="I49" s="2">
        <f>I48+J49-K49</f>
        <v/>
      </c>
      <c r="J49" s="2">
        <f>I48*(B49+Inputs!$B$78)/12</f>
        <v/>
      </c>
      <c r="K49" s="2">
        <f>MIN(H49,I48+J49)</f>
        <v/>
      </c>
      <c r="L49" s="2">
        <f>H49-K49</f>
        <v/>
      </c>
      <c r="M49" s="2">
        <f>Retention!$B$16*CashFlows!F49+Retention!$C$16*CashFlows!K49+Retention!$D$16*CashFlows!P49+Retention!$E$16*CashFlows!S49</f>
        <v/>
      </c>
      <c r="N49" s="2">
        <f>N48+O49-P49</f>
        <v/>
      </c>
      <c r="O49" s="2">
        <f>N48*(B49+Inputs!$B$78)/12</f>
        <v/>
      </c>
      <c r="P49" s="2">
        <f>MIN(M49,N48+O49)</f>
        <v/>
      </c>
      <c r="Q49" s="2">
        <f>M49-P49</f>
        <v/>
      </c>
      <c r="R49" s="2">
        <f>Retention!$B$17*CashFlows!F49+Retention!$C$17*CashFlows!K49+Retention!$D$17*CashFlows!P49+Retention!$E$17*CashFlows!S49</f>
        <v/>
      </c>
      <c r="S49" s="2">
        <f>S48+T49-U49</f>
        <v/>
      </c>
      <c r="T49" s="2">
        <f>S48*(B49+Inputs!$B$78)/12</f>
        <v/>
      </c>
      <c r="U49" s="2">
        <f>MIN(R49,S48+T49)</f>
        <v/>
      </c>
      <c r="V49" s="2">
        <f>R49-U49</f>
        <v/>
      </c>
      <c r="W49" s="2">
        <f>Retention!$B$18*CashFlows!F49+Retention!$C$18*CashFlows!K49+Retention!$D$18*CashFlows!P49+Retention!$E$18*CashFlows!S49</f>
        <v/>
      </c>
      <c r="X49" s="2">
        <f>X48+Y49-Z49</f>
        <v/>
      </c>
      <c r="Y49" s="2">
        <f>X48*(B49+Inputs!$B$78)/12</f>
        <v/>
      </c>
      <c r="Z49" s="2">
        <f>MIN(W49,X48+Y49)</f>
        <v/>
      </c>
      <c r="AA49" s="2">
        <f>W49-Z49</f>
        <v/>
      </c>
      <c r="AB49" s="2">
        <f>Retention!$B$19*CashFlows!F49+Retention!$C$19*CashFlows!K49+Retention!$D$19*CashFlows!P49+Retention!$E$19*CashFlows!S49</f>
        <v/>
      </c>
      <c r="AC49" s="2">
        <f>AC48+AD49-AE49</f>
        <v/>
      </c>
      <c r="AD49" s="2">
        <f>AC48*(B49+Inputs!$B$78)/12</f>
        <v/>
      </c>
      <c r="AE49" s="2">
        <f>MIN(AB49,AC48+AD49)</f>
        <v/>
      </c>
      <c r="AF49" s="2">
        <f>AB49-AE49</f>
        <v/>
      </c>
    </row>
    <row r="50">
      <c r="A50" s="7" t="n">
        <v>45</v>
      </c>
      <c r="B50" s="3">
        <f>Pool!B50</f>
        <v/>
      </c>
      <c r="C50" s="8">
        <f>C49/(1+(B50+Inputs!$B$64)/12)</f>
        <v/>
      </c>
      <c r="D50" s="8">
        <f>D49/(1+(B50+Inputs!$B$65)/12)</f>
        <v/>
      </c>
      <c r="E50" s="8">
        <f>E49/(1+(B50+Inputs!$B$66)/12)</f>
        <v/>
      </c>
      <c r="F50" s="8">
        <f>F49/(1+(B50+Inputs!$B$67)/12)</f>
        <v/>
      </c>
      <c r="G50" s="8">
        <f>G49/(1+(B50+Inputs!$B$78)/12)</f>
        <v/>
      </c>
      <c r="H50" s="2">
        <f>Retention!$B$15*CashFlows!F50+Retention!$C$15*CashFlows!K50+Retention!$D$15*CashFlows!P50+Retention!$E$15*CashFlows!S50</f>
        <v/>
      </c>
      <c r="I50" s="2">
        <f>I49+J50-K50</f>
        <v/>
      </c>
      <c r="J50" s="2">
        <f>I49*(B50+Inputs!$B$78)/12</f>
        <v/>
      </c>
      <c r="K50" s="2">
        <f>MIN(H50,I49+J50)</f>
        <v/>
      </c>
      <c r="L50" s="2">
        <f>H50-K50</f>
        <v/>
      </c>
      <c r="M50" s="2">
        <f>Retention!$B$16*CashFlows!F50+Retention!$C$16*CashFlows!K50+Retention!$D$16*CashFlows!P50+Retention!$E$16*CashFlows!S50</f>
        <v/>
      </c>
      <c r="N50" s="2">
        <f>N49+O50-P50</f>
        <v/>
      </c>
      <c r="O50" s="2">
        <f>N49*(B50+Inputs!$B$78)/12</f>
        <v/>
      </c>
      <c r="P50" s="2">
        <f>MIN(M50,N49+O50)</f>
        <v/>
      </c>
      <c r="Q50" s="2">
        <f>M50-P50</f>
        <v/>
      </c>
      <c r="R50" s="2">
        <f>Retention!$B$17*CashFlows!F50+Retention!$C$17*CashFlows!K50+Retention!$D$17*CashFlows!P50+Retention!$E$17*CashFlows!S50</f>
        <v/>
      </c>
      <c r="S50" s="2">
        <f>S49+T50-U50</f>
        <v/>
      </c>
      <c r="T50" s="2">
        <f>S49*(B50+Inputs!$B$78)/12</f>
        <v/>
      </c>
      <c r="U50" s="2">
        <f>MIN(R50,S49+T50)</f>
        <v/>
      </c>
      <c r="V50" s="2">
        <f>R50-U50</f>
        <v/>
      </c>
      <c r="W50" s="2">
        <f>Retention!$B$18*CashFlows!F50+Retention!$C$18*CashFlows!K50+Retention!$D$18*CashFlows!P50+Retention!$E$18*CashFlows!S50</f>
        <v/>
      </c>
      <c r="X50" s="2">
        <f>X49+Y50-Z50</f>
        <v/>
      </c>
      <c r="Y50" s="2">
        <f>X49*(B50+Inputs!$B$78)/12</f>
        <v/>
      </c>
      <c r="Z50" s="2">
        <f>MIN(W50,X49+Y50)</f>
        <v/>
      </c>
      <c r="AA50" s="2">
        <f>W50-Z50</f>
        <v/>
      </c>
      <c r="AB50" s="2">
        <f>Retention!$B$19*CashFlows!F50+Retention!$C$19*CashFlows!K50+Retention!$D$19*CashFlows!P50+Retention!$E$19*CashFlows!S50</f>
        <v/>
      </c>
      <c r="AC50" s="2">
        <f>AC49+AD50-AE50</f>
        <v/>
      </c>
      <c r="AD50" s="2">
        <f>AC49*(B50+Inputs!$B$78)/12</f>
        <v/>
      </c>
      <c r="AE50" s="2">
        <f>MIN(AB50,AC49+AD50)</f>
        <v/>
      </c>
      <c r="AF50" s="2">
        <f>AB50-AE50</f>
        <v/>
      </c>
    </row>
    <row r="51">
      <c r="A51" s="7" t="n">
        <v>46</v>
      </c>
      <c r="B51" s="3">
        <f>Pool!B51</f>
        <v/>
      </c>
      <c r="C51" s="8">
        <f>C50/(1+(B51+Inputs!$B$64)/12)</f>
        <v/>
      </c>
      <c r="D51" s="8">
        <f>D50/(1+(B51+Inputs!$B$65)/12)</f>
        <v/>
      </c>
      <c r="E51" s="8">
        <f>E50/(1+(B51+Inputs!$B$66)/12)</f>
        <v/>
      </c>
      <c r="F51" s="8">
        <f>F50/(1+(B51+Inputs!$B$67)/12)</f>
        <v/>
      </c>
      <c r="G51" s="8">
        <f>G50/(1+(B51+Inputs!$B$78)/12)</f>
        <v/>
      </c>
      <c r="H51" s="2">
        <f>Retention!$B$15*CashFlows!F51+Retention!$C$15*CashFlows!K51+Retention!$D$15*CashFlows!P51+Retention!$E$15*CashFlows!S51</f>
        <v/>
      </c>
      <c r="I51" s="2">
        <f>I50+J51-K51</f>
        <v/>
      </c>
      <c r="J51" s="2">
        <f>I50*(B51+Inputs!$B$78)/12</f>
        <v/>
      </c>
      <c r="K51" s="2">
        <f>MIN(H51,I50+J51)</f>
        <v/>
      </c>
      <c r="L51" s="2">
        <f>H51-K51</f>
        <v/>
      </c>
      <c r="M51" s="2">
        <f>Retention!$B$16*CashFlows!F51+Retention!$C$16*CashFlows!K51+Retention!$D$16*CashFlows!P51+Retention!$E$16*CashFlows!S51</f>
        <v/>
      </c>
      <c r="N51" s="2">
        <f>N50+O51-P51</f>
        <v/>
      </c>
      <c r="O51" s="2">
        <f>N50*(B51+Inputs!$B$78)/12</f>
        <v/>
      </c>
      <c r="P51" s="2">
        <f>MIN(M51,N50+O51)</f>
        <v/>
      </c>
      <c r="Q51" s="2">
        <f>M51-P51</f>
        <v/>
      </c>
      <c r="R51" s="2">
        <f>Retention!$B$17*CashFlows!F51+Retention!$C$17*CashFlows!K51+Retention!$D$17*CashFlows!P51+Retention!$E$17*CashFlows!S51</f>
        <v/>
      </c>
      <c r="S51" s="2">
        <f>S50+T51-U51</f>
        <v/>
      </c>
      <c r="T51" s="2">
        <f>S50*(B51+Inputs!$B$78)/12</f>
        <v/>
      </c>
      <c r="U51" s="2">
        <f>MIN(R51,S50+T51)</f>
        <v/>
      </c>
      <c r="V51" s="2">
        <f>R51-U51</f>
        <v/>
      </c>
      <c r="W51" s="2">
        <f>Retention!$B$18*CashFlows!F51+Retention!$C$18*CashFlows!K51+Retention!$D$18*CashFlows!P51+Retention!$E$18*CashFlows!S51</f>
        <v/>
      </c>
      <c r="X51" s="2">
        <f>X50+Y51-Z51</f>
        <v/>
      </c>
      <c r="Y51" s="2">
        <f>X50*(B51+Inputs!$B$78)/12</f>
        <v/>
      </c>
      <c r="Z51" s="2">
        <f>MIN(W51,X50+Y51)</f>
        <v/>
      </c>
      <c r="AA51" s="2">
        <f>W51-Z51</f>
        <v/>
      </c>
      <c r="AB51" s="2">
        <f>Retention!$B$19*CashFlows!F51+Retention!$C$19*CashFlows!K51+Retention!$D$19*CashFlows!P51+Retention!$E$19*CashFlows!S51</f>
        <v/>
      </c>
      <c r="AC51" s="2">
        <f>AC50+AD51-AE51</f>
        <v/>
      </c>
      <c r="AD51" s="2">
        <f>AC50*(B51+Inputs!$B$78)/12</f>
        <v/>
      </c>
      <c r="AE51" s="2">
        <f>MIN(AB51,AC50+AD51)</f>
        <v/>
      </c>
      <c r="AF51" s="2">
        <f>AB51-AE51</f>
        <v/>
      </c>
    </row>
    <row r="52">
      <c r="A52" s="7" t="n">
        <v>47</v>
      </c>
      <c r="B52" s="3">
        <f>Pool!B52</f>
        <v/>
      </c>
      <c r="C52" s="8">
        <f>C51/(1+(B52+Inputs!$B$64)/12)</f>
        <v/>
      </c>
      <c r="D52" s="8">
        <f>D51/(1+(B52+Inputs!$B$65)/12)</f>
        <v/>
      </c>
      <c r="E52" s="8">
        <f>E51/(1+(B52+Inputs!$B$66)/12)</f>
        <v/>
      </c>
      <c r="F52" s="8">
        <f>F51/(1+(B52+Inputs!$B$67)/12)</f>
        <v/>
      </c>
      <c r="G52" s="8">
        <f>G51/(1+(B52+Inputs!$B$78)/12)</f>
        <v/>
      </c>
      <c r="H52" s="2">
        <f>Retention!$B$15*CashFlows!F52+Retention!$C$15*CashFlows!K52+Retention!$D$15*CashFlows!P52+Retention!$E$15*CashFlows!S52</f>
        <v/>
      </c>
      <c r="I52" s="2">
        <f>I51+J52-K52</f>
        <v/>
      </c>
      <c r="J52" s="2">
        <f>I51*(B52+Inputs!$B$78)/12</f>
        <v/>
      </c>
      <c r="K52" s="2">
        <f>MIN(H52,I51+J52)</f>
        <v/>
      </c>
      <c r="L52" s="2">
        <f>H52-K52</f>
        <v/>
      </c>
      <c r="M52" s="2">
        <f>Retention!$B$16*CashFlows!F52+Retention!$C$16*CashFlows!K52+Retention!$D$16*CashFlows!P52+Retention!$E$16*CashFlows!S52</f>
        <v/>
      </c>
      <c r="N52" s="2">
        <f>N51+O52-P52</f>
        <v/>
      </c>
      <c r="O52" s="2">
        <f>N51*(B52+Inputs!$B$78)/12</f>
        <v/>
      </c>
      <c r="P52" s="2">
        <f>MIN(M52,N51+O52)</f>
        <v/>
      </c>
      <c r="Q52" s="2">
        <f>M52-P52</f>
        <v/>
      </c>
      <c r="R52" s="2">
        <f>Retention!$B$17*CashFlows!F52+Retention!$C$17*CashFlows!K52+Retention!$D$17*CashFlows!P52+Retention!$E$17*CashFlows!S52</f>
        <v/>
      </c>
      <c r="S52" s="2">
        <f>S51+T52-U52</f>
        <v/>
      </c>
      <c r="T52" s="2">
        <f>S51*(B52+Inputs!$B$78)/12</f>
        <v/>
      </c>
      <c r="U52" s="2">
        <f>MIN(R52,S51+T52)</f>
        <v/>
      </c>
      <c r="V52" s="2">
        <f>R52-U52</f>
        <v/>
      </c>
      <c r="W52" s="2">
        <f>Retention!$B$18*CashFlows!F52+Retention!$C$18*CashFlows!K52+Retention!$D$18*CashFlows!P52+Retention!$E$18*CashFlows!S52</f>
        <v/>
      </c>
      <c r="X52" s="2">
        <f>X51+Y52-Z52</f>
        <v/>
      </c>
      <c r="Y52" s="2">
        <f>X51*(B52+Inputs!$B$78)/12</f>
        <v/>
      </c>
      <c r="Z52" s="2">
        <f>MIN(W52,X51+Y52)</f>
        <v/>
      </c>
      <c r="AA52" s="2">
        <f>W52-Z52</f>
        <v/>
      </c>
      <c r="AB52" s="2">
        <f>Retention!$B$19*CashFlows!F52+Retention!$C$19*CashFlows!K52+Retention!$D$19*CashFlows!P52+Retention!$E$19*CashFlows!S52</f>
        <v/>
      </c>
      <c r="AC52" s="2">
        <f>AC51+AD52-AE52</f>
        <v/>
      </c>
      <c r="AD52" s="2">
        <f>AC51*(B52+Inputs!$B$78)/12</f>
        <v/>
      </c>
      <c r="AE52" s="2">
        <f>MIN(AB52,AC51+AD52)</f>
        <v/>
      </c>
      <c r="AF52" s="2">
        <f>AB52-AE52</f>
        <v/>
      </c>
    </row>
    <row r="53">
      <c r="A53" s="7" t="n">
        <v>48</v>
      </c>
      <c r="B53" s="3">
        <f>Pool!B53</f>
        <v/>
      </c>
      <c r="C53" s="8">
        <f>C52/(1+(B53+Inputs!$B$64)/12)</f>
        <v/>
      </c>
      <c r="D53" s="8">
        <f>D52/(1+(B53+Inputs!$B$65)/12)</f>
        <v/>
      </c>
      <c r="E53" s="8">
        <f>E52/(1+(B53+Inputs!$B$66)/12)</f>
        <v/>
      </c>
      <c r="F53" s="8">
        <f>F52/(1+(B53+Inputs!$B$67)/12)</f>
        <v/>
      </c>
      <c r="G53" s="8">
        <f>G52/(1+(B53+Inputs!$B$78)/12)</f>
        <v/>
      </c>
      <c r="H53" s="2">
        <f>Retention!$B$15*CashFlows!F53+Retention!$C$15*CashFlows!K53+Retention!$D$15*CashFlows!P53+Retention!$E$15*CashFlows!S53</f>
        <v/>
      </c>
      <c r="I53" s="2">
        <f>I52+J53-K53</f>
        <v/>
      </c>
      <c r="J53" s="2">
        <f>I52*(B53+Inputs!$B$78)/12</f>
        <v/>
      </c>
      <c r="K53" s="2">
        <f>MIN(H53,I52+J53)</f>
        <v/>
      </c>
      <c r="L53" s="2">
        <f>H53-K53</f>
        <v/>
      </c>
      <c r="M53" s="2">
        <f>Retention!$B$16*CashFlows!F53+Retention!$C$16*CashFlows!K53+Retention!$D$16*CashFlows!P53+Retention!$E$16*CashFlows!S53</f>
        <v/>
      </c>
      <c r="N53" s="2">
        <f>N52+O53-P53</f>
        <v/>
      </c>
      <c r="O53" s="2">
        <f>N52*(B53+Inputs!$B$78)/12</f>
        <v/>
      </c>
      <c r="P53" s="2">
        <f>MIN(M53,N52+O53)</f>
        <v/>
      </c>
      <c r="Q53" s="2">
        <f>M53-P53</f>
        <v/>
      </c>
      <c r="R53" s="2">
        <f>Retention!$B$17*CashFlows!F53+Retention!$C$17*CashFlows!K53+Retention!$D$17*CashFlows!P53+Retention!$E$17*CashFlows!S53</f>
        <v/>
      </c>
      <c r="S53" s="2">
        <f>S52+T53-U53</f>
        <v/>
      </c>
      <c r="T53" s="2">
        <f>S52*(B53+Inputs!$B$78)/12</f>
        <v/>
      </c>
      <c r="U53" s="2">
        <f>MIN(R53,S52+T53)</f>
        <v/>
      </c>
      <c r="V53" s="2">
        <f>R53-U53</f>
        <v/>
      </c>
      <c r="W53" s="2">
        <f>Retention!$B$18*CashFlows!F53+Retention!$C$18*CashFlows!K53+Retention!$D$18*CashFlows!P53+Retention!$E$18*CashFlows!S53</f>
        <v/>
      </c>
      <c r="X53" s="2">
        <f>X52+Y53-Z53</f>
        <v/>
      </c>
      <c r="Y53" s="2">
        <f>X52*(B53+Inputs!$B$78)/12</f>
        <v/>
      </c>
      <c r="Z53" s="2">
        <f>MIN(W53,X52+Y53)</f>
        <v/>
      </c>
      <c r="AA53" s="2">
        <f>W53-Z53</f>
        <v/>
      </c>
      <c r="AB53" s="2">
        <f>Retention!$B$19*CashFlows!F53+Retention!$C$19*CashFlows!K53+Retention!$D$19*CashFlows!P53+Retention!$E$19*CashFlows!S53</f>
        <v/>
      </c>
      <c r="AC53" s="2">
        <f>AC52+AD53-AE53</f>
        <v/>
      </c>
      <c r="AD53" s="2">
        <f>AC52*(B53+Inputs!$B$78)/12</f>
        <v/>
      </c>
      <c r="AE53" s="2">
        <f>MIN(AB53,AC52+AD53)</f>
        <v/>
      </c>
      <c r="AF53" s="2">
        <f>AB53-AE53</f>
        <v/>
      </c>
    </row>
    <row r="54">
      <c r="A54" s="7" t="n">
        <v>49</v>
      </c>
      <c r="B54" s="3">
        <f>Pool!B54</f>
        <v/>
      </c>
      <c r="C54" s="8">
        <f>C53/(1+(B54+Inputs!$B$64)/12)</f>
        <v/>
      </c>
      <c r="D54" s="8">
        <f>D53/(1+(B54+Inputs!$B$65)/12)</f>
        <v/>
      </c>
      <c r="E54" s="8">
        <f>E53/(1+(B54+Inputs!$B$66)/12)</f>
        <v/>
      </c>
      <c r="F54" s="8">
        <f>F53/(1+(B54+Inputs!$B$67)/12)</f>
        <v/>
      </c>
      <c r="G54" s="8">
        <f>G53/(1+(B54+Inputs!$B$78)/12)</f>
        <v/>
      </c>
      <c r="H54" s="2">
        <f>Retention!$B$15*CashFlows!F54+Retention!$C$15*CashFlows!K54+Retention!$D$15*CashFlows!P54+Retention!$E$15*CashFlows!S54</f>
        <v/>
      </c>
      <c r="I54" s="2">
        <f>I53+J54-K54</f>
        <v/>
      </c>
      <c r="J54" s="2">
        <f>I53*(B54+Inputs!$B$78)/12</f>
        <v/>
      </c>
      <c r="K54" s="2">
        <f>MIN(H54,I53+J54)</f>
        <v/>
      </c>
      <c r="L54" s="2">
        <f>H54-K54</f>
        <v/>
      </c>
      <c r="M54" s="2">
        <f>Retention!$B$16*CashFlows!F54+Retention!$C$16*CashFlows!K54+Retention!$D$16*CashFlows!P54+Retention!$E$16*CashFlows!S54</f>
        <v/>
      </c>
      <c r="N54" s="2">
        <f>N53+O54-P54</f>
        <v/>
      </c>
      <c r="O54" s="2">
        <f>N53*(B54+Inputs!$B$78)/12</f>
        <v/>
      </c>
      <c r="P54" s="2">
        <f>MIN(M54,N53+O54)</f>
        <v/>
      </c>
      <c r="Q54" s="2">
        <f>M54-P54</f>
        <v/>
      </c>
      <c r="R54" s="2">
        <f>Retention!$B$17*CashFlows!F54+Retention!$C$17*CashFlows!K54+Retention!$D$17*CashFlows!P54+Retention!$E$17*CashFlows!S54</f>
        <v/>
      </c>
      <c r="S54" s="2">
        <f>S53+T54-U54</f>
        <v/>
      </c>
      <c r="T54" s="2">
        <f>S53*(B54+Inputs!$B$78)/12</f>
        <v/>
      </c>
      <c r="U54" s="2">
        <f>MIN(R54,S53+T54)</f>
        <v/>
      </c>
      <c r="V54" s="2">
        <f>R54-U54</f>
        <v/>
      </c>
      <c r="W54" s="2">
        <f>Retention!$B$18*CashFlows!F54+Retention!$C$18*CashFlows!K54+Retention!$D$18*CashFlows!P54+Retention!$E$18*CashFlows!S54</f>
        <v/>
      </c>
      <c r="X54" s="2">
        <f>X53+Y54-Z54</f>
        <v/>
      </c>
      <c r="Y54" s="2">
        <f>X53*(B54+Inputs!$B$78)/12</f>
        <v/>
      </c>
      <c r="Z54" s="2">
        <f>MIN(W54,X53+Y54)</f>
        <v/>
      </c>
      <c r="AA54" s="2">
        <f>W54-Z54</f>
        <v/>
      </c>
      <c r="AB54" s="2">
        <f>Retention!$B$19*CashFlows!F54+Retention!$C$19*CashFlows!K54+Retention!$D$19*CashFlows!P54+Retention!$E$19*CashFlows!S54</f>
        <v/>
      </c>
      <c r="AC54" s="2">
        <f>AC53+AD54-AE54</f>
        <v/>
      </c>
      <c r="AD54" s="2">
        <f>AC53*(B54+Inputs!$B$78)/12</f>
        <v/>
      </c>
      <c r="AE54" s="2">
        <f>MIN(AB54,AC53+AD54)</f>
        <v/>
      </c>
      <c r="AF54" s="2">
        <f>AB54-AE54</f>
        <v/>
      </c>
    </row>
    <row r="55">
      <c r="A55" s="7" t="n">
        <v>50</v>
      </c>
      <c r="B55" s="3">
        <f>Pool!B55</f>
        <v/>
      </c>
      <c r="C55" s="8">
        <f>C54/(1+(B55+Inputs!$B$64)/12)</f>
        <v/>
      </c>
      <c r="D55" s="8">
        <f>D54/(1+(B55+Inputs!$B$65)/12)</f>
        <v/>
      </c>
      <c r="E55" s="8">
        <f>E54/(1+(B55+Inputs!$B$66)/12)</f>
        <v/>
      </c>
      <c r="F55" s="8">
        <f>F54/(1+(B55+Inputs!$B$67)/12)</f>
        <v/>
      </c>
      <c r="G55" s="8">
        <f>G54/(1+(B55+Inputs!$B$78)/12)</f>
        <v/>
      </c>
      <c r="H55" s="2">
        <f>Retention!$B$15*CashFlows!F55+Retention!$C$15*CashFlows!K55+Retention!$D$15*CashFlows!P55+Retention!$E$15*CashFlows!S55</f>
        <v/>
      </c>
      <c r="I55" s="2">
        <f>I54+J55-K55</f>
        <v/>
      </c>
      <c r="J55" s="2">
        <f>I54*(B55+Inputs!$B$78)/12</f>
        <v/>
      </c>
      <c r="K55" s="2">
        <f>MIN(H55,I54+J55)</f>
        <v/>
      </c>
      <c r="L55" s="2">
        <f>H55-K55</f>
        <v/>
      </c>
      <c r="M55" s="2">
        <f>Retention!$B$16*CashFlows!F55+Retention!$C$16*CashFlows!K55+Retention!$D$16*CashFlows!P55+Retention!$E$16*CashFlows!S55</f>
        <v/>
      </c>
      <c r="N55" s="2">
        <f>N54+O55-P55</f>
        <v/>
      </c>
      <c r="O55" s="2">
        <f>N54*(B55+Inputs!$B$78)/12</f>
        <v/>
      </c>
      <c r="P55" s="2">
        <f>MIN(M55,N54+O55)</f>
        <v/>
      </c>
      <c r="Q55" s="2">
        <f>M55-P55</f>
        <v/>
      </c>
      <c r="R55" s="2">
        <f>Retention!$B$17*CashFlows!F55+Retention!$C$17*CashFlows!K55+Retention!$D$17*CashFlows!P55+Retention!$E$17*CashFlows!S55</f>
        <v/>
      </c>
      <c r="S55" s="2">
        <f>S54+T55-U55</f>
        <v/>
      </c>
      <c r="T55" s="2">
        <f>S54*(B55+Inputs!$B$78)/12</f>
        <v/>
      </c>
      <c r="U55" s="2">
        <f>MIN(R55,S54+T55)</f>
        <v/>
      </c>
      <c r="V55" s="2">
        <f>R55-U55</f>
        <v/>
      </c>
      <c r="W55" s="2">
        <f>Retention!$B$18*CashFlows!F55+Retention!$C$18*CashFlows!K55+Retention!$D$18*CashFlows!P55+Retention!$E$18*CashFlows!S55</f>
        <v/>
      </c>
      <c r="X55" s="2">
        <f>X54+Y55-Z55</f>
        <v/>
      </c>
      <c r="Y55" s="2">
        <f>X54*(B55+Inputs!$B$78)/12</f>
        <v/>
      </c>
      <c r="Z55" s="2">
        <f>MIN(W55,X54+Y55)</f>
        <v/>
      </c>
      <c r="AA55" s="2">
        <f>W55-Z55</f>
        <v/>
      </c>
      <c r="AB55" s="2">
        <f>Retention!$B$19*CashFlows!F55+Retention!$C$19*CashFlows!K55+Retention!$D$19*CashFlows!P55+Retention!$E$19*CashFlows!S55</f>
        <v/>
      </c>
      <c r="AC55" s="2">
        <f>AC54+AD55-AE55</f>
        <v/>
      </c>
      <c r="AD55" s="2">
        <f>AC54*(B55+Inputs!$B$78)/12</f>
        <v/>
      </c>
      <c r="AE55" s="2">
        <f>MIN(AB55,AC54+AD55)</f>
        <v/>
      </c>
      <c r="AF55" s="2">
        <f>AB55-AE55</f>
        <v/>
      </c>
    </row>
    <row r="56">
      <c r="A56" s="7" t="n">
        <v>51</v>
      </c>
      <c r="B56" s="3">
        <f>Pool!B56</f>
        <v/>
      </c>
      <c r="C56" s="8">
        <f>C55/(1+(B56+Inputs!$B$64)/12)</f>
        <v/>
      </c>
      <c r="D56" s="8">
        <f>D55/(1+(B56+Inputs!$B$65)/12)</f>
        <v/>
      </c>
      <c r="E56" s="8">
        <f>E55/(1+(B56+Inputs!$B$66)/12)</f>
        <v/>
      </c>
      <c r="F56" s="8">
        <f>F55/(1+(B56+Inputs!$B$67)/12)</f>
        <v/>
      </c>
      <c r="G56" s="8">
        <f>G55/(1+(B56+Inputs!$B$78)/12)</f>
        <v/>
      </c>
      <c r="H56" s="2">
        <f>Retention!$B$15*CashFlows!F56+Retention!$C$15*CashFlows!K56+Retention!$D$15*CashFlows!P56+Retention!$E$15*CashFlows!S56</f>
        <v/>
      </c>
      <c r="I56" s="2">
        <f>I55+J56-K56</f>
        <v/>
      </c>
      <c r="J56" s="2">
        <f>I55*(B56+Inputs!$B$78)/12</f>
        <v/>
      </c>
      <c r="K56" s="2">
        <f>MIN(H56,I55+J56)</f>
        <v/>
      </c>
      <c r="L56" s="2">
        <f>H56-K56</f>
        <v/>
      </c>
      <c r="M56" s="2">
        <f>Retention!$B$16*CashFlows!F56+Retention!$C$16*CashFlows!K56+Retention!$D$16*CashFlows!P56+Retention!$E$16*CashFlows!S56</f>
        <v/>
      </c>
      <c r="N56" s="2">
        <f>N55+O56-P56</f>
        <v/>
      </c>
      <c r="O56" s="2">
        <f>N55*(B56+Inputs!$B$78)/12</f>
        <v/>
      </c>
      <c r="P56" s="2">
        <f>MIN(M56,N55+O56)</f>
        <v/>
      </c>
      <c r="Q56" s="2">
        <f>M56-P56</f>
        <v/>
      </c>
      <c r="R56" s="2">
        <f>Retention!$B$17*CashFlows!F56+Retention!$C$17*CashFlows!K56+Retention!$D$17*CashFlows!P56+Retention!$E$17*CashFlows!S56</f>
        <v/>
      </c>
      <c r="S56" s="2">
        <f>S55+T56-U56</f>
        <v/>
      </c>
      <c r="T56" s="2">
        <f>S55*(B56+Inputs!$B$78)/12</f>
        <v/>
      </c>
      <c r="U56" s="2">
        <f>MIN(R56,S55+T56)</f>
        <v/>
      </c>
      <c r="V56" s="2">
        <f>R56-U56</f>
        <v/>
      </c>
      <c r="W56" s="2">
        <f>Retention!$B$18*CashFlows!F56+Retention!$C$18*CashFlows!K56+Retention!$D$18*CashFlows!P56+Retention!$E$18*CashFlows!S56</f>
        <v/>
      </c>
      <c r="X56" s="2">
        <f>X55+Y56-Z56</f>
        <v/>
      </c>
      <c r="Y56" s="2">
        <f>X55*(B56+Inputs!$B$78)/12</f>
        <v/>
      </c>
      <c r="Z56" s="2">
        <f>MIN(W56,X55+Y56)</f>
        <v/>
      </c>
      <c r="AA56" s="2">
        <f>W56-Z56</f>
        <v/>
      </c>
      <c r="AB56" s="2">
        <f>Retention!$B$19*CashFlows!F56+Retention!$C$19*CashFlows!K56+Retention!$D$19*CashFlows!P56+Retention!$E$19*CashFlows!S56</f>
        <v/>
      </c>
      <c r="AC56" s="2">
        <f>AC55+AD56-AE56</f>
        <v/>
      </c>
      <c r="AD56" s="2">
        <f>AC55*(B56+Inputs!$B$78)/12</f>
        <v/>
      </c>
      <c r="AE56" s="2">
        <f>MIN(AB56,AC55+AD56)</f>
        <v/>
      </c>
      <c r="AF56" s="2">
        <f>AB56-AE56</f>
        <v/>
      </c>
    </row>
    <row r="57">
      <c r="A57" s="7" t="n">
        <v>52</v>
      </c>
      <c r="B57" s="3">
        <f>Pool!B57</f>
        <v/>
      </c>
      <c r="C57" s="8">
        <f>C56/(1+(B57+Inputs!$B$64)/12)</f>
        <v/>
      </c>
      <c r="D57" s="8">
        <f>D56/(1+(B57+Inputs!$B$65)/12)</f>
        <v/>
      </c>
      <c r="E57" s="8">
        <f>E56/(1+(B57+Inputs!$B$66)/12)</f>
        <v/>
      </c>
      <c r="F57" s="8">
        <f>F56/(1+(B57+Inputs!$B$67)/12)</f>
        <v/>
      </c>
      <c r="G57" s="8">
        <f>G56/(1+(B57+Inputs!$B$78)/12)</f>
        <v/>
      </c>
      <c r="H57" s="2">
        <f>Retention!$B$15*CashFlows!F57+Retention!$C$15*CashFlows!K57+Retention!$D$15*CashFlows!P57+Retention!$E$15*CashFlows!S57</f>
        <v/>
      </c>
      <c r="I57" s="2">
        <f>I56+J57-K57</f>
        <v/>
      </c>
      <c r="J57" s="2">
        <f>I56*(B57+Inputs!$B$78)/12</f>
        <v/>
      </c>
      <c r="K57" s="2">
        <f>MIN(H57,I56+J57)</f>
        <v/>
      </c>
      <c r="L57" s="2">
        <f>H57-K57</f>
        <v/>
      </c>
      <c r="M57" s="2">
        <f>Retention!$B$16*CashFlows!F57+Retention!$C$16*CashFlows!K57+Retention!$D$16*CashFlows!P57+Retention!$E$16*CashFlows!S57</f>
        <v/>
      </c>
      <c r="N57" s="2">
        <f>N56+O57-P57</f>
        <v/>
      </c>
      <c r="O57" s="2">
        <f>N56*(B57+Inputs!$B$78)/12</f>
        <v/>
      </c>
      <c r="P57" s="2">
        <f>MIN(M57,N56+O57)</f>
        <v/>
      </c>
      <c r="Q57" s="2">
        <f>M57-P57</f>
        <v/>
      </c>
      <c r="R57" s="2">
        <f>Retention!$B$17*CashFlows!F57+Retention!$C$17*CashFlows!K57+Retention!$D$17*CashFlows!P57+Retention!$E$17*CashFlows!S57</f>
        <v/>
      </c>
      <c r="S57" s="2">
        <f>S56+T57-U57</f>
        <v/>
      </c>
      <c r="T57" s="2">
        <f>S56*(B57+Inputs!$B$78)/12</f>
        <v/>
      </c>
      <c r="U57" s="2">
        <f>MIN(R57,S56+T57)</f>
        <v/>
      </c>
      <c r="V57" s="2">
        <f>R57-U57</f>
        <v/>
      </c>
      <c r="W57" s="2">
        <f>Retention!$B$18*CashFlows!F57+Retention!$C$18*CashFlows!K57+Retention!$D$18*CashFlows!P57+Retention!$E$18*CashFlows!S57</f>
        <v/>
      </c>
      <c r="X57" s="2">
        <f>X56+Y57-Z57</f>
        <v/>
      </c>
      <c r="Y57" s="2">
        <f>X56*(B57+Inputs!$B$78)/12</f>
        <v/>
      </c>
      <c r="Z57" s="2">
        <f>MIN(W57,X56+Y57)</f>
        <v/>
      </c>
      <c r="AA57" s="2">
        <f>W57-Z57</f>
        <v/>
      </c>
      <c r="AB57" s="2">
        <f>Retention!$B$19*CashFlows!F57+Retention!$C$19*CashFlows!K57+Retention!$D$19*CashFlows!P57+Retention!$E$19*CashFlows!S57</f>
        <v/>
      </c>
      <c r="AC57" s="2">
        <f>AC56+AD57-AE57</f>
        <v/>
      </c>
      <c r="AD57" s="2">
        <f>AC56*(B57+Inputs!$B$78)/12</f>
        <v/>
      </c>
      <c r="AE57" s="2">
        <f>MIN(AB57,AC56+AD57)</f>
        <v/>
      </c>
      <c r="AF57" s="2">
        <f>AB57-AE57</f>
        <v/>
      </c>
    </row>
    <row r="58">
      <c r="A58" s="7" t="n">
        <v>53</v>
      </c>
      <c r="B58" s="3">
        <f>Pool!B58</f>
        <v/>
      </c>
      <c r="C58" s="8">
        <f>C57/(1+(B58+Inputs!$B$64)/12)</f>
        <v/>
      </c>
      <c r="D58" s="8">
        <f>D57/(1+(B58+Inputs!$B$65)/12)</f>
        <v/>
      </c>
      <c r="E58" s="8">
        <f>E57/(1+(B58+Inputs!$B$66)/12)</f>
        <v/>
      </c>
      <c r="F58" s="8">
        <f>F57/(1+(B58+Inputs!$B$67)/12)</f>
        <v/>
      </c>
      <c r="G58" s="8">
        <f>G57/(1+(B58+Inputs!$B$78)/12)</f>
        <v/>
      </c>
      <c r="H58" s="2">
        <f>Retention!$B$15*CashFlows!F58+Retention!$C$15*CashFlows!K58+Retention!$D$15*CashFlows!P58+Retention!$E$15*CashFlows!S58</f>
        <v/>
      </c>
      <c r="I58" s="2">
        <f>I57+J58-K58</f>
        <v/>
      </c>
      <c r="J58" s="2">
        <f>I57*(B58+Inputs!$B$78)/12</f>
        <v/>
      </c>
      <c r="K58" s="2">
        <f>MIN(H58,I57+J58)</f>
        <v/>
      </c>
      <c r="L58" s="2">
        <f>H58-K58</f>
        <v/>
      </c>
      <c r="M58" s="2">
        <f>Retention!$B$16*CashFlows!F58+Retention!$C$16*CashFlows!K58+Retention!$D$16*CashFlows!P58+Retention!$E$16*CashFlows!S58</f>
        <v/>
      </c>
      <c r="N58" s="2">
        <f>N57+O58-P58</f>
        <v/>
      </c>
      <c r="O58" s="2">
        <f>N57*(B58+Inputs!$B$78)/12</f>
        <v/>
      </c>
      <c r="P58" s="2">
        <f>MIN(M58,N57+O58)</f>
        <v/>
      </c>
      <c r="Q58" s="2">
        <f>M58-P58</f>
        <v/>
      </c>
      <c r="R58" s="2">
        <f>Retention!$B$17*CashFlows!F58+Retention!$C$17*CashFlows!K58+Retention!$D$17*CashFlows!P58+Retention!$E$17*CashFlows!S58</f>
        <v/>
      </c>
      <c r="S58" s="2">
        <f>S57+T58-U58</f>
        <v/>
      </c>
      <c r="T58" s="2">
        <f>S57*(B58+Inputs!$B$78)/12</f>
        <v/>
      </c>
      <c r="U58" s="2">
        <f>MIN(R58,S57+T58)</f>
        <v/>
      </c>
      <c r="V58" s="2">
        <f>R58-U58</f>
        <v/>
      </c>
      <c r="W58" s="2">
        <f>Retention!$B$18*CashFlows!F58+Retention!$C$18*CashFlows!K58+Retention!$D$18*CashFlows!P58+Retention!$E$18*CashFlows!S58</f>
        <v/>
      </c>
      <c r="X58" s="2">
        <f>X57+Y58-Z58</f>
        <v/>
      </c>
      <c r="Y58" s="2">
        <f>X57*(B58+Inputs!$B$78)/12</f>
        <v/>
      </c>
      <c r="Z58" s="2">
        <f>MIN(W58,X57+Y58)</f>
        <v/>
      </c>
      <c r="AA58" s="2">
        <f>W58-Z58</f>
        <v/>
      </c>
      <c r="AB58" s="2">
        <f>Retention!$B$19*CashFlows!F58+Retention!$C$19*CashFlows!K58+Retention!$D$19*CashFlows!P58+Retention!$E$19*CashFlows!S58</f>
        <v/>
      </c>
      <c r="AC58" s="2">
        <f>AC57+AD58-AE58</f>
        <v/>
      </c>
      <c r="AD58" s="2">
        <f>AC57*(B58+Inputs!$B$78)/12</f>
        <v/>
      </c>
      <c r="AE58" s="2">
        <f>MIN(AB58,AC57+AD58)</f>
        <v/>
      </c>
      <c r="AF58" s="2">
        <f>AB58-AE58</f>
        <v/>
      </c>
    </row>
    <row r="59">
      <c r="A59" s="7" t="n">
        <v>54</v>
      </c>
      <c r="B59" s="3">
        <f>Pool!B59</f>
        <v/>
      </c>
      <c r="C59" s="8">
        <f>C58/(1+(B59+Inputs!$B$64)/12)</f>
        <v/>
      </c>
      <c r="D59" s="8">
        <f>D58/(1+(B59+Inputs!$B$65)/12)</f>
        <v/>
      </c>
      <c r="E59" s="8">
        <f>E58/(1+(B59+Inputs!$B$66)/12)</f>
        <v/>
      </c>
      <c r="F59" s="8">
        <f>F58/(1+(B59+Inputs!$B$67)/12)</f>
        <v/>
      </c>
      <c r="G59" s="8">
        <f>G58/(1+(B59+Inputs!$B$78)/12)</f>
        <v/>
      </c>
      <c r="H59" s="2">
        <f>Retention!$B$15*CashFlows!F59+Retention!$C$15*CashFlows!K59+Retention!$D$15*CashFlows!P59+Retention!$E$15*CashFlows!S59</f>
        <v/>
      </c>
      <c r="I59" s="2">
        <f>I58+J59-K59</f>
        <v/>
      </c>
      <c r="J59" s="2">
        <f>I58*(B59+Inputs!$B$78)/12</f>
        <v/>
      </c>
      <c r="K59" s="2">
        <f>MIN(H59,I58+J59)</f>
        <v/>
      </c>
      <c r="L59" s="2">
        <f>H59-K59</f>
        <v/>
      </c>
      <c r="M59" s="2">
        <f>Retention!$B$16*CashFlows!F59+Retention!$C$16*CashFlows!K59+Retention!$D$16*CashFlows!P59+Retention!$E$16*CashFlows!S59</f>
        <v/>
      </c>
      <c r="N59" s="2">
        <f>N58+O59-P59</f>
        <v/>
      </c>
      <c r="O59" s="2">
        <f>N58*(B59+Inputs!$B$78)/12</f>
        <v/>
      </c>
      <c r="P59" s="2">
        <f>MIN(M59,N58+O59)</f>
        <v/>
      </c>
      <c r="Q59" s="2">
        <f>M59-P59</f>
        <v/>
      </c>
      <c r="R59" s="2">
        <f>Retention!$B$17*CashFlows!F59+Retention!$C$17*CashFlows!K59+Retention!$D$17*CashFlows!P59+Retention!$E$17*CashFlows!S59</f>
        <v/>
      </c>
      <c r="S59" s="2">
        <f>S58+T59-U59</f>
        <v/>
      </c>
      <c r="T59" s="2">
        <f>S58*(B59+Inputs!$B$78)/12</f>
        <v/>
      </c>
      <c r="U59" s="2">
        <f>MIN(R59,S58+T59)</f>
        <v/>
      </c>
      <c r="V59" s="2">
        <f>R59-U59</f>
        <v/>
      </c>
      <c r="W59" s="2">
        <f>Retention!$B$18*CashFlows!F59+Retention!$C$18*CashFlows!K59+Retention!$D$18*CashFlows!P59+Retention!$E$18*CashFlows!S59</f>
        <v/>
      </c>
      <c r="X59" s="2">
        <f>X58+Y59-Z59</f>
        <v/>
      </c>
      <c r="Y59" s="2">
        <f>X58*(B59+Inputs!$B$78)/12</f>
        <v/>
      </c>
      <c r="Z59" s="2">
        <f>MIN(W59,X58+Y59)</f>
        <v/>
      </c>
      <c r="AA59" s="2">
        <f>W59-Z59</f>
        <v/>
      </c>
      <c r="AB59" s="2">
        <f>Retention!$B$19*CashFlows!F59+Retention!$C$19*CashFlows!K59+Retention!$D$19*CashFlows!P59+Retention!$E$19*CashFlows!S59</f>
        <v/>
      </c>
      <c r="AC59" s="2">
        <f>AC58+AD59-AE59</f>
        <v/>
      </c>
      <c r="AD59" s="2">
        <f>AC58*(B59+Inputs!$B$78)/12</f>
        <v/>
      </c>
      <c r="AE59" s="2">
        <f>MIN(AB59,AC58+AD59)</f>
        <v/>
      </c>
      <c r="AF59" s="2">
        <f>AB59-AE59</f>
        <v/>
      </c>
    </row>
    <row r="60">
      <c r="A60" s="7" t="n">
        <v>55</v>
      </c>
      <c r="B60" s="3">
        <f>Pool!B60</f>
        <v/>
      </c>
      <c r="C60" s="8">
        <f>C59/(1+(B60+Inputs!$B$64)/12)</f>
        <v/>
      </c>
      <c r="D60" s="8">
        <f>D59/(1+(B60+Inputs!$B$65)/12)</f>
        <v/>
      </c>
      <c r="E60" s="8">
        <f>E59/(1+(B60+Inputs!$B$66)/12)</f>
        <v/>
      </c>
      <c r="F60" s="8">
        <f>F59/(1+(B60+Inputs!$B$67)/12)</f>
        <v/>
      </c>
      <c r="G60" s="8">
        <f>G59/(1+(B60+Inputs!$B$78)/12)</f>
        <v/>
      </c>
      <c r="H60" s="2">
        <f>Retention!$B$15*CashFlows!F60+Retention!$C$15*CashFlows!K60+Retention!$D$15*CashFlows!P60+Retention!$E$15*CashFlows!S60</f>
        <v/>
      </c>
      <c r="I60" s="2">
        <f>I59+J60-K60</f>
        <v/>
      </c>
      <c r="J60" s="2">
        <f>I59*(B60+Inputs!$B$78)/12</f>
        <v/>
      </c>
      <c r="K60" s="2">
        <f>MIN(H60,I59+J60)</f>
        <v/>
      </c>
      <c r="L60" s="2">
        <f>H60-K60</f>
        <v/>
      </c>
      <c r="M60" s="2">
        <f>Retention!$B$16*CashFlows!F60+Retention!$C$16*CashFlows!K60+Retention!$D$16*CashFlows!P60+Retention!$E$16*CashFlows!S60</f>
        <v/>
      </c>
      <c r="N60" s="2">
        <f>N59+O60-P60</f>
        <v/>
      </c>
      <c r="O60" s="2">
        <f>N59*(B60+Inputs!$B$78)/12</f>
        <v/>
      </c>
      <c r="P60" s="2">
        <f>MIN(M60,N59+O60)</f>
        <v/>
      </c>
      <c r="Q60" s="2">
        <f>M60-P60</f>
        <v/>
      </c>
      <c r="R60" s="2">
        <f>Retention!$B$17*CashFlows!F60+Retention!$C$17*CashFlows!K60+Retention!$D$17*CashFlows!P60+Retention!$E$17*CashFlows!S60</f>
        <v/>
      </c>
      <c r="S60" s="2">
        <f>S59+T60-U60</f>
        <v/>
      </c>
      <c r="T60" s="2">
        <f>S59*(B60+Inputs!$B$78)/12</f>
        <v/>
      </c>
      <c r="U60" s="2">
        <f>MIN(R60,S59+T60)</f>
        <v/>
      </c>
      <c r="V60" s="2">
        <f>R60-U60</f>
        <v/>
      </c>
      <c r="W60" s="2">
        <f>Retention!$B$18*CashFlows!F60+Retention!$C$18*CashFlows!K60+Retention!$D$18*CashFlows!P60+Retention!$E$18*CashFlows!S60</f>
        <v/>
      </c>
      <c r="X60" s="2">
        <f>X59+Y60-Z60</f>
        <v/>
      </c>
      <c r="Y60" s="2">
        <f>X59*(B60+Inputs!$B$78)/12</f>
        <v/>
      </c>
      <c r="Z60" s="2">
        <f>MIN(W60,X59+Y60)</f>
        <v/>
      </c>
      <c r="AA60" s="2">
        <f>W60-Z60</f>
        <v/>
      </c>
      <c r="AB60" s="2">
        <f>Retention!$B$19*CashFlows!F60+Retention!$C$19*CashFlows!K60+Retention!$D$19*CashFlows!P60+Retention!$E$19*CashFlows!S60</f>
        <v/>
      </c>
      <c r="AC60" s="2">
        <f>AC59+AD60-AE60</f>
        <v/>
      </c>
      <c r="AD60" s="2">
        <f>AC59*(B60+Inputs!$B$78)/12</f>
        <v/>
      </c>
      <c r="AE60" s="2">
        <f>MIN(AB60,AC59+AD60)</f>
        <v/>
      </c>
      <c r="AF60" s="2">
        <f>AB60-AE60</f>
        <v/>
      </c>
    </row>
    <row r="61">
      <c r="A61" s="7" t="n">
        <v>56</v>
      </c>
      <c r="B61" s="3">
        <f>Pool!B61</f>
        <v/>
      </c>
      <c r="C61" s="8">
        <f>C60/(1+(B61+Inputs!$B$64)/12)</f>
        <v/>
      </c>
      <c r="D61" s="8">
        <f>D60/(1+(B61+Inputs!$B$65)/12)</f>
        <v/>
      </c>
      <c r="E61" s="8">
        <f>E60/(1+(B61+Inputs!$B$66)/12)</f>
        <v/>
      </c>
      <c r="F61" s="8">
        <f>F60/(1+(B61+Inputs!$B$67)/12)</f>
        <v/>
      </c>
      <c r="G61" s="8">
        <f>G60/(1+(B61+Inputs!$B$78)/12)</f>
        <v/>
      </c>
      <c r="H61" s="2">
        <f>Retention!$B$15*CashFlows!F61+Retention!$C$15*CashFlows!K61+Retention!$D$15*CashFlows!P61+Retention!$E$15*CashFlows!S61</f>
        <v/>
      </c>
      <c r="I61" s="2">
        <f>I60+J61-K61</f>
        <v/>
      </c>
      <c r="J61" s="2">
        <f>I60*(B61+Inputs!$B$78)/12</f>
        <v/>
      </c>
      <c r="K61" s="2">
        <f>MIN(H61,I60+J61)</f>
        <v/>
      </c>
      <c r="L61" s="2">
        <f>H61-K61</f>
        <v/>
      </c>
      <c r="M61" s="2">
        <f>Retention!$B$16*CashFlows!F61+Retention!$C$16*CashFlows!K61+Retention!$D$16*CashFlows!P61+Retention!$E$16*CashFlows!S61</f>
        <v/>
      </c>
      <c r="N61" s="2">
        <f>N60+O61-P61</f>
        <v/>
      </c>
      <c r="O61" s="2">
        <f>N60*(B61+Inputs!$B$78)/12</f>
        <v/>
      </c>
      <c r="P61" s="2">
        <f>MIN(M61,N60+O61)</f>
        <v/>
      </c>
      <c r="Q61" s="2">
        <f>M61-P61</f>
        <v/>
      </c>
      <c r="R61" s="2">
        <f>Retention!$B$17*CashFlows!F61+Retention!$C$17*CashFlows!K61+Retention!$D$17*CashFlows!P61+Retention!$E$17*CashFlows!S61</f>
        <v/>
      </c>
      <c r="S61" s="2">
        <f>S60+T61-U61</f>
        <v/>
      </c>
      <c r="T61" s="2">
        <f>S60*(B61+Inputs!$B$78)/12</f>
        <v/>
      </c>
      <c r="U61" s="2">
        <f>MIN(R61,S60+T61)</f>
        <v/>
      </c>
      <c r="V61" s="2">
        <f>R61-U61</f>
        <v/>
      </c>
      <c r="W61" s="2">
        <f>Retention!$B$18*CashFlows!F61+Retention!$C$18*CashFlows!K61+Retention!$D$18*CashFlows!P61+Retention!$E$18*CashFlows!S61</f>
        <v/>
      </c>
      <c r="X61" s="2">
        <f>X60+Y61-Z61</f>
        <v/>
      </c>
      <c r="Y61" s="2">
        <f>X60*(B61+Inputs!$B$78)/12</f>
        <v/>
      </c>
      <c r="Z61" s="2">
        <f>MIN(W61,X60+Y61)</f>
        <v/>
      </c>
      <c r="AA61" s="2">
        <f>W61-Z61</f>
        <v/>
      </c>
      <c r="AB61" s="2">
        <f>Retention!$B$19*CashFlows!F61+Retention!$C$19*CashFlows!K61+Retention!$D$19*CashFlows!P61+Retention!$E$19*CashFlows!S61</f>
        <v/>
      </c>
      <c r="AC61" s="2">
        <f>AC60+AD61-AE61</f>
        <v/>
      </c>
      <c r="AD61" s="2">
        <f>AC60*(B61+Inputs!$B$78)/12</f>
        <v/>
      </c>
      <c r="AE61" s="2">
        <f>MIN(AB61,AC60+AD61)</f>
        <v/>
      </c>
      <c r="AF61" s="2">
        <f>AB61-AE61</f>
        <v/>
      </c>
    </row>
    <row r="62">
      <c r="A62" s="7" t="n">
        <v>57</v>
      </c>
      <c r="B62" s="3">
        <f>Pool!B62</f>
        <v/>
      </c>
      <c r="C62" s="8">
        <f>C61/(1+(B62+Inputs!$B$64)/12)</f>
        <v/>
      </c>
      <c r="D62" s="8">
        <f>D61/(1+(B62+Inputs!$B$65)/12)</f>
        <v/>
      </c>
      <c r="E62" s="8">
        <f>E61/(1+(B62+Inputs!$B$66)/12)</f>
        <v/>
      </c>
      <c r="F62" s="8">
        <f>F61/(1+(B62+Inputs!$B$67)/12)</f>
        <v/>
      </c>
      <c r="G62" s="8">
        <f>G61/(1+(B62+Inputs!$B$78)/12)</f>
        <v/>
      </c>
      <c r="H62" s="2">
        <f>Retention!$B$15*CashFlows!F62+Retention!$C$15*CashFlows!K62+Retention!$D$15*CashFlows!P62+Retention!$E$15*CashFlows!S62</f>
        <v/>
      </c>
      <c r="I62" s="2">
        <f>I61+J62-K62</f>
        <v/>
      </c>
      <c r="J62" s="2">
        <f>I61*(B62+Inputs!$B$78)/12</f>
        <v/>
      </c>
      <c r="K62" s="2">
        <f>MIN(H62,I61+J62)</f>
        <v/>
      </c>
      <c r="L62" s="2">
        <f>H62-K62</f>
        <v/>
      </c>
      <c r="M62" s="2">
        <f>Retention!$B$16*CashFlows!F62+Retention!$C$16*CashFlows!K62+Retention!$D$16*CashFlows!P62+Retention!$E$16*CashFlows!S62</f>
        <v/>
      </c>
      <c r="N62" s="2">
        <f>N61+O62-P62</f>
        <v/>
      </c>
      <c r="O62" s="2">
        <f>N61*(B62+Inputs!$B$78)/12</f>
        <v/>
      </c>
      <c r="P62" s="2">
        <f>MIN(M62,N61+O62)</f>
        <v/>
      </c>
      <c r="Q62" s="2">
        <f>M62-P62</f>
        <v/>
      </c>
      <c r="R62" s="2">
        <f>Retention!$B$17*CashFlows!F62+Retention!$C$17*CashFlows!K62+Retention!$D$17*CashFlows!P62+Retention!$E$17*CashFlows!S62</f>
        <v/>
      </c>
      <c r="S62" s="2">
        <f>S61+T62-U62</f>
        <v/>
      </c>
      <c r="T62" s="2">
        <f>S61*(B62+Inputs!$B$78)/12</f>
        <v/>
      </c>
      <c r="U62" s="2">
        <f>MIN(R62,S61+T62)</f>
        <v/>
      </c>
      <c r="V62" s="2">
        <f>R62-U62</f>
        <v/>
      </c>
      <c r="W62" s="2">
        <f>Retention!$B$18*CashFlows!F62+Retention!$C$18*CashFlows!K62+Retention!$D$18*CashFlows!P62+Retention!$E$18*CashFlows!S62</f>
        <v/>
      </c>
      <c r="X62" s="2">
        <f>X61+Y62-Z62</f>
        <v/>
      </c>
      <c r="Y62" s="2">
        <f>X61*(B62+Inputs!$B$78)/12</f>
        <v/>
      </c>
      <c r="Z62" s="2">
        <f>MIN(W62,X61+Y62)</f>
        <v/>
      </c>
      <c r="AA62" s="2">
        <f>W62-Z62</f>
        <v/>
      </c>
      <c r="AB62" s="2">
        <f>Retention!$B$19*CashFlows!F62+Retention!$C$19*CashFlows!K62+Retention!$D$19*CashFlows!P62+Retention!$E$19*CashFlows!S62</f>
        <v/>
      </c>
      <c r="AC62" s="2">
        <f>AC61+AD62-AE62</f>
        <v/>
      </c>
      <c r="AD62" s="2">
        <f>AC61*(B62+Inputs!$B$78)/12</f>
        <v/>
      </c>
      <c r="AE62" s="2">
        <f>MIN(AB62,AC61+AD62)</f>
        <v/>
      </c>
      <c r="AF62" s="2">
        <f>AB62-AE62</f>
        <v/>
      </c>
    </row>
    <row r="63">
      <c r="A63" s="7" t="n">
        <v>58</v>
      </c>
      <c r="B63" s="3">
        <f>Pool!B63</f>
        <v/>
      </c>
      <c r="C63" s="8">
        <f>C62/(1+(B63+Inputs!$B$64)/12)</f>
        <v/>
      </c>
      <c r="D63" s="8">
        <f>D62/(1+(B63+Inputs!$B$65)/12)</f>
        <v/>
      </c>
      <c r="E63" s="8">
        <f>E62/(1+(B63+Inputs!$B$66)/12)</f>
        <v/>
      </c>
      <c r="F63" s="8">
        <f>F62/(1+(B63+Inputs!$B$67)/12)</f>
        <v/>
      </c>
      <c r="G63" s="8">
        <f>G62/(1+(B63+Inputs!$B$78)/12)</f>
        <v/>
      </c>
      <c r="H63" s="2">
        <f>Retention!$B$15*CashFlows!F63+Retention!$C$15*CashFlows!K63+Retention!$D$15*CashFlows!P63+Retention!$E$15*CashFlows!S63</f>
        <v/>
      </c>
      <c r="I63" s="2">
        <f>I62+J63-K63</f>
        <v/>
      </c>
      <c r="J63" s="2">
        <f>I62*(B63+Inputs!$B$78)/12</f>
        <v/>
      </c>
      <c r="K63" s="2">
        <f>MIN(H63,I62+J63)</f>
        <v/>
      </c>
      <c r="L63" s="2">
        <f>H63-K63</f>
        <v/>
      </c>
      <c r="M63" s="2">
        <f>Retention!$B$16*CashFlows!F63+Retention!$C$16*CashFlows!K63+Retention!$D$16*CashFlows!P63+Retention!$E$16*CashFlows!S63</f>
        <v/>
      </c>
      <c r="N63" s="2">
        <f>N62+O63-P63</f>
        <v/>
      </c>
      <c r="O63" s="2">
        <f>N62*(B63+Inputs!$B$78)/12</f>
        <v/>
      </c>
      <c r="P63" s="2">
        <f>MIN(M63,N62+O63)</f>
        <v/>
      </c>
      <c r="Q63" s="2">
        <f>M63-P63</f>
        <v/>
      </c>
      <c r="R63" s="2">
        <f>Retention!$B$17*CashFlows!F63+Retention!$C$17*CashFlows!K63+Retention!$D$17*CashFlows!P63+Retention!$E$17*CashFlows!S63</f>
        <v/>
      </c>
      <c r="S63" s="2">
        <f>S62+T63-U63</f>
        <v/>
      </c>
      <c r="T63" s="2">
        <f>S62*(B63+Inputs!$B$78)/12</f>
        <v/>
      </c>
      <c r="U63" s="2">
        <f>MIN(R63,S62+T63)</f>
        <v/>
      </c>
      <c r="V63" s="2">
        <f>R63-U63</f>
        <v/>
      </c>
      <c r="W63" s="2">
        <f>Retention!$B$18*CashFlows!F63+Retention!$C$18*CashFlows!K63+Retention!$D$18*CashFlows!P63+Retention!$E$18*CashFlows!S63</f>
        <v/>
      </c>
      <c r="X63" s="2">
        <f>X62+Y63-Z63</f>
        <v/>
      </c>
      <c r="Y63" s="2">
        <f>X62*(B63+Inputs!$B$78)/12</f>
        <v/>
      </c>
      <c r="Z63" s="2">
        <f>MIN(W63,X62+Y63)</f>
        <v/>
      </c>
      <c r="AA63" s="2">
        <f>W63-Z63</f>
        <v/>
      </c>
      <c r="AB63" s="2">
        <f>Retention!$B$19*CashFlows!F63+Retention!$C$19*CashFlows!K63+Retention!$D$19*CashFlows!P63+Retention!$E$19*CashFlows!S63</f>
        <v/>
      </c>
      <c r="AC63" s="2">
        <f>AC62+AD63-AE63</f>
        <v/>
      </c>
      <c r="AD63" s="2">
        <f>AC62*(B63+Inputs!$B$78)/12</f>
        <v/>
      </c>
      <c r="AE63" s="2">
        <f>MIN(AB63,AC62+AD63)</f>
        <v/>
      </c>
      <c r="AF63" s="2">
        <f>AB63-AE63</f>
        <v/>
      </c>
    </row>
    <row r="64">
      <c r="A64" s="7" t="n">
        <v>59</v>
      </c>
      <c r="B64" s="3">
        <f>Pool!B64</f>
        <v/>
      </c>
      <c r="C64" s="8">
        <f>C63/(1+(B64+Inputs!$B$64)/12)</f>
        <v/>
      </c>
      <c r="D64" s="8">
        <f>D63/(1+(B64+Inputs!$B$65)/12)</f>
        <v/>
      </c>
      <c r="E64" s="8">
        <f>E63/(1+(B64+Inputs!$B$66)/12)</f>
        <v/>
      </c>
      <c r="F64" s="8">
        <f>F63/(1+(B64+Inputs!$B$67)/12)</f>
        <v/>
      </c>
      <c r="G64" s="8">
        <f>G63/(1+(B64+Inputs!$B$78)/12)</f>
        <v/>
      </c>
      <c r="H64" s="2">
        <f>Retention!$B$15*CashFlows!F64+Retention!$C$15*CashFlows!K64+Retention!$D$15*CashFlows!P64+Retention!$E$15*CashFlows!S64</f>
        <v/>
      </c>
      <c r="I64" s="2">
        <f>I63+J64-K64</f>
        <v/>
      </c>
      <c r="J64" s="2">
        <f>I63*(B64+Inputs!$B$78)/12</f>
        <v/>
      </c>
      <c r="K64" s="2">
        <f>MIN(H64,I63+J64)</f>
        <v/>
      </c>
      <c r="L64" s="2">
        <f>H64-K64</f>
        <v/>
      </c>
      <c r="M64" s="2">
        <f>Retention!$B$16*CashFlows!F64+Retention!$C$16*CashFlows!K64+Retention!$D$16*CashFlows!P64+Retention!$E$16*CashFlows!S64</f>
        <v/>
      </c>
      <c r="N64" s="2">
        <f>N63+O64-P64</f>
        <v/>
      </c>
      <c r="O64" s="2">
        <f>N63*(B64+Inputs!$B$78)/12</f>
        <v/>
      </c>
      <c r="P64" s="2">
        <f>MIN(M64,N63+O64)</f>
        <v/>
      </c>
      <c r="Q64" s="2">
        <f>M64-P64</f>
        <v/>
      </c>
      <c r="R64" s="2">
        <f>Retention!$B$17*CashFlows!F64+Retention!$C$17*CashFlows!K64+Retention!$D$17*CashFlows!P64+Retention!$E$17*CashFlows!S64</f>
        <v/>
      </c>
      <c r="S64" s="2">
        <f>S63+T64-U64</f>
        <v/>
      </c>
      <c r="T64" s="2">
        <f>S63*(B64+Inputs!$B$78)/12</f>
        <v/>
      </c>
      <c r="U64" s="2">
        <f>MIN(R64,S63+T64)</f>
        <v/>
      </c>
      <c r="V64" s="2">
        <f>R64-U64</f>
        <v/>
      </c>
      <c r="W64" s="2">
        <f>Retention!$B$18*CashFlows!F64+Retention!$C$18*CashFlows!K64+Retention!$D$18*CashFlows!P64+Retention!$E$18*CashFlows!S64</f>
        <v/>
      </c>
      <c r="X64" s="2">
        <f>X63+Y64-Z64</f>
        <v/>
      </c>
      <c r="Y64" s="2">
        <f>X63*(B64+Inputs!$B$78)/12</f>
        <v/>
      </c>
      <c r="Z64" s="2">
        <f>MIN(W64,X63+Y64)</f>
        <v/>
      </c>
      <c r="AA64" s="2">
        <f>W64-Z64</f>
        <v/>
      </c>
      <c r="AB64" s="2">
        <f>Retention!$B$19*CashFlows!F64+Retention!$C$19*CashFlows!K64+Retention!$D$19*CashFlows!P64+Retention!$E$19*CashFlows!S64</f>
        <v/>
      </c>
      <c r="AC64" s="2">
        <f>AC63+AD64-AE64</f>
        <v/>
      </c>
      <c r="AD64" s="2">
        <f>AC63*(B64+Inputs!$B$78)/12</f>
        <v/>
      </c>
      <c r="AE64" s="2">
        <f>MIN(AB64,AC63+AD64)</f>
        <v/>
      </c>
      <c r="AF64" s="2">
        <f>AB64-AE64</f>
        <v/>
      </c>
    </row>
    <row r="65">
      <c r="A65" s="7" t="n">
        <v>60</v>
      </c>
      <c r="B65" s="3">
        <f>Pool!B65</f>
        <v/>
      </c>
      <c r="C65" s="8">
        <f>C64/(1+(B65+Inputs!$B$64)/12)</f>
        <v/>
      </c>
      <c r="D65" s="8">
        <f>D64/(1+(B65+Inputs!$B$65)/12)</f>
        <v/>
      </c>
      <c r="E65" s="8">
        <f>E64/(1+(B65+Inputs!$B$66)/12)</f>
        <v/>
      </c>
      <c r="F65" s="8">
        <f>F64/(1+(B65+Inputs!$B$67)/12)</f>
        <v/>
      </c>
      <c r="G65" s="8">
        <f>G64/(1+(B65+Inputs!$B$78)/12)</f>
        <v/>
      </c>
      <c r="H65" s="2">
        <f>Retention!$B$15*CashFlows!F65+Retention!$C$15*CashFlows!K65+Retention!$D$15*CashFlows!P65+Retention!$E$15*CashFlows!S65</f>
        <v/>
      </c>
      <c r="I65" s="2">
        <f>I64+J65-K65</f>
        <v/>
      </c>
      <c r="J65" s="2">
        <f>I64*(B65+Inputs!$B$78)/12</f>
        <v/>
      </c>
      <c r="K65" s="2">
        <f>MIN(H65,I64+J65)</f>
        <v/>
      </c>
      <c r="L65" s="2">
        <f>H65-K65</f>
        <v/>
      </c>
      <c r="M65" s="2">
        <f>Retention!$B$16*CashFlows!F65+Retention!$C$16*CashFlows!K65+Retention!$D$16*CashFlows!P65+Retention!$E$16*CashFlows!S65</f>
        <v/>
      </c>
      <c r="N65" s="2">
        <f>N64+O65-P65</f>
        <v/>
      </c>
      <c r="O65" s="2">
        <f>N64*(B65+Inputs!$B$78)/12</f>
        <v/>
      </c>
      <c r="P65" s="2">
        <f>MIN(M65,N64+O65)</f>
        <v/>
      </c>
      <c r="Q65" s="2">
        <f>M65-P65</f>
        <v/>
      </c>
      <c r="R65" s="2">
        <f>Retention!$B$17*CashFlows!F65+Retention!$C$17*CashFlows!K65+Retention!$D$17*CashFlows!P65+Retention!$E$17*CashFlows!S65</f>
        <v/>
      </c>
      <c r="S65" s="2">
        <f>S64+T65-U65</f>
        <v/>
      </c>
      <c r="T65" s="2">
        <f>S64*(B65+Inputs!$B$78)/12</f>
        <v/>
      </c>
      <c r="U65" s="2">
        <f>MIN(R65,S64+T65)</f>
        <v/>
      </c>
      <c r="V65" s="2">
        <f>R65-U65</f>
        <v/>
      </c>
      <c r="W65" s="2">
        <f>Retention!$B$18*CashFlows!F65+Retention!$C$18*CashFlows!K65+Retention!$D$18*CashFlows!P65+Retention!$E$18*CashFlows!S65</f>
        <v/>
      </c>
      <c r="X65" s="2">
        <f>X64+Y65-Z65</f>
        <v/>
      </c>
      <c r="Y65" s="2">
        <f>X64*(B65+Inputs!$B$78)/12</f>
        <v/>
      </c>
      <c r="Z65" s="2">
        <f>MIN(W65,X64+Y65)</f>
        <v/>
      </c>
      <c r="AA65" s="2">
        <f>W65-Z65</f>
        <v/>
      </c>
      <c r="AB65" s="2">
        <f>Retention!$B$19*CashFlows!F65+Retention!$C$19*CashFlows!K65+Retention!$D$19*CashFlows!P65+Retention!$E$19*CashFlows!S65</f>
        <v/>
      </c>
      <c r="AC65" s="2">
        <f>AC64+AD65-AE65</f>
        <v/>
      </c>
      <c r="AD65" s="2">
        <f>AC64*(B65+Inputs!$B$78)/12</f>
        <v/>
      </c>
      <c r="AE65" s="2">
        <f>MIN(AB65,AC64+AD65)</f>
        <v/>
      </c>
      <c r="AF65" s="2">
        <f>AB65-AE65</f>
        <v/>
      </c>
    </row>
    <row r="66">
      <c r="A66" s="7" t="n">
        <v>61</v>
      </c>
      <c r="B66" s="3">
        <f>Pool!B66</f>
        <v/>
      </c>
      <c r="C66" s="8">
        <f>C65/(1+(B66+Inputs!$B$64)/12)</f>
        <v/>
      </c>
      <c r="D66" s="8">
        <f>D65/(1+(B66+Inputs!$B$65)/12)</f>
        <v/>
      </c>
      <c r="E66" s="8">
        <f>E65/(1+(B66+Inputs!$B$66)/12)</f>
        <v/>
      </c>
      <c r="F66" s="8">
        <f>F65/(1+(B66+Inputs!$B$67)/12)</f>
        <v/>
      </c>
      <c r="G66" s="8">
        <f>G65/(1+(B66+Inputs!$B$78)/12)</f>
        <v/>
      </c>
      <c r="H66" s="2">
        <f>Retention!$B$15*CashFlows!F66+Retention!$C$15*CashFlows!K66+Retention!$D$15*CashFlows!P66+Retention!$E$15*CashFlows!S66</f>
        <v/>
      </c>
      <c r="I66" s="2">
        <f>I65+J66-K66</f>
        <v/>
      </c>
      <c r="J66" s="2">
        <f>I65*(B66+Inputs!$B$78)/12</f>
        <v/>
      </c>
      <c r="K66" s="2">
        <f>MIN(H66,I65+J66)</f>
        <v/>
      </c>
      <c r="L66" s="2">
        <f>H66-K66</f>
        <v/>
      </c>
      <c r="M66" s="2">
        <f>Retention!$B$16*CashFlows!F66+Retention!$C$16*CashFlows!K66+Retention!$D$16*CashFlows!P66+Retention!$E$16*CashFlows!S66</f>
        <v/>
      </c>
      <c r="N66" s="2">
        <f>N65+O66-P66</f>
        <v/>
      </c>
      <c r="O66" s="2">
        <f>N65*(B66+Inputs!$B$78)/12</f>
        <v/>
      </c>
      <c r="P66" s="2">
        <f>MIN(M66,N65+O66)</f>
        <v/>
      </c>
      <c r="Q66" s="2">
        <f>M66-P66</f>
        <v/>
      </c>
      <c r="R66" s="2">
        <f>Retention!$B$17*CashFlows!F66+Retention!$C$17*CashFlows!K66+Retention!$D$17*CashFlows!P66+Retention!$E$17*CashFlows!S66</f>
        <v/>
      </c>
      <c r="S66" s="2">
        <f>S65+T66-U66</f>
        <v/>
      </c>
      <c r="T66" s="2">
        <f>S65*(B66+Inputs!$B$78)/12</f>
        <v/>
      </c>
      <c r="U66" s="2">
        <f>MIN(R66,S65+T66)</f>
        <v/>
      </c>
      <c r="V66" s="2">
        <f>R66-U66</f>
        <v/>
      </c>
      <c r="W66" s="2">
        <f>Retention!$B$18*CashFlows!F66+Retention!$C$18*CashFlows!K66+Retention!$D$18*CashFlows!P66+Retention!$E$18*CashFlows!S66</f>
        <v/>
      </c>
      <c r="X66" s="2">
        <f>X65+Y66-Z66</f>
        <v/>
      </c>
      <c r="Y66" s="2">
        <f>X65*(B66+Inputs!$B$78)/12</f>
        <v/>
      </c>
      <c r="Z66" s="2">
        <f>MIN(W66,X65+Y66)</f>
        <v/>
      </c>
      <c r="AA66" s="2">
        <f>W66-Z66</f>
        <v/>
      </c>
      <c r="AB66" s="2">
        <f>Retention!$B$19*CashFlows!F66+Retention!$C$19*CashFlows!K66+Retention!$D$19*CashFlows!P66+Retention!$E$19*CashFlows!S66</f>
        <v/>
      </c>
      <c r="AC66" s="2">
        <f>AC65+AD66-AE66</f>
        <v/>
      </c>
      <c r="AD66" s="2">
        <f>AC65*(B66+Inputs!$B$78)/12</f>
        <v/>
      </c>
      <c r="AE66" s="2">
        <f>MIN(AB66,AC65+AD66)</f>
        <v/>
      </c>
      <c r="AF66" s="2">
        <f>AB66-AE66</f>
        <v/>
      </c>
    </row>
    <row r="67">
      <c r="A67" s="7" t="n">
        <v>62</v>
      </c>
      <c r="B67" s="3">
        <f>Pool!B67</f>
        <v/>
      </c>
      <c r="C67" s="8">
        <f>C66/(1+(B67+Inputs!$B$64)/12)</f>
        <v/>
      </c>
      <c r="D67" s="8">
        <f>D66/(1+(B67+Inputs!$B$65)/12)</f>
        <v/>
      </c>
      <c r="E67" s="8">
        <f>E66/(1+(B67+Inputs!$B$66)/12)</f>
        <v/>
      </c>
      <c r="F67" s="8">
        <f>F66/(1+(B67+Inputs!$B$67)/12)</f>
        <v/>
      </c>
      <c r="G67" s="8">
        <f>G66/(1+(B67+Inputs!$B$78)/12)</f>
        <v/>
      </c>
      <c r="H67" s="2">
        <f>Retention!$B$15*CashFlows!F67+Retention!$C$15*CashFlows!K67+Retention!$D$15*CashFlows!P67+Retention!$E$15*CashFlows!S67</f>
        <v/>
      </c>
      <c r="I67" s="2">
        <f>I66+J67-K67</f>
        <v/>
      </c>
      <c r="J67" s="2">
        <f>I66*(B67+Inputs!$B$78)/12</f>
        <v/>
      </c>
      <c r="K67" s="2">
        <f>MIN(H67,I66+J67)</f>
        <v/>
      </c>
      <c r="L67" s="2">
        <f>H67-K67</f>
        <v/>
      </c>
      <c r="M67" s="2">
        <f>Retention!$B$16*CashFlows!F67+Retention!$C$16*CashFlows!K67+Retention!$D$16*CashFlows!P67+Retention!$E$16*CashFlows!S67</f>
        <v/>
      </c>
      <c r="N67" s="2">
        <f>N66+O67-P67</f>
        <v/>
      </c>
      <c r="O67" s="2">
        <f>N66*(B67+Inputs!$B$78)/12</f>
        <v/>
      </c>
      <c r="P67" s="2">
        <f>MIN(M67,N66+O67)</f>
        <v/>
      </c>
      <c r="Q67" s="2">
        <f>M67-P67</f>
        <v/>
      </c>
      <c r="R67" s="2">
        <f>Retention!$B$17*CashFlows!F67+Retention!$C$17*CashFlows!K67+Retention!$D$17*CashFlows!P67+Retention!$E$17*CashFlows!S67</f>
        <v/>
      </c>
      <c r="S67" s="2">
        <f>S66+T67-U67</f>
        <v/>
      </c>
      <c r="T67" s="2">
        <f>S66*(B67+Inputs!$B$78)/12</f>
        <v/>
      </c>
      <c r="U67" s="2">
        <f>MIN(R67,S66+T67)</f>
        <v/>
      </c>
      <c r="V67" s="2">
        <f>R67-U67</f>
        <v/>
      </c>
      <c r="W67" s="2">
        <f>Retention!$B$18*CashFlows!F67+Retention!$C$18*CashFlows!K67+Retention!$D$18*CashFlows!P67+Retention!$E$18*CashFlows!S67</f>
        <v/>
      </c>
      <c r="X67" s="2">
        <f>X66+Y67-Z67</f>
        <v/>
      </c>
      <c r="Y67" s="2">
        <f>X66*(B67+Inputs!$B$78)/12</f>
        <v/>
      </c>
      <c r="Z67" s="2">
        <f>MIN(W67,X66+Y67)</f>
        <v/>
      </c>
      <c r="AA67" s="2">
        <f>W67-Z67</f>
        <v/>
      </c>
      <c r="AB67" s="2">
        <f>Retention!$B$19*CashFlows!F67+Retention!$C$19*CashFlows!K67+Retention!$D$19*CashFlows!P67+Retention!$E$19*CashFlows!S67</f>
        <v/>
      </c>
      <c r="AC67" s="2">
        <f>AC66+AD67-AE67</f>
        <v/>
      </c>
      <c r="AD67" s="2">
        <f>AC66*(B67+Inputs!$B$78)/12</f>
        <v/>
      </c>
      <c r="AE67" s="2">
        <f>MIN(AB67,AC66+AD67)</f>
        <v/>
      </c>
      <c r="AF67" s="2">
        <f>AB67-AE67</f>
        <v/>
      </c>
    </row>
    <row r="68">
      <c r="A68" s="7" t="n">
        <v>63</v>
      </c>
      <c r="B68" s="3">
        <f>Pool!B68</f>
        <v/>
      </c>
      <c r="C68" s="8">
        <f>C67/(1+(B68+Inputs!$B$64)/12)</f>
        <v/>
      </c>
      <c r="D68" s="8">
        <f>D67/(1+(B68+Inputs!$B$65)/12)</f>
        <v/>
      </c>
      <c r="E68" s="8">
        <f>E67/(1+(B68+Inputs!$B$66)/12)</f>
        <v/>
      </c>
      <c r="F68" s="8">
        <f>F67/(1+(B68+Inputs!$B$67)/12)</f>
        <v/>
      </c>
      <c r="G68" s="8">
        <f>G67/(1+(B68+Inputs!$B$78)/12)</f>
        <v/>
      </c>
      <c r="H68" s="2">
        <f>Retention!$B$15*CashFlows!F68+Retention!$C$15*CashFlows!K68+Retention!$D$15*CashFlows!P68+Retention!$E$15*CashFlows!S68</f>
        <v/>
      </c>
      <c r="I68" s="2">
        <f>I67+J68-K68</f>
        <v/>
      </c>
      <c r="J68" s="2">
        <f>I67*(B68+Inputs!$B$78)/12</f>
        <v/>
      </c>
      <c r="K68" s="2">
        <f>MIN(H68,I67+J68)</f>
        <v/>
      </c>
      <c r="L68" s="2">
        <f>H68-K68</f>
        <v/>
      </c>
      <c r="M68" s="2">
        <f>Retention!$B$16*CashFlows!F68+Retention!$C$16*CashFlows!K68+Retention!$D$16*CashFlows!P68+Retention!$E$16*CashFlows!S68</f>
        <v/>
      </c>
      <c r="N68" s="2">
        <f>N67+O68-P68</f>
        <v/>
      </c>
      <c r="O68" s="2">
        <f>N67*(B68+Inputs!$B$78)/12</f>
        <v/>
      </c>
      <c r="P68" s="2">
        <f>MIN(M68,N67+O68)</f>
        <v/>
      </c>
      <c r="Q68" s="2">
        <f>M68-P68</f>
        <v/>
      </c>
      <c r="R68" s="2">
        <f>Retention!$B$17*CashFlows!F68+Retention!$C$17*CashFlows!K68+Retention!$D$17*CashFlows!P68+Retention!$E$17*CashFlows!S68</f>
        <v/>
      </c>
      <c r="S68" s="2">
        <f>S67+T68-U68</f>
        <v/>
      </c>
      <c r="T68" s="2">
        <f>S67*(B68+Inputs!$B$78)/12</f>
        <v/>
      </c>
      <c r="U68" s="2">
        <f>MIN(R68,S67+T68)</f>
        <v/>
      </c>
      <c r="V68" s="2">
        <f>R68-U68</f>
        <v/>
      </c>
      <c r="W68" s="2">
        <f>Retention!$B$18*CashFlows!F68+Retention!$C$18*CashFlows!K68+Retention!$D$18*CashFlows!P68+Retention!$E$18*CashFlows!S68</f>
        <v/>
      </c>
      <c r="X68" s="2">
        <f>X67+Y68-Z68</f>
        <v/>
      </c>
      <c r="Y68" s="2">
        <f>X67*(B68+Inputs!$B$78)/12</f>
        <v/>
      </c>
      <c r="Z68" s="2">
        <f>MIN(W68,X67+Y68)</f>
        <v/>
      </c>
      <c r="AA68" s="2">
        <f>W68-Z68</f>
        <v/>
      </c>
      <c r="AB68" s="2">
        <f>Retention!$B$19*CashFlows!F68+Retention!$C$19*CashFlows!K68+Retention!$D$19*CashFlows!P68+Retention!$E$19*CashFlows!S68</f>
        <v/>
      </c>
      <c r="AC68" s="2">
        <f>AC67+AD68-AE68</f>
        <v/>
      </c>
      <c r="AD68" s="2">
        <f>AC67*(B68+Inputs!$B$78)/12</f>
        <v/>
      </c>
      <c r="AE68" s="2">
        <f>MIN(AB68,AC67+AD68)</f>
        <v/>
      </c>
      <c r="AF68" s="2">
        <f>AB68-AE68</f>
        <v/>
      </c>
    </row>
    <row r="69">
      <c r="A69" s="7" t="n">
        <v>64</v>
      </c>
      <c r="B69" s="3">
        <f>Pool!B69</f>
        <v/>
      </c>
      <c r="C69" s="8">
        <f>C68/(1+(B69+Inputs!$B$64)/12)</f>
        <v/>
      </c>
      <c r="D69" s="8">
        <f>D68/(1+(B69+Inputs!$B$65)/12)</f>
        <v/>
      </c>
      <c r="E69" s="8">
        <f>E68/(1+(B69+Inputs!$B$66)/12)</f>
        <v/>
      </c>
      <c r="F69" s="8">
        <f>F68/(1+(B69+Inputs!$B$67)/12)</f>
        <v/>
      </c>
      <c r="G69" s="8">
        <f>G68/(1+(B69+Inputs!$B$78)/12)</f>
        <v/>
      </c>
      <c r="H69" s="2">
        <f>Retention!$B$15*CashFlows!F69+Retention!$C$15*CashFlows!K69+Retention!$D$15*CashFlows!P69+Retention!$E$15*CashFlows!S69</f>
        <v/>
      </c>
      <c r="I69" s="2">
        <f>I68+J69-K69</f>
        <v/>
      </c>
      <c r="J69" s="2">
        <f>I68*(B69+Inputs!$B$78)/12</f>
        <v/>
      </c>
      <c r="K69" s="2">
        <f>MIN(H69,I68+J69)</f>
        <v/>
      </c>
      <c r="L69" s="2">
        <f>H69-K69</f>
        <v/>
      </c>
      <c r="M69" s="2">
        <f>Retention!$B$16*CashFlows!F69+Retention!$C$16*CashFlows!K69+Retention!$D$16*CashFlows!P69+Retention!$E$16*CashFlows!S69</f>
        <v/>
      </c>
      <c r="N69" s="2">
        <f>N68+O69-P69</f>
        <v/>
      </c>
      <c r="O69" s="2">
        <f>N68*(B69+Inputs!$B$78)/12</f>
        <v/>
      </c>
      <c r="P69" s="2">
        <f>MIN(M69,N68+O69)</f>
        <v/>
      </c>
      <c r="Q69" s="2">
        <f>M69-P69</f>
        <v/>
      </c>
      <c r="R69" s="2">
        <f>Retention!$B$17*CashFlows!F69+Retention!$C$17*CashFlows!K69+Retention!$D$17*CashFlows!P69+Retention!$E$17*CashFlows!S69</f>
        <v/>
      </c>
      <c r="S69" s="2">
        <f>S68+T69-U69</f>
        <v/>
      </c>
      <c r="T69" s="2">
        <f>S68*(B69+Inputs!$B$78)/12</f>
        <v/>
      </c>
      <c r="U69" s="2">
        <f>MIN(R69,S68+T69)</f>
        <v/>
      </c>
      <c r="V69" s="2">
        <f>R69-U69</f>
        <v/>
      </c>
      <c r="W69" s="2">
        <f>Retention!$B$18*CashFlows!F69+Retention!$C$18*CashFlows!K69+Retention!$D$18*CashFlows!P69+Retention!$E$18*CashFlows!S69</f>
        <v/>
      </c>
      <c r="X69" s="2">
        <f>X68+Y69-Z69</f>
        <v/>
      </c>
      <c r="Y69" s="2">
        <f>X68*(B69+Inputs!$B$78)/12</f>
        <v/>
      </c>
      <c r="Z69" s="2">
        <f>MIN(W69,X68+Y69)</f>
        <v/>
      </c>
      <c r="AA69" s="2">
        <f>W69-Z69</f>
        <v/>
      </c>
      <c r="AB69" s="2">
        <f>Retention!$B$19*CashFlows!F69+Retention!$C$19*CashFlows!K69+Retention!$D$19*CashFlows!P69+Retention!$E$19*CashFlows!S69</f>
        <v/>
      </c>
      <c r="AC69" s="2">
        <f>AC68+AD69-AE69</f>
        <v/>
      </c>
      <c r="AD69" s="2">
        <f>AC68*(B69+Inputs!$B$78)/12</f>
        <v/>
      </c>
      <c r="AE69" s="2">
        <f>MIN(AB69,AC68+AD69)</f>
        <v/>
      </c>
      <c r="AF69" s="2">
        <f>AB69-AE69</f>
        <v/>
      </c>
    </row>
    <row r="70">
      <c r="A70" s="7" t="n">
        <v>65</v>
      </c>
      <c r="B70" s="3">
        <f>Pool!B70</f>
        <v/>
      </c>
      <c r="C70" s="8">
        <f>C69/(1+(B70+Inputs!$B$64)/12)</f>
        <v/>
      </c>
      <c r="D70" s="8">
        <f>D69/(1+(B70+Inputs!$B$65)/12)</f>
        <v/>
      </c>
      <c r="E70" s="8">
        <f>E69/(1+(B70+Inputs!$B$66)/12)</f>
        <v/>
      </c>
      <c r="F70" s="8">
        <f>F69/(1+(B70+Inputs!$B$67)/12)</f>
        <v/>
      </c>
      <c r="G70" s="8">
        <f>G69/(1+(B70+Inputs!$B$78)/12)</f>
        <v/>
      </c>
      <c r="H70" s="2">
        <f>Retention!$B$15*CashFlows!F70+Retention!$C$15*CashFlows!K70+Retention!$D$15*CashFlows!P70+Retention!$E$15*CashFlows!S70</f>
        <v/>
      </c>
      <c r="I70" s="2">
        <f>I69+J70-K70</f>
        <v/>
      </c>
      <c r="J70" s="2">
        <f>I69*(B70+Inputs!$B$78)/12</f>
        <v/>
      </c>
      <c r="K70" s="2">
        <f>MIN(H70,I69+J70)</f>
        <v/>
      </c>
      <c r="L70" s="2">
        <f>H70-K70</f>
        <v/>
      </c>
      <c r="M70" s="2">
        <f>Retention!$B$16*CashFlows!F70+Retention!$C$16*CashFlows!K70+Retention!$D$16*CashFlows!P70+Retention!$E$16*CashFlows!S70</f>
        <v/>
      </c>
      <c r="N70" s="2">
        <f>N69+O70-P70</f>
        <v/>
      </c>
      <c r="O70" s="2">
        <f>N69*(B70+Inputs!$B$78)/12</f>
        <v/>
      </c>
      <c r="P70" s="2">
        <f>MIN(M70,N69+O70)</f>
        <v/>
      </c>
      <c r="Q70" s="2">
        <f>M70-P70</f>
        <v/>
      </c>
      <c r="R70" s="2">
        <f>Retention!$B$17*CashFlows!F70+Retention!$C$17*CashFlows!K70+Retention!$D$17*CashFlows!P70+Retention!$E$17*CashFlows!S70</f>
        <v/>
      </c>
      <c r="S70" s="2">
        <f>S69+T70-U70</f>
        <v/>
      </c>
      <c r="T70" s="2">
        <f>S69*(B70+Inputs!$B$78)/12</f>
        <v/>
      </c>
      <c r="U70" s="2">
        <f>MIN(R70,S69+T70)</f>
        <v/>
      </c>
      <c r="V70" s="2">
        <f>R70-U70</f>
        <v/>
      </c>
      <c r="W70" s="2">
        <f>Retention!$B$18*CashFlows!F70+Retention!$C$18*CashFlows!K70+Retention!$D$18*CashFlows!P70+Retention!$E$18*CashFlows!S70</f>
        <v/>
      </c>
      <c r="X70" s="2">
        <f>X69+Y70-Z70</f>
        <v/>
      </c>
      <c r="Y70" s="2">
        <f>X69*(B70+Inputs!$B$78)/12</f>
        <v/>
      </c>
      <c r="Z70" s="2">
        <f>MIN(W70,X69+Y70)</f>
        <v/>
      </c>
      <c r="AA70" s="2">
        <f>W70-Z70</f>
        <v/>
      </c>
      <c r="AB70" s="2">
        <f>Retention!$B$19*CashFlows!F70+Retention!$C$19*CashFlows!K70+Retention!$D$19*CashFlows!P70+Retention!$E$19*CashFlows!S70</f>
        <v/>
      </c>
      <c r="AC70" s="2">
        <f>AC69+AD70-AE70</f>
        <v/>
      </c>
      <c r="AD70" s="2">
        <f>AC69*(B70+Inputs!$B$78)/12</f>
        <v/>
      </c>
      <c r="AE70" s="2">
        <f>MIN(AB70,AC69+AD70)</f>
        <v/>
      </c>
      <c r="AF70" s="2">
        <f>AB70-AE70</f>
        <v/>
      </c>
    </row>
    <row r="71">
      <c r="A71" s="7" t="n">
        <v>66</v>
      </c>
      <c r="B71" s="3">
        <f>Pool!B71</f>
        <v/>
      </c>
      <c r="C71" s="8">
        <f>C70/(1+(B71+Inputs!$B$64)/12)</f>
        <v/>
      </c>
      <c r="D71" s="8">
        <f>D70/(1+(B71+Inputs!$B$65)/12)</f>
        <v/>
      </c>
      <c r="E71" s="8">
        <f>E70/(1+(B71+Inputs!$B$66)/12)</f>
        <v/>
      </c>
      <c r="F71" s="8">
        <f>F70/(1+(B71+Inputs!$B$67)/12)</f>
        <v/>
      </c>
      <c r="G71" s="8">
        <f>G70/(1+(B71+Inputs!$B$78)/12)</f>
        <v/>
      </c>
      <c r="H71" s="2">
        <f>Retention!$B$15*CashFlows!F71+Retention!$C$15*CashFlows!K71+Retention!$D$15*CashFlows!P71+Retention!$E$15*CashFlows!S71</f>
        <v/>
      </c>
      <c r="I71" s="2">
        <f>I70+J71-K71</f>
        <v/>
      </c>
      <c r="J71" s="2">
        <f>I70*(B71+Inputs!$B$78)/12</f>
        <v/>
      </c>
      <c r="K71" s="2">
        <f>MIN(H71,I70+J71)</f>
        <v/>
      </c>
      <c r="L71" s="2">
        <f>H71-K71</f>
        <v/>
      </c>
      <c r="M71" s="2">
        <f>Retention!$B$16*CashFlows!F71+Retention!$C$16*CashFlows!K71+Retention!$D$16*CashFlows!P71+Retention!$E$16*CashFlows!S71</f>
        <v/>
      </c>
      <c r="N71" s="2">
        <f>N70+O71-P71</f>
        <v/>
      </c>
      <c r="O71" s="2">
        <f>N70*(B71+Inputs!$B$78)/12</f>
        <v/>
      </c>
      <c r="P71" s="2">
        <f>MIN(M71,N70+O71)</f>
        <v/>
      </c>
      <c r="Q71" s="2">
        <f>M71-P71</f>
        <v/>
      </c>
      <c r="R71" s="2">
        <f>Retention!$B$17*CashFlows!F71+Retention!$C$17*CashFlows!K71+Retention!$D$17*CashFlows!P71+Retention!$E$17*CashFlows!S71</f>
        <v/>
      </c>
      <c r="S71" s="2">
        <f>S70+T71-U71</f>
        <v/>
      </c>
      <c r="T71" s="2">
        <f>S70*(B71+Inputs!$B$78)/12</f>
        <v/>
      </c>
      <c r="U71" s="2">
        <f>MIN(R71,S70+T71)</f>
        <v/>
      </c>
      <c r="V71" s="2">
        <f>R71-U71</f>
        <v/>
      </c>
      <c r="W71" s="2">
        <f>Retention!$B$18*CashFlows!F71+Retention!$C$18*CashFlows!K71+Retention!$D$18*CashFlows!P71+Retention!$E$18*CashFlows!S71</f>
        <v/>
      </c>
      <c r="X71" s="2">
        <f>X70+Y71-Z71</f>
        <v/>
      </c>
      <c r="Y71" s="2">
        <f>X70*(B71+Inputs!$B$78)/12</f>
        <v/>
      </c>
      <c r="Z71" s="2">
        <f>MIN(W71,X70+Y71)</f>
        <v/>
      </c>
      <c r="AA71" s="2">
        <f>W71-Z71</f>
        <v/>
      </c>
      <c r="AB71" s="2">
        <f>Retention!$B$19*CashFlows!F71+Retention!$C$19*CashFlows!K71+Retention!$D$19*CashFlows!P71+Retention!$E$19*CashFlows!S71</f>
        <v/>
      </c>
      <c r="AC71" s="2">
        <f>AC70+AD71-AE71</f>
        <v/>
      </c>
      <c r="AD71" s="2">
        <f>AC70*(B71+Inputs!$B$78)/12</f>
        <v/>
      </c>
      <c r="AE71" s="2">
        <f>MIN(AB71,AC70+AD71)</f>
        <v/>
      </c>
      <c r="AF71" s="2">
        <f>AB71-AE71</f>
        <v/>
      </c>
    </row>
    <row r="72">
      <c r="A72" s="7" t="n">
        <v>67</v>
      </c>
      <c r="B72" s="3">
        <f>Pool!B72</f>
        <v/>
      </c>
      <c r="C72" s="8">
        <f>C71/(1+(B72+Inputs!$B$64)/12)</f>
        <v/>
      </c>
      <c r="D72" s="8">
        <f>D71/(1+(B72+Inputs!$B$65)/12)</f>
        <v/>
      </c>
      <c r="E72" s="8">
        <f>E71/(1+(B72+Inputs!$B$66)/12)</f>
        <v/>
      </c>
      <c r="F72" s="8">
        <f>F71/(1+(B72+Inputs!$B$67)/12)</f>
        <v/>
      </c>
      <c r="G72" s="8">
        <f>G71/(1+(B72+Inputs!$B$78)/12)</f>
        <v/>
      </c>
      <c r="H72" s="2">
        <f>Retention!$B$15*CashFlows!F72+Retention!$C$15*CashFlows!K72+Retention!$D$15*CashFlows!P72+Retention!$E$15*CashFlows!S72</f>
        <v/>
      </c>
      <c r="I72" s="2">
        <f>I71+J72-K72</f>
        <v/>
      </c>
      <c r="J72" s="2">
        <f>I71*(B72+Inputs!$B$78)/12</f>
        <v/>
      </c>
      <c r="K72" s="2">
        <f>MIN(H72,I71+J72)</f>
        <v/>
      </c>
      <c r="L72" s="2">
        <f>H72-K72</f>
        <v/>
      </c>
      <c r="M72" s="2">
        <f>Retention!$B$16*CashFlows!F72+Retention!$C$16*CashFlows!K72+Retention!$D$16*CashFlows!P72+Retention!$E$16*CashFlows!S72</f>
        <v/>
      </c>
      <c r="N72" s="2">
        <f>N71+O72-P72</f>
        <v/>
      </c>
      <c r="O72" s="2">
        <f>N71*(B72+Inputs!$B$78)/12</f>
        <v/>
      </c>
      <c r="P72" s="2">
        <f>MIN(M72,N71+O72)</f>
        <v/>
      </c>
      <c r="Q72" s="2">
        <f>M72-P72</f>
        <v/>
      </c>
      <c r="R72" s="2">
        <f>Retention!$B$17*CashFlows!F72+Retention!$C$17*CashFlows!K72+Retention!$D$17*CashFlows!P72+Retention!$E$17*CashFlows!S72</f>
        <v/>
      </c>
      <c r="S72" s="2">
        <f>S71+T72-U72</f>
        <v/>
      </c>
      <c r="T72" s="2">
        <f>S71*(B72+Inputs!$B$78)/12</f>
        <v/>
      </c>
      <c r="U72" s="2">
        <f>MIN(R72,S71+T72)</f>
        <v/>
      </c>
      <c r="V72" s="2">
        <f>R72-U72</f>
        <v/>
      </c>
      <c r="W72" s="2">
        <f>Retention!$B$18*CashFlows!F72+Retention!$C$18*CashFlows!K72+Retention!$D$18*CashFlows!P72+Retention!$E$18*CashFlows!S72</f>
        <v/>
      </c>
      <c r="X72" s="2">
        <f>X71+Y72-Z72</f>
        <v/>
      </c>
      <c r="Y72" s="2">
        <f>X71*(B72+Inputs!$B$78)/12</f>
        <v/>
      </c>
      <c r="Z72" s="2">
        <f>MIN(W72,X71+Y72)</f>
        <v/>
      </c>
      <c r="AA72" s="2">
        <f>W72-Z72</f>
        <v/>
      </c>
      <c r="AB72" s="2">
        <f>Retention!$B$19*CashFlows!F72+Retention!$C$19*CashFlows!K72+Retention!$D$19*CashFlows!P72+Retention!$E$19*CashFlows!S72</f>
        <v/>
      </c>
      <c r="AC72" s="2">
        <f>AC71+AD72-AE72</f>
        <v/>
      </c>
      <c r="AD72" s="2">
        <f>AC71*(B72+Inputs!$B$78)/12</f>
        <v/>
      </c>
      <c r="AE72" s="2">
        <f>MIN(AB72,AC71+AD72)</f>
        <v/>
      </c>
      <c r="AF72" s="2">
        <f>AB72-AE72</f>
        <v/>
      </c>
    </row>
    <row r="73">
      <c r="A73" s="7" t="n">
        <v>68</v>
      </c>
      <c r="B73" s="3">
        <f>Pool!B73</f>
        <v/>
      </c>
      <c r="C73" s="8">
        <f>C72/(1+(B73+Inputs!$B$64)/12)</f>
        <v/>
      </c>
      <c r="D73" s="8">
        <f>D72/(1+(B73+Inputs!$B$65)/12)</f>
        <v/>
      </c>
      <c r="E73" s="8">
        <f>E72/(1+(B73+Inputs!$B$66)/12)</f>
        <v/>
      </c>
      <c r="F73" s="8">
        <f>F72/(1+(B73+Inputs!$B$67)/12)</f>
        <v/>
      </c>
      <c r="G73" s="8">
        <f>G72/(1+(B73+Inputs!$B$78)/12)</f>
        <v/>
      </c>
      <c r="H73" s="2">
        <f>Retention!$B$15*CashFlows!F73+Retention!$C$15*CashFlows!K73+Retention!$D$15*CashFlows!P73+Retention!$E$15*CashFlows!S73</f>
        <v/>
      </c>
      <c r="I73" s="2">
        <f>I72+J73-K73</f>
        <v/>
      </c>
      <c r="J73" s="2">
        <f>I72*(B73+Inputs!$B$78)/12</f>
        <v/>
      </c>
      <c r="K73" s="2">
        <f>MIN(H73,I72+J73)</f>
        <v/>
      </c>
      <c r="L73" s="2">
        <f>H73-K73</f>
        <v/>
      </c>
      <c r="M73" s="2">
        <f>Retention!$B$16*CashFlows!F73+Retention!$C$16*CashFlows!K73+Retention!$D$16*CashFlows!P73+Retention!$E$16*CashFlows!S73</f>
        <v/>
      </c>
      <c r="N73" s="2">
        <f>N72+O73-P73</f>
        <v/>
      </c>
      <c r="O73" s="2">
        <f>N72*(B73+Inputs!$B$78)/12</f>
        <v/>
      </c>
      <c r="P73" s="2">
        <f>MIN(M73,N72+O73)</f>
        <v/>
      </c>
      <c r="Q73" s="2">
        <f>M73-P73</f>
        <v/>
      </c>
      <c r="R73" s="2">
        <f>Retention!$B$17*CashFlows!F73+Retention!$C$17*CashFlows!K73+Retention!$D$17*CashFlows!P73+Retention!$E$17*CashFlows!S73</f>
        <v/>
      </c>
      <c r="S73" s="2">
        <f>S72+T73-U73</f>
        <v/>
      </c>
      <c r="T73" s="2">
        <f>S72*(B73+Inputs!$B$78)/12</f>
        <v/>
      </c>
      <c r="U73" s="2">
        <f>MIN(R73,S72+T73)</f>
        <v/>
      </c>
      <c r="V73" s="2">
        <f>R73-U73</f>
        <v/>
      </c>
      <c r="W73" s="2">
        <f>Retention!$B$18*CashFlows!F73+Retention!$C$18*CashFlows!K73+Retention!$D$18*CashFlows!P73+Retention!$E$18*CashFlows!S73</f>
        <v/>
      </c>
      <c r="X73" s="2">
        <f>X72+Y73-Z73</f>
        <v/>
      </c>
      <c r="Y73" s="2">
        <f>X72*(B73+Inputs!$B$78)/12</f>
        <v/>
      </c>
      <c r="Z73" s="2">
        <f>MIN(W73,X72+Y73)</f>
        <v/>
      </c>
      <c r="AA73" s="2">
        <f>W73-Z73</f>
        <v/>
      </c>
      <c r="AB73" s="2">
        <f>Retention!$B$19*CashFlows!F73+Retention!$C$19*CashFlows!K73+Retention!$D$19*CashFlows!P73+Retention!$E$19*CashFlows!S73</f>
        <v/>
      </c>
      <c r="AC73" s="2">
        <f>AC72+AD73-AE73</f>
        <v/>
      </c>
      <c r="AD73" s="2">
        <f>AC72*(B73+Inputs!$B$78)/12</f>
        <v/>
      </c>
      <c r="AE73" s="2">
        <f>MIN(AB73,AC72+AD73)</f>
        <v/>
      </c>
      <c r="AF73" s="2">
        <f>AB73-AE73</f>
        <v/>
      </c>
    </row>
    <row r="74">
      <c r="A74" s="7" t="n">
        <v>69</v>
      </c>
      <c r="B74" s="3">
        <f>Pool!B74</f>
        <v/>
      </c>
      <c r="C74" s="8">
        <f>C73/(1+(B74+Inputs!$B$64)/12)</f>
        <v/>
      </c>
      <c r="D74" s="8">
        <f>D73/(1+(B74+Inputs!$B$65)/12)</f>
        <v/>
      </c>
      <c r="E74" s="8">
        <f>E73/(1+(B74+Inputs!$B$66)/12)</f>
        <v/>
      </c>
      <c r="F74" s="8">
        <f>F73/(1+(B74+Inputs!$B$67)/12)</f>
        <v/>
      </c>
      <c r="G74" s="8">
        <f>G73/(1+(B74+Inputs!$B$78)/12)</f>
        <v/>
      </c>
      <c r="H74" s="2">
        <f>Retention!$B$15*CashFlows!F74+Retention!$C$15*CashFlows!K74+Retention!$D$15*CashFlows!P74+Retention!$E$15*CashFlows!S74</f>
        <v/>
      </c>
      <c r="I74" s="2">
        <f>I73+J74-K74</f>
        <v/>
      </c>
      <c r="J74" s="2">
        <f>I73*(B74+Inputs!$B$78)/12</f>
        <v/>
      </c>
      <c r="K74" s="2">
        <f>MIN(H74,I73+J74)</f>
        <v/>
      </c>
      <c r="L74" s="2">
        <f>H74-K74</f>
        <v/>
      </c>
      <c r="M74" s="2">
        <f>Retention!$B$16*CashFlows!F74+Retention!$C$16*CashFlows!K74+Retention!$D$16*CashFlows!P74+Retention!$E$16*CashFlows!S74</f>
        <v/>
      </c>
      <c r="N74" s="2">
        <f>N73+O74-P74</f>
        <v/>
      </c>
      <c r="O74" s="2">
        <f>N73*(B74+Inputs!$B$78)/12</f>
        <v/>
      </c>
      <c r="P74" s="2">
        <f>MIN(M74,N73+O74)</f>
        <v/>
      </c>
      <c r="Q74" s="2">
        <f>M74-P74</f>
        <v/>
      </c>
      <c r="R74" s="2">
        <f>Retention!$B$17*CashFlows!F74+Retention!$C$17*CashFlows!K74+Retention!$D$17*CashFlows!P74+Retention!$E$17*CashFlows!S74</f>
        <v/>
      </c>
      <c r="S74" s="2">
        <f>S73+T74-U74</f>
        <v/>
      </c>
      <c r="T74" s="2">
        <f>S73*(B74+Inputs!$B$78)/12</f>
        <v/>
      </c>
      <c r="U74" s="2">
        <f>MIN(R74,S73+T74)</f>
        <v/>
      </c>
      <c r="V74" s="2">
        <f>R74-U74</f>
        <v/>
      </c>
      <c r="W74" s="2">
        <f>Retention!$B$18*CashFlows!F74+Retention!$C$18*CashFlows!K74+Retention!$D$18*CashFlows!P74+Retention!$E$18*CashFlows!S74</f>
        <v/>
      </c>
      <c r="X74" s="2">
        <f>X73+Y74-Z74</f>
        <v/>
      </c>
      <c r="Y74" s="2">
        <f>X73*(B74+Inputs!$B$78)/12</f>
        <v/>
      </c>
      <c r="Z74" s="2">
        <f>MIN(W74,X73+Y74)</f>
        <v/>
      </c>
      <c r="AA74" s="2">
        <f>W74-Z74</f>
        <v/>
      </c>
      <c r="AB74" s="2">
        <f>Retention!$B$19*CashFlows!F74+Retention!$C$19*CashFlows!K74+Retention!$D$19*CashFlows!P74+Retention!$E$19*CashFlows!S74</f>
        <v/>
      </c>
      <c r="AC74" s="2">
        <f>AC73+AD74-AE74</f>
        <v/>
      </c>
      <c r="AD74" s="2">
        <f>AC73*(B74+Inputs!$B$78)/12</f>
        <v/>
      </c>
      <c r="AE74" s="2">
        <f>MIN(AB74,AC73+AD74)</f>
        <v/>
      </c>
      <c r="AF74" s="2">
        <f>AB74-AE74</f>
        <v/>
      </c>
    </row>
    <row r="75">
      <c r="A75" s="7" t="n">
        <v>70</v>
      </c>
      <c r="B75" s="3">
        <f>Pool!B75</f>
        <v/>
      </c>
      <c r="C75" s="8">
        <f>C74/(1+(B75+Inputs!$B$64)/12)</f>
        <v/>
      </c>
      <c r="D75" s="8">
        <f>D74/(1+(B75+Inputs!$B$65)/12)</f>
        <v/>
      </c>
      <c r="E75" s="8">
        <f>E74/(1+(B75+Inputs!$B$66)/12)</f>
        <v/>
      </c>
      <c r="F75" s="8">
        <f>F74/(1+(B75+Inputs!$B$67)/12)</f>
        <v/>
      </c>
      <c r="G75" s="8">
        <f>G74/(1+(B75+Inputs!$B$78)/12)</f>
        <v/>
      </c>
      <c r="H75" s="2">
        <f>Retention!$B$15*CashFlows!F75+Retention!$C$15*CashFlows!K75+Retention!$D$15*CashFlows!P75+Retention!$E$15*CashFlows!S75</f>
        <v/>
      </c>
      <c r="I75" s="2">
        <f>I74+J75-K75</f>
        <v/>
      </c>
      <c r="J75" s="2">
        <f>I74*(B75+Inputs!$B$78)/12</f>
        <v/>
      </c>
      <c r="K75" s="2">
        <f>MIN(H75,I74+J75)</f>
        <v/>
      </c>
      <c r="L75" s="2">
        <f>H75-K75</f>
        <v/>
      </c>
      <c r="M75" s="2">
        <f>Retention!$B$16*CashFlows!F75+Retention!$C$16*CashFlows!K75+Retention!$D$16*CashFlows!P75+Retention!$E$16*CashFlows!S75</f>
        <v/>
      </c>
      <c r="N75" s="2">
        <f>N74+O75-P75</f>
        <v/>
      </c>
      <c r="O75" s="2">
        <f>N74*(B75+Inputs!$B$78)/12</f>
        <v/>
      </c>
      <c r="P75" s="2">
        <f>MIN(M75,N74+O75)</f>
        <v/>
      </c>
      <c r="Q75" s="2">
        <f>M75-P75</f>
        <v/>
      </c>
      <c r="R75" s="2">
        <f>Retention!$B$17*CashFlows!F75+Retention!$C$17*CashFlows!K75+Retention!$D$17*CashFlows!P75+Retention!$E$17*CashFlows!S75</f>
        <v/>
      </c>
      <c r="S75" s="2">
        <f>S74+T75-U75</f>
        <v/>
      </c>
      <c r="T75" s="2">
        <f>S74*(B75+Inputs!$B$78)/12</f>
        <v/>
      </c>
      <c r="U75" s="2">
        <f>MIN(R75,S74+T75)</f>
        <v/>
      </c>
      <c r="V75" s="2">
        <f>R75-U75</f>
        <v/>
      </c>
      <c r="W75" s="2">
        <f>Retention!$B$18*CashFlows!F75+Retention!$C$18*CashFlows!K75+Retention!$D$18*CashFlows!P75+Retention!$E$18*CashFlows!S75</f>
        <v/>
      </c>
      <c r="X75" s="2">
        <f>X74+Y75-Z75</f>
        <v/>
      </c>
      <c r="Y75" s="2">
        <f>X74*(B75+Inputs!$B$78)/12</f>
        <v/>
      </c>
      <c r="Z75" s="2">
        <f>MIN(W75,X74+Y75)</f>
        <v/>
      </c>
      <c r="AA75" s="2">
        <f>W75-Z75</f>
        <v/>
      </c>
      <c r="AB75" s="2">
        <f>Retention!$B$19*CashFlows!F75+Retention!$C$19*CashFlows!K75+Retention!$D$19*CashFlows!P75+Retention!$E$19*CashFlows!S75</f>
        <v/>
      </c>
      <c r="AC75" s="2">
        <f>AC74+AD75-AE75</f>
        <v/>
      </c>
      <c r="AD75" s="2">
        <f>AC74*(B75+Inputs!$B$78)/12</f>
        <v/>
      </c>
      <c r="AE75" s="2">
        <f>MIN(AB75,AC74+AD75)</f>
        <v/>
      </c>
      <c r="AF75" s="2">
        <f>AB75-AE75</f>
        <v/>
      </c>
    </row>
    <row r="76">
      <c r="A76" s="7" t="n">
        <v>71</v>
      </c>
      <c r="B76" s="3">
        <f>Pool!B76</f>
        <v/>
      </c>
      <c r="C76" s="8">
        <f>C75/(1+(B76+Inputs!$B$64)/12)</f>
        <v/>
      </c>
      <c r="D76" s="8">
        <f>D75/(1+(B76+Inputs!$B$65)/12)</f>
        <v/>
      </c>
      <c r="E76" s="8">
        <f>E75/(1+(B76+Inputs!$B$66)/12)</f>
        <v/>
      </c>
      <c r="F76" s="8">
        <f>F75/(1+(B76+Inputs!$B$67)/12)</f>
        <v/>
      </c>
      <c r="G76" s="8">
        <f>G75/(1+(B76+Inputs!$B$78)/12)</f>
        <v/>
      </c>
      <c r="H76" s="2">
        <f>Retention!$B$15*CashFlows!F76+Retention!$C$15*CashFlows!K76+Retention!$D$15*CashFlows!P76+Retention!$E$15*CashFlows!S76</f>
        <v/>
      </c>
      <c r="I76" s="2">
        <f>I75+J76-K76</f>
        <v/>
      </c>
      <c r="J76" s="2">
        <f>I75*(B76+Inputs!$B$78)/12</f>
        <v/>
      </c>
      <c r="K76" s="2">
        <f>MIN(H76,I75+J76)</f>
        <v/>
      </c>
      <c r="L76" s="2">
        <f>H76-K76</f>
        <v/>
      </c>
      <c r="M76" s="2">
        <f>Retention!$B$16*CashFlows!F76+Retention!$C$16*CashFlows!K76+Retention!$D$16*CashFlows!P76+Retention!$E$16*CashFlows!S76</f>
        <v/>
      </c>
      <c r="N76" s="2">
        <f>N75+O76-P76</f>
        <v/>
      </c>
      <c r="O76" s="2">
        <f>N75*(B76+Inputs!$B$78)/12</f>
        <v/>
      </c>
      <c r="P76" s="2">
        <f>MIN(M76,N75+O76)</f>
        <v/>
      </c>
      <c r="Q76" s="2">
        <f>M76-P76</f>
        <v/>
      </c>
      <c r="R76" s="2">
        <f>Retention!$B$17*CashFlows!F76+Retention!$C$17*CashFlows!K76+Retention!$D$17*CashFlows!P76+Retention!$E$17*CashFlows!S76</f>
        <v/>
      </c>
      <c r="S76" s="2">
        <f>S75+T76-U76</f>
        <v/>
      </c>
      <c r="T76" s="2">
        <f>S75*(B76+Inputs!$B$78)/12</f>
        <v/>
      </c>
      <c r="U76" s="2">
        <f>MIN(R76,S75+T76)</f>
        <v/>
      </c>
      <c r="V76" s="2">
        <f>R76-U76</f>
        <v/>
      </c>
      <c r="W76" s="2">
        <f>Retention!$B$18*CashFlows!F76+Retention!$C$18*CashFlows!K76+Retention!$D$18*CashFlows!P76+Retention!$E$18*CashFlows!S76</f>
        <v/>
      </c>
      <c r="X76" s="2">
        <f>X75+Y76-Z76</f>
        <v/>
      </c>
      <c r="Y76" s="2">
        <f>X75*(B76+Inputs!$B$78)/12</f>
        <v/>
      </c>
      <c r="Z76" s="2">
        <f>MIN(W76,X75+Y76)</f>
        <v/>
      </c>
      <c r="AA76" s="2">
        <f>W76-Z76</f>
        <v/>
      </c>
      <c r="AB76" s="2">
        <f>Retention!$B$19*CashFlows!F76+Retention!$C$19*CashFlows!K76+Retention!$D$19*CashFlows!P76+Retention!$E$19*CashFlows!S76</f>
        <v/>
      </c>
      <c r="AC76" s="2">
        <f>AC75+AD76-AE76</f>
        <v/>
      </c>
      <c r="AD76" s="2">
        <f>AC75*(B76+Inputs!$B$78)/12</f>
        <v/>
      </c>
      <c r="AE76" s="2">
        <f>MIN(AB76,AC75+AD76)</f>
        <v/>
      </c>
      <c r="AF76" s="2">
        <f>AB76-AE76</f>
        <v/>
      </c>
    </row>
    <row r="77">
      <c r="A77" s="7" t="n">
        <v>72</v>
      </c>
      <c r="B77" s="3">
        <f>Pool!B77</f>
        <v/>
      </c>
      <c r="C77" s="8">
        <f>C76/(1+(B77+Inputs!$B$64)/12)</f>
        <v/>
      </c>
      <c r="D77" s="8">
        <f>D76/(1+(B77+Inputs!$B$65)/12)</f>
        <v/>
      </c>
      <c r="E77" s="8">
        <f>E76/(1+(B77+Inputs!$B$66)/12)</f>
        <v/>
      </c>
      <c r="F77" s="8">
        <f>F76/(1+(B77+Inputs!$B$67)/12)</f>
        <v/>
      </c>
      <c r="G77" s="8">
        <f>G76/(1+(B77+Inputs!$B$78)/12)</f>
        <v/>
      </c>
      <c r="H77" s="2">
        <f>Retention!$B$15*CashFlows!F77+Retention!$C$15*CashFlows!K77+Retention!$D$15*CashFlows!P77+Retention!$E$15*CashFlows!S77</f>
        <v/>
      </c>
      <c r="I77" s="2">
        <f>I76+J77-K77</f>
        <v/>
      </c>
      <c r="J77" s="2">
        <f>I76*(B77+Inputs!$B$78)/12</f>
        <v/>
      </c>
      <c r="K77" s="2">
        <f>MIN(H77,I76+J77)</f>
        <v/>
      </c>
      <c r="L77" s="2">
        <f>H77-K77</f>
        <v/>
      </c>
      <c r="M77" s="2">
        <f>Retention!$B$16*CashFlows!F77+Retention!$C$16*CashFlows!K77+Retention!$D$16*CashFlows!P77+Retention!$E$16*CashFlows!S77</f>
        <v/>
      </c>
      <c r="N77" s="2">
        <f>N76+O77-P77</f>
        <v/>
      </c>
      <c r="O77" s="2">
        <f>N76*(B77+Inputs!$B$78)/12</f>
        <v/>
      </c>
      <c r="P77" s="2">
        <f>MIN(M77,N76+O77)</f>
        <v/>
      </c>
      <c r="Q77" s="2">
        <f>M77-P77</f>
        <v/>
      </c>
      <c r="R77" s="2">
        <f>Retention!$B$17*CashFlows!F77+Retention!$C$17*CashFlows!K77+Retention!$D$17*CashFlows!P77+Retention!$E$17*CashFlows!S77</f>
        <v/>
      </c>
      <c r="S77" s="2">
        <f>S76+T77-U77</f>
        <v/>
      </c>
      <c r="T77" s="2">
        <f>S76*(B77+Inputs!$B$78)/12</f>
        <v/>
      </c>
      <c r="U77" s="2">
        <f>MIN(R77,S76+T77)</f>
        <v/>
      </c>
      <c r="V77" s="2">
        <f>R77-U77</f>
        <v/>
      </c>
      <c r="W77" s="2">
        <f>Retention!$B$18*CashFlows!F77+Retention!$C$18*CashFlows!K77+Retention!$D$18*CashFlows!P77+Retention!$E$18*CashFlows!S77</f>
        <v/>
      </c>
      <c r="X77" s="2">
        <f>X76+Y77-Z77</f>
        <v/>
      </c>
      <c r="Y77" s="2">
        <f>X76*(B77+Inputs!$B$78)/12</f>
        <v/>
      </c>
      <c r="Z77" s="2">
        <f>MIN(W77,X76+Y77)</f>
        <v/>
      </c>
      <c r="AA77" s="2">
        <f>W77-Z77</f>
        <v/>
      </c>
      <c r="AB77" s="2">
        <f>Retention!$B$19*CashFlows!F77+Retention!$C$19*CashFlows!K77+Retention!$D$19*CashFlows!P77+Retention!$E$19*CashFlows!S77</f>
        <v/>
      </c>
      <c r="AC77" s="2">
        <f>AC76+AD77-AE77</f>
        <v/>
      </c>
      <c r="AD77" s="2">
        <f>AC76*(B77+Inputs!$B$78)/12</f>
        <v/>
      </c>
      <c r="AE77" s="2">
        <f>MIN(AB77,AC76+AD77)</f>
        <v/>
      </c>
      <c r="AF77" s="2">
        <f>AB77-AE77</f>
        <v/>
      </c>
    </row>
    <row r="78">
      <c r="A78" s="7" t="n">
        <v>73</v>
      </c>
      <c r="B78" s="3">
        <f>Pool!B78</f>
        <v/>
      </c>
      <c r="C78" s="8">
        <f>C77/(1+(B78+Inputs!$B$64)/12)</f>
        <v/>
      </c>
      <c r="D78" s="8">
        <f>D77/(1+(B78+Inputs!$B$65)/12)</f>
        <v/>
      </c>
      <c r="E78" s="8">
        <f>E77/(1+(B78+Inputs!$B$66)/12)</f>
        <v/>
      </c>
      <c r="F78" s="8">
        <f>F77/(1+(B78+Inputs!$B$67)/12)</f>
        <v/>
      </c>
      <c r="G78" s="8">
        <f>G77/(1+(B78+Inputs!$B$78)/12)</f>
        <v/>
      </c>
      <c r="H78" s="2">
        <f>Retention!$B$15*CashFlows!F78+Retention!$C$15*CashFlows!K78+Retention!$D$15*CashFlows!P78+Retention!$E$15*CashFlows!S78</f>
        <v/>
      </c>
      <c r="I78" s="2">
        <f>I77+J78-K78</f>
        <v/>
      </c>
      <c r="J78" s="2">
        <f>I77*(B78+Inputs!$B$78)/12</f>
        <v/>
      </c>
      <c r="K78" s="2">
        <f>MIN(H78,I77+J78)</f>
        <v/>
      </c>
      <c r="L78" s="2">
        <f>H78-K78</f>
        <v/>
      </c>
      <c r="M78" s="2">
        <f>Retention!$B$16*CashFlows!F78+Retention!$C$16*CashFlows!K78+Retention!$D$16*CashFlows!P78+Retention!$E$16*CashFlows!S78</f>
        <v/>
      </c>
      <c r="N78" s="2">
        <f>N77+O78-P78</f>
        <v/>
      </c>
      <c r="O78" s="2">
        <f>N77*(B78+Inputs!$B$78)/12</f>
        <v/>
      </c>
      <c r="P78" s="2">
        <f>MIN(M78,N77+O78)</f>
        <v/>
      </c>
      <c r="Q78" s="2">
        <f>M78-P78</f>
        <v/>
      </c>
      <c r="R78" s="2">
        <f>Retention!$B$17*CashFlows!F78+Retention!$C$17*CashFlows!K78+Retention!$D$17*CashFlows!P78+Retention!$E$17*CashFlows!S78</f>
        <v/>
      </c>
      <c r="S78" s="2">
        <f>S77+T78-U78</f>
        <v/>
      </c>
      <c r="T78" s="2">
        <f>S77*(B78+Inputs!$B$78)/12</f>
        <v/>
      </c>
      <c r="U78" s="2">
        <f>MIN(R78,S77+T78)</f>
        <v/>
      </c>
      <c r="V78" s="2">
        <f>R78-U78</f>
        <v/>
      </c>
      <c r="W78" s="2">
        <f>Retention!$B$18*CashFlows!F78+Retention!$C$18*CashFlows!K78+Retention!$D$18*CashFlows!P78+Retention!$E$18*CashFlows!S78</f>
        <v/>
      </c>
      <c r="X78" s="2">
        <f>X77+Y78-Z78</f>
        <v/>
      </c>
      <c r="Y78" s="2">
        <f>X77*(B78+Inputs!$B$78)/12</f>
        <v/>
      </c>
      <c r="Z78" s="2">
        <f>MIN(W78,X77+Y78)</f>
        <v/>
      </c>
      <c r="AA78" s="2">
        <f>W78-Z78</f>
        <v/>
      </c>
      <c r="AB78" s="2">
        <f>Retention!$B$19*CashFlows!F78+Retention!$C$19*CashFlows!K78+Retention!$D$19*CashFlows!P78+Retention!$E$19*CashFlows!S78</f>
        <v/>
      </c>
      <c r="AC78" s="2">
        <f>AC77+AD78-AE78</f>
        <v/>
      </c>
      <c r="AD78" s="2">
        <f>AC77*(B78+Inputs!$B$78)/12</f>
        <v/>
      </c>
      <c r="AE78" s="2">
        <f>MIN(AB78,AC77+AD78)</f>
        <v/>
      </c>
      <c r="AF78" s="2">
        <f>AB78-AE78</f>
        <v/>
      </c>
    </row>
    <row r="79">
      <c r="A79" s="7" t="n">
        <v>74</v>
      </c>
      <c r="B79" s="3">
        <f>Pool!B79</f>
        <v/>
      </c>
      <c r="C79" s="8">
        <f>C78/(1+(B79+Inputs!$B$64)/12)</f>
        <v/>
      </c>
      <c r="D79" s="8">
        <f>D78/(1+(B79+Inputs!$B$65)/12)</f>
        <v/>
      </c>
      <c r="E79" s="8">
        <f>E78/(1+(B79+Inputs!$B$66)/12)</f>
        <v/>
      </c>
      <c r="F79" s="8">
        <f>F78/(1+(B79+Inputs!$B$67)/12)</f>
        <v/>
      </c>
      <c r="G79" s="8">
        <f>G78/(1+(B79+Inputs!$B$78)/12)</f>
        <v/>
      </c>
      <c r="H79" s="2">
        <f>Retention!$B$15*CashFlows!F79+Retention!$C$15*CashFlows!K79+Retention!$D$15*CashFlows!P79+Retention!$E$15*CashFlows!S79</f>
        <v/>
      </c>
      <c r="I79" s="2">
        <f>I78+J79-K79</f>
        <v/>
      </c>
      <c r="J79" s="2">
        <f>I78*(B79+Inputs!$B$78)/12</f>
        <v/>
      </c>
      <c r="K79" s="2">
        <f>MIN(H79,I78+J79)</f>
        <v/>
      </c>
      <c r="L79" s="2">
        <f>H79-K79</f>
        <v/>
      </c>
      <c r="M79" s="2">
        <f>Retention!$B$16*CashFlows!F79+Retention!$C$16*CashFlows!K79+Retention!$D$16*CashFlows!P79+Retention!$E$16*CashFlows!S79</f>
        <v/>
      </c>
      <c r="N79" s="2">
        <f>N78+O79-P79</f>
        <v/>
      </c>
      <c r="O79" s="2">
        <f>N78*(B79+Inputs!$B$78)/12</f>
        <v/>
      </c>
      <c r="P79" s="2">
        <f>MIN(M79,N78+O79)</f>
        <v/>
      </c>
      <c r="Q79" s="2">
        <f>M79-P79</f>
        <v/>
      </c>
      <c r="R79" s="2">
        <f>Retention!$B$17*CashFlows!F79+Retention!$C$17*CashFlows!K79+Retention!$D$17*CashFlows!P79+Retention!$E$17*CashFlows!S79</f>
        <v/>
      </c>
      <c r="S79" s="2">
        <f>S78+T79-U79</f>
        <v/>
      </c>
      <c r="T79" s="2">
        <f>S78*(B79+Inputs!$B$78)/12</f>
        <v/>
      </c>
      <c r="U79" s="2">
        <f>MIN(R79,S78+T79)</f>
        <v/>
      </c>
      <c r="V79" s="2">
        <f>R79-U79</f>
        <v/>
      </c>
      <c r="W79" s="2">
        <f>Retention!$B$18*CashFlows!F79+Retention!$C$18*CashFlows!K79+Retention!$D$18*CashFlows!P79+Retention!$E$18*CashFlows!S79</f>
        <v/>
      </c>
      <c r="X79" s="2">
        <f>X78+Y79-Z79</f>
        <v/>
      </c>
      <c r="Y79" s="2">
        <f>X78*(B79+Inputs!$B$78)/12</f>
        <v/>
      </c>
      <c r="Z79" s="2">
        <f>MIN(W79,X78+Y79)</f>
        <v/>
      </c>
      <c r="AA79" s="2">
        <f>W79-Z79</f>
        <v/>
      </c>
      <c r="AB79" s="2">
        <f>Retention!$B$19*CashFlows!F79+Retention!$C$19*CashFlows!K79+Retention!$D$19*CashFlows!P79+Retention!$E$19*CashFlows!S79</f>
        <v/>
      </c>
      <c r="AC79" s="2">
        <f>AC78+AD79-AE79</f>
        <v/>
      </c>
      <c r="AD79" s="2">
        <f>AC78*(B79+Inputs!$B$78)/12</f>
        <v/>
      </c>
      <c r="AE79" s="2">
        <f>MIN(AB79,AC78+AD79)</f>
        <v/>
      </c>
      <c r="AF79" s="2">
        <f>AB79-AE79</f>
        <v/>
      </c>
    </row>
    <row r="80">
      <c r="A80" s="7" t="n">
        <v>75</v>
      </c>
      <c r="B80" s="3">
        <f>Pool!B80</f>
        <v/>
      </c>
      <c r="C80" s="8">
        <f>C79/(1+(B80+Inputs!$B$64)/12)</f>
        <v/>
      </c>
      <c r="D80" s="8">
        <f>D79/(1+(B80+Inputs!$B$65)/12)</f>
        <v/>
      </c>
      <c r="E80" s="8">
        <f>E79/(1+(B80+Inputs!$B$66)/12)</f>
        <v/>
      </c>
      <c r="F80" s="8">
        <f>F79/(1+(B80+Inputs!$B$67)/12)</f>
        <v/>
      </c>
      <c r="G80" s="8">
        <f>G79/(1+(B80+Inputs!$B$78)/12)</f>
        <v/>
      </c>
      <c r="H80" s="2">
        <f>Retention!$B$15*CashFlows!F80+Retention!$C$15*CashFlows!K80+Retention!$D$15*CashFlows!P80+Retention!$E$15*CashFlows!S80</f>
        <v/>
      </c>
      <c r="I80" s="2">
        <f>I79+J80-K80</f>
        <v/>
      </c>
      <c r="J80" s="2">
        <f>I79*(B80+Inputs!$B$78)/12</f>
        <v/>
      </c>
      <c r="K80" s="2">
        <f>MIN(H80,I79+J80)</f>
        <v/>
      </c>
      <c r="L80" s="2">
        <f>H80-K80</f>
        <v/>
      </c>
      <c r="M80" s="2">
        <f>Retention!$B$16*CashFlows!F80+Retention!$C$16*CashFlows!K80+Retention!$D$16*CashFlows!P80+Retention!$E$16*CashFlows!S80</f>
        <v/>
      </c>
      <c r="N80" s="2">
        <f>N79+O80-P80</f>
        <v/>
      </c>
      <c r="O80" s="2">
        <f>N79*(B80+Inputs!$B$78)/12</f>
        <v/>
      </c>
      <c r="P80" s="2">
        <f>MIN(M80,N79+O80)</f>
        <v/>
      </c>
      <c r="Q80" s="2">
        <f>M80-P80</f>
        <v/>
      </c>
      <c r="R80" s="2">
        <f>Retention!$B$17*CashFlows!F80+Retention!$C$17*CashFlows!K80+Retention!$D$17*CashFlows!P80+Retention!$E$17*CashFlows!S80</f>
        <v/>
      </c>
      <c r="S80" s="2">
        <f>S79+T80-U80</f>
        <v/>
      </c>
      <c r="T80" s="2">
        <f>S79*(B80+Inputs!$B$78)/12</f>
        <v/>
      </c>
      <c r="U80" s="2">
        <f>MIN(R80,S79+T80)</f>
        <v/>
      </c>
      <c r="V80" s="2">
        <f>R80-U80</f>
        <v/>
      </c>
      <c r="W80" s="2">
        <f>Retention!$B$18*CashFlows!F80+Retention!$C$18*CashFlows!K80+Retention!$D$18*CashFlows!P80+Retention!$E$18*CashFlows!S80</f>
        <v/>
      </c>
      <c r="X80" s="2">
        <f>X79+Y80-Z80</f>
        <v/>
      </c>
      <c r="Y80" s="2">
        <f>X79*(B80+Inputs!$B$78)/12</f>
        <v/>
      </c>
      <c r="Z80" s="2">
        <f>MIN(W80,X79+Y80)</f>
        <v/>
      </c>
      <c r="AA80" s="2">
        <f>W80-Z80</f>
        <v/>
      </c>
      <c r="AB80" s="2">
        <f>Retention!$B$19*CashFlows!F80+Retention!$C$19*CashFlows!K80+Retention!$D$19*CashFlows!P80+Retention!$E$19*CashFlows!S80</f>
        <v/>
      </c>
      <c r="AC80" s="2">
        <f>AC79+AD80-AE80</f>
        <v/>
      </c>
      <c r="AD80" s="2">
        <f>AC79*(B80+Inputs!$B$78)/12</f>
        <v/>
      </c>
      <c r="AE80" s="2">
        <f>MIN(AB80,AC79+AD80)</f>
        <v/>
      </c>
      <c r="AF80" s="2">
        <f>AB80-AE80</f>
        <v/>
      </c>
    </row>
    <row r="81">
      <c r="A81" s="7" t="n">
        <v>76</v>
      </c>
      <c r="B81" s="3">
        <f>Pool!B81</f>
        <v/>
      </c>
      <c r="C81" s="8">
        <f>C80/(1+(B81+Inputs!$B$64)/12)</f>
        <v/>
      </c>
      <c r="D81" s="8">
        <f>D80/(1+(B81+Inputs!$B$65)/12)</f>
        <v/>
      </c>
      <c r="E81" s="8">
        <f>E80/(1+(B81+Inputs!$B$66)/12)</f>
        <v/>
      </c>
      <c r="F81" s="8">
        <f>F80/(1+(B81+Inputs!$B$67)/12)</f>
        <v/>
      </c>
      <c r="G81" s="8">
        <f>G80/(1+(B81+Inputs!$B$78)/12)</f>
        <v/>
      </c>
      <c r="H81" s="2">
        <f>Retention!$B$15*CashFlows!F81+Retention!$C$15*CashFlows!K81+Retention!$D$15*CashFlows!P81+Retention!$E$15*CashFlows!S81</f>
        <v/>
      </c>
      <c r="I81" s="2">
        <f>I80+J81-K81</f>
        <v/>
      </c>
      <c r="J81" s="2">
        <f>I80*(B81+Inputs!$B$78)/12</f>
        <v/>
      </c>
      <c r="K81" s="2">
        <f>MIN(H81,I80+J81)</f>
        <v/>
      </c>
      <c r="L81" s="2">
        <f>H81-K81</f>
        <v/>
      </c>
      <c r="M81" s="2">
        <f>Retention!$B$16*CashFlows!F81+Retention!$C$16*CashFlows!K81+Retention!$D$16*CashFlows!P81+Retention!$E$16*CashFlows!S81</f>
        <v/>
      </c>
      <c r="N81" s="2">
        <f>N80+O81-P81</f>
        <v/>
      </c>
      <c r="O81" s="2">
        <f>N80*(B81+Inputs!$B$78)/12</f>
        <v/>
      </c>
      <c r="P81" s="2">
        <f>MIN(M81,N80+O81)</f>
        <v/>
      </c>
      <c r="Q81" s="2">
        <f>M81-P81</f>
        <v/>
      </c>
      <c r="R81" s="2">
        <f>Retention!$B$17*CashFlows!F81+Retention!$C$17*CashFlows!K81+Retention!$D$17*CashFlows!P81+Retention!$E$17*CashFlows!S81</f>
        <v/>
      </c>
      <c r="S81" s="2">
        <f>S80+T81-U81</f>
        <v/>
      </c>
      <c r="T81" s="2">
        <f>S80*(B81+Inputs!$B$78)/12</f>
        <v/>
      </c>
      <c r="U81" s="2">
        <f>MIN(R81,S80+T81)</f>
        <v/>
      </c>
      <c r="V81" s="2">
        <f>R81-U81</f>
        <v/>
      </c>
      <c r="W81" s="2">
        <f>Retention!$B$18*CashFlows!F81+Retention!$C$18*CashFlows!K81+Retention!$D$18*CashFlows!P81+Retention!$E$18*CashFlows!S81</f>
        <v/>
      </c>
      <c r="X81" s="2">
        <f>X80+Y81-Z81</f>
        <v/>
      </c>
      <c r="Y81" s="2">
        <f>X80*(B81+Inputs!$B$78)/12</f>
        <v/>
      </c>
      <c r="Z81" s="2">
        <f>MIN(W81,X80+Y81)</f>
        <v/>
      </c>
      <c r="AA81" s="2">
        <f>W81-Z81</f>
        <v/>
      </c>
      <c r="AB81" s="2">
        <f>Retention!$B$19*CashFlows!F81+Retention!$C$19*CashFlows!K81+Retention!$D$19*CashFlows!P81+Retention!$E$19*CashFlows!S81</f>
        <v/>
      </c>
      <c r="AC81" s="2">
        <f>AC80+AD81-AE81</f>
        <v/>
      </c>
      <c r="AD81" s="2">
        <f>AC80*(B81+Inputs!$B$78)/12</f>
        <v/>
      </c>
      <c r="AE81" s="2">
        <f>MIN(AB81,AC80+AD81)</f>
        <v/>
      </c>
      <c r="AF81" s="2">
        <f>AB81-AE81</f>
        <v/>
      </c>
    </row>
    <row r="82">
      <c r="A82" s="7" t="n">
        <v>77</v>
      </c>
      <c r="B82" s="3">
        <f>Pool!B82</f>
        <v/>
      </c>
      <c r="C82" s="8">
        <f>C81/(1+(B82+Inputs!$B$64)/12)</f>
        <v/>
      </c>
      <c r="D82" s="8">
        <f>D81/(1+(B82+Inputs!$B$65)/12)</f>
        <v/>
      </c>
      <c r="E82" s="8">
        <f>E81/(1+(B82+Inputs!$B$66)/12)</f>
        <v/>
      </c>
      <c r="F82" s="8">
        <f>F81/(1+(B82+Inputs!$B$67)/12)</f>
        <v/>
      </c>
      <c r="G82" s="8">
        <f>G81/(1+(B82+Inputs!$B$78)/12)</f>
        <v/>
      </c>
      <c r="H82" s="2">
        <f>Retention!$B$15*CashFlows!F82+Retention!$C$15*CashFlows!K82+Retention!$D$15*CashFlows!P82+Retention!$E$15*CashFlows!S82</f>
        <v/>
      </c>
      <c r="I82" s="2">
        <f>I81+J82-K82</f>
        <v/>
      </c>
      <c r="J82" s="2">
        <f>I81*(B82+Inputs!$B$78)/12</f>
        <v/>
      </c>
      <c r="K82" s="2">
        <f>MIN(H82,I81+J82)</f>
        <v/>
      </c>
      <c r="L82" s="2">
        <f>H82-K82</f>
        <v/>
      </c>
      <c r="M82" s="2">
        <f>Retention!$B$16*CashFlows!F82+Retention!$C$16*CashFlows!K82+Retention!$D$16*CashFlows!P82+Retention!$E$16*CashFlows!S82</f>
        <v/>
      </c>
      <c r="N82" s="2">
        <f>N81+O82-P82</f>
        <v/>
      </c>
      <c r="O82" s="2">
        <f>N81*(B82+Inputs!$B$78)/12</f>
        <v/>
      </c>
      <c r="P82" s="2">
        <f>MIN(M82,N81+O82)</f>
        <v/>
      </c>
      <c r="Q82" s="2">
        <f>M82-P82</f>
        <v/>
      </c>
      <c r="R82" s="2">
        <f>Retention!$B$17*CashFlows!F82+Retention!$C$17*CashFlows!K82+Retention!$D$17*CashFlows!P82+Retention!$E$17*CashFlows!S82</f>
        <v/>
      </c>
      <c r="S82" s="2">
        <f>S81+T82-U82</f>
        <v/>
      </c>
      <c r="T82" s="2">
        <f>S81*(B82+Inputs!$B$78)/12</f>
        <v/>
      </c>
      <c r="U82" s="2">
        <f>MIN(R82,S81+T82)</f>
        <v/>
      </c>
      <c r="V82" s="2">
        <f>R82-U82</f>
        <v/>
      </c>
      <c r="W82" s="2">
        <f>Retention!$B$18*CashFlows!F82+Retention!$C$18*CashFlows!K82+Retention!$D$18*CashFlows!P82+Retention!$E$18*CashFlows!S82</f>
        <v/>
      </c>
      <c r="X82" s="2">
        <f>X81+Y82-Z82</f>
        <v/>
      </c>
      <c r="Y82" s="2">
        <f>X81*(B82+Inputs!$B$78)/12</f>
        <v/>
      </c>
      <c r="Z82" s="2">
        <f>MIN(W82,X81+Y82)</f>
        <v/>
      </c>
      <c r="AA82" s="2">
        <f>W82-Z82</f>
        <v/>
      </c>
      <c r="AB82" s="2">
        <f>Retention!$B$19*CashFlows!F82+Retention!$C$19*CashFlows!K82+Retention!$D$19*CashFlows!P82+Retention!$E$19*CashFlows!S82</f>
        <v/>
      </c>
      <c r="AC82" s="2">
        <f>AC81+AD82-AE82</f>
        <v/>
      </c>
      <c r="AD82" s="2">
        <f>AC81*(B82+Inputs!$B$78)/12</f>
        <v/>
      </c>
      <c r="AE82" s="2">
        <f>MIN(AB82,AC81+AD82)</f>
        <v/>
      </c>
      <c r="AF82" s="2">
        <f>AB82-AE82</f>
        <v/>
      </c>
    </row>
    <row r="83">
      <c r="A83" s="7" t="n">
        <v>78</v>
      </c>
      <c r="B83" s="3">
        <f>Pool!B83</f>
        <v/>
      </c>
      <c r="C83" s="8">
        <f>C82/(1+(B83+Inputs!$B$64)/12)</f>
        <v/>
      </c>
      <c r="D83" s="8">
        <f>D82/(1+(B83+Inputs!$B$65)/12)</f>
        <v/>
      </c>
      <c r="E83" s="8">
        <f>E82/(1+(B83+Inputs!$B$66)/12)</f>
        <v/>
      </c>
      <c r="F83" s="8">
        <f>F82/(1+(B83+Inputs!$B$67)/12)</f>
        <v/>
      </c>
      <c r="G83" s="8">
        <f>G82/(1+(B83+Inputs!$B$78)/12)</f>
        <v/>
      </c>
      <c r="H83" s="2">
        <f>Retention!$B$15*CashFlows!F83+Retention!$C$15*CashFlows!K83+Retention!$D$15*CashFlows!P83+Retention!$E$15*CashFlows!S83</f>
        <v/>
      </c>
      <c r="I83" s="2">
        <f>I82+J83-K83</f>
        <v/>
      </c>
      <c r="J83" s="2">
        <f>I82*(B83+Inputs!$B$78)/12</f>
        <v/>
      </c>
      <c r="K83" s="2">
        <f>MIN(H83,I82+J83)</f>
        <v/>
      </c>
      <c r="L83" s="2">
        <f>H83-K83</f>
        <v/>
      </c>
      <c r="M83" s="2">
        <f>Retention!$B$16*CashFlows!F83+Retention!$C$16*CashFlows!K83+Retention!$D$16*CashFlows!P83+Retention!$E$16*CashFlows!S83</f>
        <v/>
      </c>
      <c r="N83" s="2">
        <f>N82+O83-P83</f>
        <v/>
      </c>
      <c r="O83" s="2">
        <f>N82*(B83+Inputs!$B$78)/12</f>
        <v/>
      </c>
      <c r="P83" s="2">
        <f>MIN(M83,N82+O83)</f>
        <v/>
      </c>
      <c r="Q83" s="2">
        <f>M83-P83</f>
        <v/>
      </c>
      <c r="R83" s="2">
        <f>Retention!$B$17*CashFlows!F83+Retention!$C$17*CashFlows!K83+Retention!$D$17*CashFlows!P83+Retention!$E$17*CashFlows!S83</f>
        <v/>
      </c>
      <c r="S83" s="2">
        <f>S82+T83-U83</f>
        <v/>
      </c>
      <c r="T83" s="2">
        <f>S82*(B83+Inputs!$B$78)/12</f>
        <v/>
      </c>
      <c r="U83" s="2">
        <f>MIN(R83,S82+T83)</f>
        <v/>
      </c>
      <c r="V83" s="2">
        <f>R83-U83</f>
        <v/>
      </c>
      <c r="W83" s="2">
        <f>Retention!$B$18*CashFlows!F83+Retention!$C$18*CashFlows!K83+Retention!$D$18*CashFlows!P83+Retention!$E$18*CashFlows!S83</f>
        <v/>
      </c>
      <c r="X83" s="2">
        <f>X82+Y83-Z83</f>
        <v/>
      </c>
      <c r="Y83" s="2">
        <f>X82*(B83+Inputs!$B$78)/12</f>
        <v/>
      </c>
      <c r="Z83" s="2">
        <f>MIN(W83,X82+Y83)</f>
        <v/>
      </c>
      <c r="AA83" s="2">
        <f>W83-Z83</f>
        <v/>
      </c>
      <c r="AB83" s="2">
        <f>Retention!$B$19*CashFlows!F83+Retention!$C$19*CashFlows!K83+Retention!$D$19*CashFlows!P83+Retention!$E$19*CashFlows!S83</f>
        <v/>
      </c>
      <c r="AC83" s="2">
        <f>AC82+AD83-AE83</f>
        <v/>
      </c>
      <c r="AD83" s="2">
        <f>AC82*(B83+Inputs!$B$78)/12</f>
        <v/>
      </c>
      <c r="AE83" s="2">
        <f>MIN(AB83,AC82+AD83)</f>
        <v/>
      </c>
      <c r="AF83" s="2">
        <f>AB83-AE83</f>
        <v/>
      </c>
    </row>
    <row r="84">
      <c r="A84" s="7" t="n">
        <v>79</v>
      </c>
      <c r="B84" s="3">
        <f>Pool!B84</f>
        <v/>
      </c>
      <c r="C84" s="8">
        <f>C83/(1+(B84+Inputs!$B$64)/12)</f>
        <v/>
      </c>
      <c r="D84" s="8">
        <f>D83/(1+(B84+Inputs!$B$65)/12)</f>
        <v/>
      </c>
      <c r="E84" s="8">
        <f>E83/(1+(B84+Inputs!$B$66)/12)</f>
        <v/>
      </c>
      <c r="F84" s="8">
        <f>F83/(1+(B84+Inputs!$B$67)/12)</f>
        <v/>
      </c>
      <c r="G84" s="8">
        <f>G83/(1+(B84+Inputs!$B$78)/12)</f>
        <v/>
      </c>
      <c r="H84" s="2">
        <f>Retention!$B$15*CashFlows!F84+Retention!$C$15*CashFlows!K84+Retention!$D$15*CashFlows!P84+Retention!$E$15*CashFlows!S84</f>
        <v/>
      </c>
      <c r="I84" s="2">
        <f>I83+J84-K84</f>
        <v/>
      </c>
      <c r="J84" s="2">
        <f>I83*(B84+Inputs!$B$78)/12</f>
        <v/>
      </c>
      <c r="K84" s="2">
        <f>MIN(H84,I83+J84)</f>
        <v/>
      </c>
      <c r="L84" s="2">
        <f>H84-K84</f>
        <v/>
      </c>
      <c r="M84" s="2">
        <f>Retention!$B$16*CashFlows!F84+Retention!$C$16*CashFlows!K84+Retention!$D$16*CashFlows!P84+Retention!$E$16*CashFlows!S84</f>
        <v/>
      </c>
      <c r="N84" s="2">
        <f>N83+O84-P84</f>
        <v/>
      </c>
      <c r="O84" s="2">
        <f>N83*(B84+Inputs!$B$78)/12</f>
        <v/>
      </c>
      <c r="P84" s="2">
        <f>MIN(M84,N83+O84)</f>
        <v/>
      </c>
      <c r="Q84" s="2">
        <f>M84-P84</f>
        <v/>
      </c>
      <c r="R84" s="2">
        <f>Retention!$B$17*CashFlows!F84+Retention!$C$17*CashFlows!K84+Retention!$D$17*CashFlows!P84+Retention!$E$17*CashFlows!S84</f>
        <v/>
      </c>
      <c r="S84" s="2">
        <f>S83+T84-U84</f>
        <v/>
      </c>
      <c r="T84" s="2">
        <f>S83*(B84+Inputs!$B$78)/12</f>
        <v/>
      </c>
      <c r="U84" s="2">
        <f>MIN(R84,S83+T84)</f>
        <v/>
      </c>
      <c r="V84" s="2">
        <f>R84-U84</f>
        <v/>
      </c>
      <c r="W84" s="2">
        <f>Retention!$B$18*CashFlows!F84+Retention!$C$18*CashFlows!K84+Retention!$D$18*CashFlows!P84+Retention!$E$18*CashFlows!S84</f>
        <v/>
      </c>
      <c r="X84" s="2">
        <f>X83+Y84-Z84</f>
        <v/>
      </c>
      <c r="Y84" s="2">
        <f>X83*(B84+Inputs!$B$78)/12</f>
        <v/>
      </c>
      <c r="Z84" s="2">
        <f>MIN(W84,X83+Y84)</f>
        <v/>
      </c>
      <c r="AA84" s="2">
        <f>W84-Z84</f>
        <v/>
      </c>
      <c r="AB84" s="2">
        <f>Retention!$B$19*CashFlows!F84+Retention!$C$19*CashFlows!K84+Retention!$D$19*CashFlows!P84+Retention!$E$19*CashFlows!S84</f>
        <v/>
      </c>
      <c r="AC84" s="2">
        <f>AC83+AD84-AE84</f>
        <v/>
      </c>
      <c r="AD84" s="2">
        <f>AC83*(B84+Inputs!$B$78)/12</f>
        <v/>
      </c>
      <c r="AE84" s="2">
        <f>MIN(AB84,AC83+AD84)</f>
        <v/>
      </c>
      <c r="AF84" s="2">
        <f>AB84-AE84</f>
        <v/>
      </c>
    </row>
    <row r="85">
      <c r="A85" s="7" t="n">
        <v>80</v>
      </c>
      <c r="B85" s="3">
        <f>Pool!B85</f>
        <v/>
      </c>
      <c r="C85" s="8">
        <f>C84/(1+(B85+Inputs!$B$64)/12)</f>
        <v/>
      </c>
      <c r="D85" s="8">
        <f>D84/(1+(B85+Inputs!$B$65)/12)</f>
        <v/>
      </c>
      <c r="E85" s="8">
        <f>E84/(1+(B85+Inputs!$B$66)/12)</f>
        <v/>
      </c>
      <c r="F85" s="8">
        <f>F84/(1+(B85+Inputs!$B$67)/12)</f>
        <v/>
      </c>
      <c r="G85" s="8">
        <f>G84/(1+(B85+Inputs!$B$78)/12)</f>
        <v/>
      </c>
      <c r="H85" s="2">
        <f>Retention!$B$15*CashFlows!F85+Retention!$C$15*CashFlows!K85+Retention!$D$15*CashFlows!P85+Retention!$E$15*CashFlows!S85</f>
        <v/>
      </c>
      <c r="I85" s="2">
        <f>I84+J85-K85</f>
        <v/>
      </c>
      <c r="J85" s="2">
        <f>I84*(B85+Inputs!$B$78)/12</f>
        <v/>
      </c>
      <c r="K85" s="2">
        <f>MIN(H85,I84+J85)</f>
        <v/>
      </c>
      <c r="L85" s="2">
        <f>H85-K85</f>
        <v/>
      </c>
      <c r="M85" s="2">
        <f>Retention!$B$16*CashFlows!F85+Retention!$C$16*CashFlows!K85+Retention!$D$16*CashFlows!P85+Retention!$E$16*CashFlows!S85</f>
        <v/>
      </c>
      <c r="N85" s="2">
        <f>N84+O85-P85</f>
        <v/>
      </c>
      <c r="O85" s="2">
        <f>N84*(B85+Inputs!$B$78)/12</f>
        <v/>
      </c>
      <c r="P85" s="2">
        <f>MIN(M85,N84+O85)</f>
        <v/>
      </c>
      <c r="Q85" s="2">
        <f>M85-P85</f>
        <v/>
      </c>
      <c r="R85" s="2">
        <f>Retention!$B$17*CashFlows!F85+Retention!$C$17*CashFlows!K85+Retention!$D$17*CashFlows!P85+Retention!$E$17*CashFlows!S85</f>
        <v/>
      </c>
      <c r="S85" s="2">
        <f>S84+T85-U85</f>
        <v/>
      </c>
      <c r="T85" s="2">
        <f>S84*(B85+Inputs!$B$78)/12</f>
        <v/>
      </c>
      <c r="U85" s="2">
        <f>MIN(R85,S84+T85)</f>
        <v/>
      </c>
      <c r="V85" s="2">
        <f>R85-U85</f>
        <v/>
      </c>
      <c r="W85" s="2">
        <f>Retention!$B$18*CashFlows!F85+Retention!$C$18*CashFlows!K85+Retention!$D$18*CashFlows!P85+Retention!$E$18*CashFlows!S85</f>
        <v/>
      </c>
      <c r="X85" s="2">
        <f>X84+Y85-Z85</f>
        <v/>
      </c>
      <c r="Y85" s="2">
        <f>X84*(B85+Inputs!$B$78)/12</f>
        <v/>
      </c>
      <c r="Z85" s="2">
        <f>MIN(W85,X84+Y85)</f>
        <v/>
      </c>
      <c r="AA85" s="2">
        <f>W85-Z85</f>
        <v/>
      </c>
      <c r="AB85" s="2">
        <f>Retention!$B$19*CashFlows!F85+Retention!$C$19*CashFlows!K85+Retention!$D$19*CashFlows!P85+Retention!$E$19*CashFlows!S85</f>
        <v/>
      </c>
      <c r="AC85" s="2">
        <f>AC84+AD85-AE85</f>
        <v/>
      </c>
      <c r="AD85" s="2">
        <f>AC84*(B85+Inputs!$B$78)/12</f>
        <v/>
      </c>
      <c r="AE85" s="2">
        <f>MIN(AB85,AC84+AD85)</f>
        <v/>
      </c>
      <c r="AF85" s="2">
        <f>AB85-AE85</f>
        <v/>
      </c>
    </row>
    <row r="86">
      <c r="A86" s="7" t="n">
        <v>81</v>
      </c>
      <c r="B86" s="3">
        <f>Pool!B86</f>
        <v/>
      </c>
      <c r="C86" s="8">
        <f>C85/(1+(B86+Inputs!$B$64)/12)</f>
        <v/>
      </c>
      <c r="D86" s="8">
        <f>D85/(1+(B86+Inputs!$B$65)/12)</f>
        <v/>
      </c>
      <c r="E86" s="8">
        <f>E85/(1+(B86+Inputs!$B$66)/12)</f>
        <v/>
      </c>
      <c r="F86" s="8">
        <f>F85/(1+(B86+Inputs!$B$67)/12)</f>
        <v/>
      </c>
      <c r="G86" s="8">
        <f>G85/(1+(B86+Inputs!$B$78)/12)</f>
        <v/>
      </c>
      <c r="H86" s="2">
        <f>Retention!$B$15*CashFlows!F86+Retention!$C$15*CashFlows!K86+Retention!$D$15*CashFlows!P86+Retention!$E$15*CashFlows!S86</f>
        <v/>
      </c>
      <c r="I86" s="2">
        <f>I85+J86-K86</f>
        <v/>
      </c>
      <c r="J86" s="2">
        <f>I85*(B86+Inputs!$B$78)/12</f>
        <v/>
      </c>
      <c r="K86" s="2">
        <f>MIN(H86,I85+J86)</f>
        <v/>
      </c>
      <c r="L86" s="2">
        <f>H86-K86</f>
        <v/>
      </c>
      <c r="M86" s="2">
        <f>Retention!$B$16*CashFlows!F86+Retention!$C$16*CashFlows!K86+Retention!$D$16*CashFlows!P86+Retention!$E$16*CashFlows!S86</f>
        <v/>
      </c>
      <c r="N86" s="2">
        <f>N85+O86-P86</f>
        <v/>
      </c>
      <c r="O86" s="2">
        <f>N85*(B86+Inputs!$B$78)/12</f>
        <v/>
      </c>
      <c r="P86" s="2">
        <f>MIN(M86,N85+O86)</f>
        <v/>
      </c>
      <c r="Q86" s="2">
        <f>M86-P86</f>
        <v/>
      </c>
      <c r="R86" s="2">
        <f>Retention!$B$17*CashFlows!F86+Retention!$C$17*CashFlows!K86+Retention!$D$17*CashFlows!P86+Retention!$E$17*CashFlows!S86</f>
        <v/>
      </c>
      <c r="S86" s="2">
        <f>S85+T86-U86</f>
        <v/>
      </c>
      <c r="T86" s="2">
        <f>S85*(B86+Inputs!$B$78)/12</f>
        <v/>
      </c>
      <c r="U86" s="2">
        <f>MIN(R86,S85+T86)</f>
        <v/>
      </c>
      <c r="V86" s="2">
        <f>R86-U86</f>
        <v/>
      </c>
      <c r="W86" s="2">
        <f>Retention!$B$18*CashFlows!F86+Retention!$C$18*CashFlows!K86+Retention!$D$18*CashFlows!P86+Retention!$E$18*CashFlows!S86</f>
        <v/>
      </c>
      <c r="X86" s="2">
        <f>X85+Y86-Z86</f>
        <v/>
      </c>
      <c r="Y86" s="2">
        <f>X85*(B86+Inputs!$B$78)/12</f>
        <v/>
      </c>
      <c r="Z86" s="2">
        <f>MIN(W86,X85+Y86)</f>
        <v/>
      </c>
      <c r="AA86" s="2">
        <f>W86-Z86</f>
        <v/>
      </c>
      <c r="AB86" s="2">
        <f>Retention!$B$19*CashFlows!F86+Retention!$C$19*CashFlows!K86+Retention!$D$19*CashFlows!P86+Retention!$E$19*CashFlows!S86</f>
        <v/>
      </c>
      <c r="AC86" s="2">
        <f>AC85+AD86-AE86</f>
        <v/>
      </c>
      <c r="AD86" s="2">
        <f>AC85*(B86+Inputs!$B$78)/12</f>
        <v/>
      </c>
      <c r="AE86" s="2">
        <f>MIN(AB86,AC85+AD86)</f>
        <v/>
      </c>
      <c r="AF86" s="2">
        <f>AB86-AE86</f>
        <v/>
      </c>
    </row>
    <row r="87">
      <c r="A87" s="7" t="n">
        <v>82</v>
      </c>
      <c r="B87" s="3">
        <f>Pool!B87</f>
        <v/>
      </c>
      <c r="C87" s="8">
        <f>C86/(1+(B87+Inputs!$B$64)/12)</f>
        <v/>
      </c>
      <c r="D87" s="8">
        <f>D86/(1+(B87+Inputs!$B$65)/12)</f>
        <v/>
      </c>
      <c r="E87" s="8">
        <f>E86/(1+(B87+Inputs!$B$66)/12)</f>
        <v/>
      </c>
      <c r="F87" s="8">
        <f>F86/(1+(B87+Inputs!$B$67)/12)</f>
        <v/>
      </c>
      <c r="G87" s="8">
        <f>G86/(1+(B87+Inputs!$B$78)/12)</f>
        <v/>
      </c>
      <c r="H87" s="2">
        <f>Retention!$B$15*CashFlows!F87+Retention!$C$15*CashFlows!K87+Retention!$D$15*CashFlows!P87+Retention!$E$15*CashFlows!S87</f>
        <v/>
      </c>
      <c r="I87" s="2">
        <f>I86+J87-K87</f>
        <v/>
      </c>
      <c r="J87" s="2">
        <f>I86*(B87+Inputs!$B$78)/12</f>
        <v/>
      </c>
      <c r="K87" s="2">
        <f>MIN(H87,I86+J87)</f>
        <v/>
      </c>
      <c r="L87" s="2">
        <f>H87-K87</f>
        <v/>
      </c>
      <c r="M87" s="2">
        <f>Retention!$B$16*CashFlows!F87+Retention!$C$16*CashFlows!K87+Retention!$D$16*CashFlows!P87+Retention!$E$16*CashFlows!S87</f>
        <v/>
      </c>
      <c r="N87" s="2">
        <f>N86+O87-P87</f>
        <v/>
      </c>
      <c r="O87" s="2">
        <f>N86*(B87+Inputs!$B$78)/12</f>
        <v/>
      </c>
      <c r="P87" s="2">
        <f>MIN(M87,N86+O87)</f>
        <v/>
      </c>
      <c r="Q87" s="2">
        <f>M87-P87</f>
        <v/>
      </c>
      <c r="R87" s="2">
        <f>Retention!$B$17*CashFlows!F87+Retention!$C$17*CashFlows!K87+Retention!$D$17*CashFlows!P87+Retention!$E$17*CashFlows!S87</f>
        <v/>
      </c>
      <c r="S87" s="2">
        <f>S86+T87-U87</f>
        <v/>
      </c>
      <c r="T87" s="2">
        <f>S86*(B87+Inputs!$B$78)/12</f>
        <v/>
      </c>
      <c r="U87" s="2">
        <f>MIN(R87,S86+T87)</f>
        <v/>
      </c>
      <c r="V87" s="2">
        <f>R87-U87</f>
        <v/>
      </c>
      <c r="W87" s="2">
        <f>Retention!$B$18*CashFlows!F87+Retention!$C$18*CashFlows!K87+Retention!$D$18*CashFlows!P87+Retention!$E$18*CashFlows!S87</f>
        <v/>
      </c>
      <c r="X87" s="2">
        <f>X86+Y87-Z87</f>
        <v/>
      </c>
      <c r="Y87" s="2">
        <f>X86*(B87+Inputs!$B$78)/12</f>
        <v/>
      </c>
      <c r="Z87" s="2">
        <f>MIN(W87,X86+Y87)</f>
        <v/>
      </c>
      <c r="AA87" s="2">
        <f>W87-Z87</f>
        <v/>
      </c>
      <c r="AB87" s="2">
        <f>Retention!$B$19*CashFlows!F87+Retention!$C$19*CashFlows!K87+Retention!$D$19*CashFlows!P87+Retention!$E$19*CashFlows!S87</f>
        <v/>
      </c>
      <c r="AC87" s="2">
        <f>AC86+AD87-AE87</f>
        <v/>
      </c>
      <c r="AD87" s="2">
        <f>AC86*(B87+Inputs!$B$78)/12</f>
        <v/>
      </c>
      <c r="AE87" s="2">
        <f>MIN(AB87,AC86+AD87)</f>
        <v/>
      </c>
      <c r="AF87" s="2">
        <f>AB87-AE87</f>
        <v/>
      </c>
    </row>
    <row r="88">
      <c r="A88" s="7" t="n">
        <v>83</v>
      </c>
      <c r="B88" s="3">
        <f>Pool!B88</f>
        <v/>
      </c>
      <c r="C88" s="8">
        <f>C87/(1+(B88+Inputs!$B$64)/12)</f>
        <v/>
      </c>
      <c r="D88" s="8">
        <f>D87/(1+(B88+Inputs!$B$65)/12)</f>
        <v/>
      </c>
      <c r="E88" s="8">
        <f>E87/(1+(B88+Inputs!$B$66)/12)</f>
        <v/>
      </c>
      <c r="F88" s="8">
        <f>F87/(1+(B88+Inputs!$B$67)/12)</f>
        <v/>
      </c>
      <c r="G88" s="8">
        <f>G87/(1+(B88+Inputs!$B$78)/12)</f>
        <v/>
      </c>
      <c r="H88" s="2">
        <f>Retention!$B$15*CashFlows!F88+Retention!$C$15*CashFlows!K88+Retention!$D$15*CashFlows!P88+Retention!$E$15*CashFlows!S88</f>
        <v/>
      </c>
      <c r="I88" s="2">
        <f>I87+J88-K88</f>
        <v/>
      </c>
      <c r="J88" s="2">
        <f>I87*(B88+Inputs!$B$78)/12</f>
        <v/>
      </c>
      <c r="K88" s="2">
        <f>MIN(H88,I87+J88)</f>
        <v/>
      </c>
      <c r="L88" s="2">
        <f>H88-K88</f>
        <v/>
      </c>
      <c r="M88" s="2">
        <f>Retention!$B$16*CashFlows!F88+Retention!$C$16*CashFlows!K88+Retention!$D$16*CashFlows!P88+Retention!$E$16*CashFlows!S88</f>
        <v/>
      </c>
      <c r="N88" s="2">
        <f>N87+O88-P88</f>
        <v/>
      </c>
      <c r="O88" s="2">
        <f>N87*(B88+Inputs!$B$78)/12</f>
        <v/>
      </c>
      <c r="P88" s="2">
        <f>MIN(M88,N87+O88)</f>
        <v/>
      </c>
      <c r="Q88" s="2">
        <f>M88-P88</f>
        <v/>
      </c>
      <c r="R88" s="2">
        <f>Retention!$B$17*CashFlows!F88+Retention!$C$17*CashFlows!K88+Retention!$D$17*CashFlows!P88+Retention!$E$17*CashFlows!S88</f>
        <v/>
      </c>
      <c r="S88" s="2">
        <f>S87+T88-U88</f>
        <v/>
      </c>
      <c r="T88" s="2">
        <f>S87*(B88+Inputs!$B$78)/12</f>
        <v/>
      </c>
      <c r="U88" s="2">
        <f>MIN(R88,S87+T88)</f>
        <v/>
      </c>
      <c r="V88" s="2">
        <f>R88-U88</f>
        <v/>
      </c>
      <c r="W88" s="2">
        <f>Retention!$B$18*CashFlows!F88+Retention!$C$18*CashFlows!K88+Retention!$D$18*CashFlows!P88+Retention!$E$18*CashFlows!S88</f>
        <v/>
      </c>
      <c r="X88" s="2">
        <f>X87+Y88-Z88</f>
        <v/>
      </c>
      <c r="Y88" s="2">
        <f>X87*(B88+Inputs!$B$78)/12</f>
        <v/>
      </c>
      <c r="Z88" s="2">
        <f>MIN(W88,X87+Y88)</f>
        <v/>
      </c>
      <c r="AA88" s="2">
        <f>W88-Z88</f>
        <v/>
      </c>
      <c r="AB88" s="2">
        <f>Retention!$B$19*CashFlows!F88+Retention!$C$19*CashFlows!K88+Retention!$D$19*CashFlows!P88+Retention!$E$19*CashFlows!S88</f>
        <v/>
      </c>
      <c r="AC88" s="2">
        <f>AC87+AD88-AE88</f>
        <v/>
      </c>
      <c r="AD88" s="2">
        <f>AC87*(B88+Inputs!$B$78)/12</f>
        <v/>
      </c>
      <c r="AE88" s="2">
        <f>MIN(AB88,AC87+AD88)</f>
        <v/>
      </c>
      <c r="AF88" s="2">
        <f>AB88-AE88</f>
        <v/>
      </c>
    </row>
    <row r="89">
      <c r="A89" s="7" t="n">
        <v>84</v>
      </c>
      <c r="B89" s="3">
        <f>Pool!B89</f>
        <v/>
      </c>
      <c r="C89" s="8">
        <f>C88/(1+(B89+Inputs!$B$64)/12)</f>
        <v/>
      </c>
      <c r="D89" s="8">
        <f>D88/(1+(B89+Inputs!$B$65)/12)</f>
        <v/>
      </c>
      <c r="E89" s="8">
        <f>E88/(1+(B89+Inputs!$B$66)/12)</f>
        <v/>
      </c>
      <c r="F89" s="8">
        <f>F88/(1+(B89+Inputs!$B$67)/12)</f>
        <v/>
      </c>
      <c r="G89" s="8">
        <f>G88/(1+(B89+Inputs!$B$78)/12)</f>
        <v/>
      </c>
      <c r="H89" s="2">
        <f>Retention!$B$15*CashFlows!F89+Retention!$C$15*CashFlows!K89+Retention!$D$15*CashFlows!P89+Retention!$E$15*CashFlows!S89</f>
        <v/>
      </c>
      <c r="I89" s="2">
        <f>I88+J89-K89</f>
        <v/>
      </c>
      <c r="J89" s="2">
        <f>I88*(B89+Inputs!$B$78)/12</f>
        <v/>
      </c>
      <c r="K89" s="2">
        <f>MIN(H89,I88+J89)</f>
        <v/>
      </c>
      <c r="L89" s="2">
        <f>H89-K89</f>
        <v/>
      </c>
      <c r="M89" s="2">
        <f>Retention!$B$16*CashFlows!F89+Retention!$C$16*CashFlows!K89+Retention!$D$16*CashFlows!P89+Retention!$E$16*CashFlows!S89</f>
        <v/>
      </c>
      <c r="N89" s="2">
        <f>N88+O89-P89</f>
        <v/>
      </c>
      <c r="O89" s="2">
        <f>N88*(B89+Inputs!$B$78)/12</f>
        <v/>
      </c>
      <c r="P89" s="2">
        <f>MIN(M89,N88+O89)</f>
        <v/>
      </c>
      <c r="Q89" s="2">
        <f>M89-P89</f>
        <v/>
      </c>
      <c r="R89" s="2">
        <f>Retention!$B$17*CashFlows!F89+Retention!$C$17*CashFlows!K89+Retention!$D$17*CashFlows!P89+Retention!$E$17*CashFlows!S89</f>
        <v/>
      </c>
      <c r="S89" s="2">
        <f>S88+T89-U89</f>
        <v/>
      </c>
      <c r="T89" s="2">
        <f>S88*(B89+Inputs!$B$78)/12</f>
        <v/>
      </c>
      <c r="U89" s="2">
        <f>MIN(R89,S88+T89)</f>
        <v/>
      </c>
      <c r="V89" s="2">
        <f>R89-U89</f>
        <v/>
      </c>
      <c r="W89" s="2">
        <f>Retention!$B$18*CashFlows!F89+Retention!$C$18*CashFlows!K89+Retention!$D$18*CashFlows!P89+Retention!$E$18*CashFlows!S89</f>
        <v/>
      </c>
      <c r="X89" s="2">
        <f>X88+Y89-Z89</f>
        <v/>
      </c>
      <c r="Y89" s="2">
        <f>X88*(B89+Inputs!$B$78)/12</f>
        <v/>
      </c>
      <c r="Z89" s="2">
        <f>MIN(W89,X88+Y89)</f>
        <v/>
      </c>
      <c r="AA89" s="2">
        <f>W89-Z89</f>
        <v/>
      </c>
      <c r="AB89" s="2">
        <f>Retention!$B$19*CashFlows!F89+Retention!$C$19*CashFlows!K89+Retention!$D$19*CashFlows!P89+Retention!$E$19*CashFlows!S89</f>
        <v/>
      </c>
      <c r="AC89" s="2">
        <f>AC88+AD89-AE89</f>
        <v/>
      </c>
      <c r="AD89" s="2">
        <f>AC88*(B89+Inputs!$B$78)/12</f>
        <v/>
      </c>
      <c r="AE89" s="2">
        <f>MIN(AB89,AC88+AD89)</f>
        <v/>
      </c>
      <c r="AF89" s="2">
        <f>AB89-AE89</f>
        <v/>
      </c>
    </row>
    <row r="90">
      <c r="A90" s="7" t="n">
        <v>85</v>
      </c>
      <c r="B90" s="3">
        <f>Pool!B90</f>
        <v/>
      </c>
      <c r="C90" s="8">
        <f>C89/(1+(B90+Inputs!$B$64)/12)</f>
        <v/>
      </c>
      <c r="D90" s="8">
        <f>D89/(1+(B90+Inputs!$B$65)/12)</f>
        <v/>
      </c>
      <c r="E90" s="8">
        <f>E89/(1+(B90+Inputs!$B$66)/12)</f>
        <v/>
      </c>
      <c r="F90" s="8">
        <f>F89/(1+(B90+Inputs!$B$67)/12)</f>
        <v/>
      </c>
      <c r="G90" s="8">
        <f>G89/(1+(B90+Inputs!$B$78)/12)</f>
        <v/>
      </c>
      <c r="H90" s="2">
        <f>Retention!$B$15*CashFlows!F90+Retention!$C$15*CashFlows!K90+Retention!$D$15*CashFlows!P90+Retention!$E$15*CashFlows!S90</f>
        <v/>
      </c>
      <c r="I90" s="2">
        <f>I89+J90-K90</f>
        <v/>
      </c>
      <c r="J90" s="2">
        <f>I89*(B90+Inputs!$B$78)/12</f>
        <v/>
      </c>
      <c r="K90" s="2">
        <f>MIN(H90,I89+J90)</f>
        <v/>
      </c>
      <c r="L90" s="2">
        <f>H90-K90</f>
        <v/>
      </c>
      <c r="M90" s="2">
        <f>Retention!$B$16*CashFlows!F90+Retention!$C$16*CashFlows!K90+Retention!$D$16*CashFlows!P90+Retention!$E$16*CashFlows!S90</f>
        <v/>
      </c>
      <c r="N90" s="2">
        <f>N89+O90-P90</f>
        <v/>
      </c>
      <c r="O90" s="2">
        <f>N89*(B90+Inputs!$B$78)/12</f>
        <v/>
      </c>
      <c r="P90" s="2">
        <f>MIN(M90,N89+O90)</f>
        <v/>
      </c>
      <c r="Q90" s="2">
        <f>M90-P90</f>
        <v/>
      </c>
      <c r="R90" s="2">
        <f>Retention!$B$17*CashFlows!F90+Retention!$C$17*CashFlows!K90+Retention!$D$17*CashFlows!P90+Retention!$E$17*CashFlows!S90</f>
        <v/>
      </c>
      <c r="S90" s="2">
        <f>S89+T90-U90</f>
        <v/>
      </c>
      <c r="T90" s="2">
        <f>S89*(B90+Inputs!$B$78)/12</f>
        <v/>
      </c>
      <c r="U90" s="2">
        <f>MIN(R90,S89+T90)</f>
        <v/>
      </c>
      <c r="V90" s="2">
        <f>R90-U90</f>
        <v/>
      </c>
      <c r="W90" s="2">
        <f>Retention!$B$18*CashFlows!F90+Retention!$C$18*CashFlows!K90+Retention!$D$18*CashFlows!P90+Retention!$E$18*CashFlows!S90</f>
        <v/>
      </c>
      <c r="X90" s="2">
        <f>X89+Y90-Z90</f>
        <v/>
      </c>
      <c r="Y90" s="2">
        <f>X89*(B90+Inputs!$B$78)/12</f>
        <v/>
      </c>
      <c r="Z90" s="2">
        <f>MIN(W90,X89+Y90)</f>
        <v/>
      </c>
      <c r="AA90" s="2">
        <f>W90-Z90</f>
        <v/>
      </c>
      <c r="AB90" s="2">
        <f>Retention!$B$19*CashFlows!F90+Retention!$C$19*CashFlows!K90+Retention!$D$19*CashFlows!P90+Retention!$E$19*CashFlows!S90</f>
        <v/>
      </c>
      <c r="AC90" s="2">
        <f>AC89+AD90-AE90</f>
        <v/>
      </c>
      <c r="AD90" s="2">
        <f>AC89*(B90+Inputs!$B$78)/12</f>
        <v/>
      </c>
      <c r="AE90" s="2">
        <f>MIN(AB90,AC89+AD90)</f>
        <v/>
      </c>
      <c r="AF90" s="2">
        <f>AB90-AE90</f>
        <v/>
      </c>
    </row>
    <row r="91">
      <c r="A91" s="7" t="n">
        <v>86</v>
      </c>
      <c r="B91" s="3">
        <f>Pool!B91</f>
        <v/>
      </c>
      <c r="C91" s="8">
        <f>C90/(1+(B91+Inputs!$B$64)/12)</f>
        <v/>
      </c>
      <c r="D91" s="8">
        <f>D90/(1+(B91+Inputs!$B$65)/12)</f>
        <v/>
      </c>
      <c r="E91" s="8">
        <f>E90/(1+(B91+Inputs!$B$66)/12)</f>
        <v/>
      </c>
      <c r="F91" s="8">
        <f>F90/(1+(B91+Inputs!$B$67)/12)</f>
        <v/>
      </c>
      <c r="G91" s="8">
        <f>G90/(1+(B91+Inputs!$B$78)/12)</f>
        <v/>
      </c>
      <c r="H91" s="2">
        <f>Retention!$B$15*CashFlows!F91+Retention!$C$15*CashFlows!K91+Retention!$D$15*CashFlows!P91+Retention!$E$15*CashFlows!S91</f>
        <v/>
      </c>
      <c r="I91" s="2">
        <f>I90+J91-K91</f>
        <v/>
      </c>
      <c r="J91" s="2">
        <f>I90*(B91+Inputs!$B$78)/12</f>
        <v/>
      </c>
      <c r="K91" s="2">
        <f>MIN(H91,I90+J91)</f>
        <v/>
      </c>
      <c r="L91" s="2">
        <f>H91-K91</f>
        <v/>
      </c>
      <c r="M91" s="2">
        <f>Retention!$B$16*CashFlows!F91+Retention!$C$16*CashFlows!K91+Retention!$D$16*CashFlows!P91+Retention!$E$16*CashFlows!S91</f>
        <v/>
      </c>
      <c r="N91" s="2">
        <f>N90+O91-P91</f>
        <v/>
      </c>
      <c r="O91" s="2">
        <f>N90*(B91+Inputs!$B$78)/12</f>
        <v/>
      </c>
      <c r="P91" s="2">
        <f>MIN(M91,N90+O91)</f>
        <v/>
      </c>
      <c r="Q91" s="2">
        <f>M91-P91</f>
        <v/>
      </c>
      <c r="R91" s="2">
        <f>Retention!$B$17*CashFlows!F91+Retention!$C$17*CashFlows!K91+Retention!$D$17*CashFlows!P91+Retention!$E$17*CashFlows!S91</f>
        <v/>
      </c>
      <c r="S91" s="2">
        <f>S90+T91-U91</f>
        <v/>
      </c>
      <c r="T91" s="2">
        <f>S90*(B91+Inputs!$B$78)/12</f>
        <v/>
      </c>
      <c r="U91" s="2">
        <f>MIN(R91,S90+T91)</f>
        <v/>
      </c>
      <c r="V91" s="2">
        <f>R91-U91</f>
        <v/>
      </c>
      <c r="W91" s="2">
        <f>Retention!$B$18*CashFlows!F91+Retention!$C$18*CashFlows!K91+Retention!$D$18*CashFlows!P91+Retention!$E$18*CashFlows!S91</f>
        <v/>
      </c>
      <c r="X91" s="2">
        <f>X90+Y91-Z91</f>
        <v/>
      </c>
      <c r="Y91" s="2">
        <f>X90*(B91+Inputs!$B$78)/12</f>
        <v/>
      </c>
      <c r="Z91" s="2">
        <f>MIN(W91,X90+Y91)</f>
        <v/>
      </c>
      <c r="AA91" s="2">
        <f>W91-Z91</f>
        <v/>
      </c>
      <c r="AB91" s="2">
        <f>Retention!$B$19*CashFlows!F91+Retention!$C$19*CashFlows!K91+Retention!$D$19*CashFlows!P91+Retention!$E$19*CashFlows!S91</f>
        <v/>
      </c>
      <c r="AC91" s="2">
        <f>AC90+AD91-AE91</f>
        <v/>
      </c>
      <c r="AD91" s="2">
        <f>AC90*(B91+Inputs!$B$78)/12</f>
        <v/>
      </c>
      <c r="AE91" s="2">
        <f>MIN(AB91,AC90+AD91)</f>
        <v/>
      </c>
      <c r="AF91" s="2">
        <f>AB91-AE91</f>
        <v/>
      </c>
    </row>
    <row r="92">
      <c r="A92" s="7" t="n">
        <v>87</v>
      </c>
      <c r="B92" s="3">
        <f>Pool!B92</f>
        <v/>
      </c>
      <c r="C92" s="8">
        <f>C91/(1+(B92+Inputs!$B$64)/12)</f>
        <v/>
      </c>
      <c r="D92" s="8">
        <f>D91/(1+(B92+Inputs!$B$65)/12)</f>
        <v/>
      </c>
      <c r="E92" s="8">
        <f>E91/(1+(B92+Inputs!$B$66)/12)</f>
        <v/>
      </c>
      <c r="F92" s="8">
        <f>F91/(1+(B92+Inputs!$B$67)/12)</f>
        <v/>
      </c>
      <c r="G92" s="8">
        <f>G91/(1+(B92+Inputs!$B$78)/12)</f>
        <v/>
      </c>
      <c r="H92" s="2">
        <f>Retention!$B$15*CashFlows!F92+Retention!$C$15*CashFlows!K92+Retention!$D$15*CashFlows!P92+Retention!$E$15*CashFlows!S92</f>
        <v/>
      </c>
      <c r="I92" s="2">
        <f>I91+J92-K92</f>
        <v/>
      </c>
      <c r="J92" s="2">
        <f>I91*(B92+Inputs!$B$78)/12</f>
        <v/>
      </c>
      <c r="K92" s="2">
        <f>MIN(H92,I91+J92)</f>
        <v/>
      </c>
      <c r="L92" s="2">
        <f>H92-K92</f>
        <v/>
      </c>
      <c r="M92" s="2">
        <f>Retention!$B$16*CashFlows!F92+Retention!$C$16*CashFlows!K92+Retention!$D$16*CashFlows!P92+Retention!$E$16*CashFlows!S92</f>
        <v/>
      </c>
      <c r="N92" s="2">
        <f>N91+O92-P92</f>
        <v/>
      </c>
      <c r="O92" s="2">
        <f>N91*(B92+Inputs!$B$78)/12</f>
        <v/>
      </c>
      <c r="P92" s="2">
        <f>MIN(M92,N91+O92)</f>
        <v/>
      </c>
      <c r="Q92" s="2">
        <f>M92-P92</f>
        <v/>
      </c>
      <c r="R92" s="2">
        <f>Retention!$B$17*CashFlows!F92+Retention!$C$17*CashFlows!K92+Retention!$D$17*CashFlows!P92+Retention!$E$17*CashFlows!S92</f>
        <v/>
      </c>
      <c r="S92" s="2">
        <f>S91+T92-U92</f>
        <v/>
      </c>
      <c r="T92" s="2">
        <f>S91*(B92+Inputs!$B$78)/12</f>
        <v/>
      </c>
      <c r="U92" s="2">
        <f>MIN(R92,S91+T92)</f>
        <v/>
      </c>
      <c r="V92" s="2">
        <f>R92-U92</f>
        <v/>
      </c>
      <c r="W92" s="2">
        <f>Retention!$B$18*CashFlows!F92+Retention!$C$18*CashFlows!K92+Retention!$D$18*CashFlows!P92+Retention!$E$18*CashFlows!S92</f>
        <v/>
      </c>
      <c r="X92" s="2">
        <f>X91+Y92-Z92</f>
        <v/>
      </c>
      <c r="Y92" s="2">
        <f>X91*(B92+Inputs!$B$78)/12</f>
        <v/>
      </c>
      <c r="Z92" s="2">
        <f>MIN(W92,X91+Y92)</f>
        <v/>
      </c>
      <c r="AA92" s="2">
        <f>W92-Z92</f>
        <v/>
      </c>
      <c r="AB92" s="2">
        <f>Retention!$B$19*CashFlows!F92+Retention!$C$19*CashFlows!K92+Retention!$D$19*CashFlows!P92+Retention!$E$19*CashFlows!S92</f>
        <v/>
      </c>
      <c r="AC92" s="2">
        <f>AC91+AD92-AE92</f>
        <v/>
      </c>
      <c r="AD92" s="2">
        <f>AC91*(B92+Inputs!$B$78)/12</f>
        <v/>
      </c>
      <c r="AE92" s="2">
        <f>MIN(AB92,AC91+AD92)</f>
        <v/>
      </c>
      <c r="AF92" s="2">
        <f>AB92-AE92</f>
        <v/>
      </c>
    </row>
    <row r="93">
      <c r="A93" s="7" t="n">
        <v>88</v>
      </c>
      <c r="B93" s="3">
        <f>Pool!B93</f>
        <v/>
      </c>
      <c r="C93" s="8">
        <f>C92/(1+(B93+Inputs!$B$64)/12)</f>
        <v/>
      </c>
      <c r="D93" s="8">
        <f>D92/(1+(B93+Inputs!$B$65)/12)</f>
        <v/>
      </c>
      <c r="E93" s="8">
        <f>E92/(1+(B93+Inputs!$B$66)/12)</f>
        <v/>
      </c>
      <c r="F93" s="8">
        <f>F92/(1+(B93+Inputs!$B$67)/12)</f>
        <v/>
      </c>
      <c r="G93" s="8">
        <f>G92/(1+(B93+Inputs!$B$78)/12)</f>
        <v/>
      </c>
      <c r="H93" s="2">
        <f>Retention!$B$15*CashFlows!F93+Retention!$C$15*CashFlows!K93+Retention!$D$15*CashFlows!P93+Retention!$E$15*CashFlows!S93</f>
        <v/>
      </c>
      <c r="I93" s="2">
        <f>I92+J93-K93</f>
        <v/>
      </c>
      <c r="J93" s="2">
        <f>I92*(B93+Inputs!$B$78)/12</f>
        <v/>
      </c>
      <c r="K93" s="2">
        <f>MIN(H93,I92+J93)</f>
        <v/>
      </c>
      <c r="L93" s="2">
        <f>H93-K93</f>
        <v/>
      </c>
      <c r="M93" s="2">
        <f>Retention!$B$16*CashFlows!F93+Retention!$C$16*CashFlows!K93+Retention!$D$16*CashFlows!P93+Retention!$E$16*CashFlows!S93</f>
        <v/>
      </c>
      <c r="N93" s="2">
        <f>N92+O93-P93</f>
        <v/>
      </c>
      <c r="O93" s="2">
        <f>N92*(B93+Inputs!$B$78)/12</f>
        <v/>
      </c>
      <c r="P93" s="2">
        <f>MIN(M93,N92+O93)</f>
        <v/>
      </c>
      <c r="Q93" s="2">
        <f>M93-P93</f>
        <v/>
      </c>
      <c r="R93" s="2">
        <f>Retention!$B$17*CashFlows!F93+Retention!$C$17*CashFlows!K93+Retention!$D$17*CashFlows!P93+Retention!$E$17*CashFlows!S93</f>
        <v/>
      </c>
      <c r="S93" s="2">
        <f>S92+T93-U93</f>
        <v/>
      </c>
      <c r="T93" s="2">
        <f>S92*(B93+Inputs!$B$78)/12</f>
        <v/>
      </c>
      <c r="U93" s="2">
        <f>MIN(R93,S92+T93)</f>
        <v/>
      </c>
      <c r="V93" s="2">
        <f>R93-U93</f>
        <v/>
      </c>
      <c r="W93" s="2">
        <f>Retention!$B$18*CashFlows!F93+Retention!$C$18*CashFlows!K93+Retention!$D$18*CashFlows!P93+Retention!$E$18*CashFlows!S93</f>
        <v/>
      </c>
      <c r="X93" s="2">
        <f>X92+Y93-Z93</f>
        <v/>
      </c>
      <c r="Y93" s="2">
        <f>X92*(B93+Inputs!$B$78)/12</f>
        <v/>
      </c>
      <c r="Z93" s="2">
        <f>MIN(W93,X92+Y93)</f>
        <v/>
      </c>
      <c r="AA93" s="2">
        <f>W93-Z93</f>
        <v/>
      </c>
      <c r="AB93" s="2">
        <f>Retention!$B$19*CashFlows!F93+Retention!$C$19*CashFlows!K93+Retention!$D$19*CashFlows!P93+Retention!$E$19*CashFlows!S93</f>
        <v/>
      </c>
      <c r="AC93" s="2">
        <f>AC92+AD93-AE93</f>
        <v/>
      </c>
      <c r="AD93" s="2">
        <f>AC92*(B93+Inputs!$B$78)/12</f>
        <v/>
      </c>
      <c r="AE93" s="2">
        <f>MIN(AB93,AC92+AD93)</f>
        <v/>
      </c>
      <c r="AF93" s="2">
        <f>AB93-AE93</f>
        <v/>
      </c>
    </row>
    <row r="94">
      <c r="A94" s="7" t="n">
        <v>89</v>
      </c>
      <c r="B94" s="3">
        <f>Pool!B94</f>
        <v/>
      </c>
      <c r="C94" s="8">
        <f>C93/(1+(B94+Inputs!$B$64)/12)</f>
        <v/>
      </c>
      <c r="D94" s="8">
        <f>D93/(1+(B94+Inputs!$B$65)/12)</f>
        <v/>
      </c>
      <c r="E94" s="8">
        <f>E93/(1+(B94+Inputs!$B$66)/12)</f>
        <v/>
      </c>
      <c r="F94" s="8">
        <f>F93/(1+(B94+Inputs!$B$67)/12)</f>
        <v/>
      </c>
      <c r="G94" s="8">
        <f>G93/(1+(B94+Inputs!$B$78)/12)</f>
        <v/>
      </c>
      <c r="H94" s="2">
        <f>Retention!$B$15*CashFlows!F94+Retention!$C$15*CashFlows!K94+Retention!$D$15*CashFlows!P94+Retention!$E$15*CashFlows!S94</f>
        <v/>
      </c>
      <c r="I94" s="2">
        <f>I93+J94-K94</f>
        <v/>
      </c>
      <c r="J94" s="2">
        <f>I93*(B94+Inputs!$B$78)/12</f>
        <v/>
      </c>
      <c r="K94" s="2">
        <f>MIN(H94,I93+J94)</f>
        <v/>
      </c>
      <c r="L94" s="2">
        <f>H94-K94</f>
        <v/>
      </c>
      <c r="M94" s="2">
        <f>Retention!$B$16*CashFlows!F94+Retention!$C$16*CashFlows!K94+Retention!$D$16*CashFlows!P94+Retention!$E$16*CashFlows!S94</f>
        <v/>
      </c>
      <c r="N94" s="2">
        <f>N93+O94-P94</f>
        <v/>
      </c>
      <c r="O94" s="2">
        <f>N93*(B94+Inputs!$B$78)/12</f>
        <v/>
      </c>
      <c r="P94" s="2">
        <f>MIN(M94,N93+O94)</f>
        <v/>
      </c>
      <c r="Q94" s="2">
        <f>M94-P94</f>
        <v/>
      </c>
      <c r="R94" s="2">
        <f>Retention!$B$17*CashFlows!F94+Retention!$C$17*CashFlows!K94+Retention!$D$17*CashFlows!P94+Retention!$E$17*CashFlows!S94</f>
        <v/>
      </c>
      <c r="S94" s="2">
        <f>S93+T94-U94</f>
        <v/>
      </c>
      <c r="T94" s="2">
        <f>S93*(B94+Inputs!$B$78)/12</f>
        <v/>
      </c>
      <c r="U94" s="2">
        <f>MIN(R94,S93+T94)</f>
        <v/>
      </c>
      <c r="V94" s="2">
        <f>R94-U94</f>
        <v/>
      </c>
      <c r="W94" s="2">
        <f>Retention!$B$18*CashFlows!F94+Retention!$C$18*CashFlows!K94+Retention!$D$18*CashFlows!P94+Retention!$E$18*CashFlows!S94</f>
        <v/>
      </c>
      <c r="X94" s="2">
        <f>X93+Y94-Z94</f>
        <v/>
      </c>
      <c r="Y94" s="2">
        <f>X93*(B94+Inputs!$B$78)/12</f>
        <v/>
      </c>
      <c r="Z94" s="2">
        <f>MIN(W94,X93+Y94)</f>
        <v/>
      </c>
      <c r="AA94" s="2">
        <f>W94-Z94</f>
        <v/>
      </c>
      <c r="AB94" s="2">
        <f>Retention!$B$19*CashFlows!F94+Retention!$C$19*CashFlows!K94+Retention!$D$19*CashFlows!P94+Retention!$E$19*CashFlows!S94</f>
        <v/>
      </c>
      <c r="AC94" s="2">
        <f>AC93+AD94-AE94</f>
        <v/>
      </c>
      <c r="AD94" s="2">
        <f>AC93*(B94+Inputs!$B$78)/12</f>
        <v/>
      </c>
      <c r="AE94" s="2">
        <f>MIN(AB94,AC93+AD94)</f>
        <v/>
      </c>
      <c r="AF94" s="2">
        <f>AB94-AE94</f>
        <v/>
      </c>
    </row>
    <row r="95">
      <c r="A95" s="7" t="n">
        <v>90</v>
      </c>
      <c r="B95" s="3">
        <f>Pool!B95</f>
        <v/>
      </c>
      <c r="C95" s="8">
        <f>C94/(1+(B95+Inputs!$B$64)/12)</f>
        <v/>
      </c>
      <c r="D95" s="8">
        <f>D94/(1+(B95+Inputs!$B$65)/12)</f>
        <v/>
      </c>
      <c r="E95" s="8">
        <f>E94/(1+(B95+Inputs!$B$66)/12)</f>
        <v/>
      </c>
      <c r="F95" s="8">
        <f>F94/(1+(B95+Inputs!$B$67)/12)</f>
        <v/>
      </c>
      <c r="G95" s="8">
        <f>G94/(1+(B95+Inputs!$B$78)/12)</f>
        <v/>
      </c>
      <c r="H95" s="2">
        <f>Retention!$B$15*CashFlows!F95+Retention!$C$15*CashFlows!K95+Retention!$D$15*CashFlows!P95+Retention!$E$15*CashFlows!S95</f>
        <v/>
      </c>
      <c r="I95" s="2">
        <f>I94+J95-K95</f>
        <v/>
      </c>
      <c r="J95" s="2">
        <f>I94*(B95+Inputs!$B$78)/12</f>
        <v/>
      </c>
      <c r="K95" s="2">
        <f>MIN(H95,I94+J95)</f>
        <v/>
      </c>
      <c r="L95" s="2">
        <f>H95-K95</f>
        <v/>
      </c>
      <c r="M95" s="2">
        <f>Retention!$B$16*CashFlows!F95+Retention!$C$16*CashFlows!K95+Retention!$D$16*CashFlows!P95+Retention!$E$16*CashFlows!S95</f>
        <v/>
      </c>
      <c r="N95" s="2">
        <f>N94+O95-P95</f>
        <v/>
      </c>
      <c r="O95" s="2">
        <f>N94*(B95+Inputs!$B$78)/12</f>
        <v/>
      </c>
      <c r="P95" s="2">
        <f>MIN(M95,N94+O95)</f>
        <v/>
      </c>
      <c r="Q95" s="2">
        <f>M95-P95</f>
        <v/>
      </c>
      <c r="R95" s="2">
        <f>Retention!$B$17*CashFlows!F95+Retention!$C$17*CashFlows!K95+Retention!$D$17*CashFlows!P95+Retention!$E$17*CashFlows!S95</f>
        <v/>
      </c>
      <c r="S95" s="2">
        <f>S94+T95-U95</f>
        <v/>
      </c>
      <c r="T95" s="2">
        <f>S94*(B95+Inputs!$B$78)/12</f>
        <v/>
      </c>
      <c r="U95" s="2">
        <f>MIN(R95,S94+T95)</f>
        <v/>
      </c>
      <c r="V95" s="2">
        <f>R95-U95</f>
        <v/>
      </c>
      <c r="W95" s="2">
        <f>Retention!$B$18*CashFlows!F95+Retention!$C$18*CashFlows!K95+Retention!$D$18*CashFlows!P95+Retention!$E$18*CashFlows!S95</f>
        <v/>
      </c>
      <c r="X95" s="2">
        <f>X94+Y95-Z95</f>
        <v/>
      </c>
      <c r="Y95" s="2">
        <f>X94*(B95+Inputs!$B$78)/12</f>
        <v/>
      </c>
      <c r="Z95" s="2">
        <f>MIN(W95,X94+Y95)</f>
        <v/>
      </c>
      <c r="AA95" s="2">
        <f>W95-Z95</f>
        <v/>
      </c>
      <c r="AB95" s="2">
        <f>Retention!$B$19*CashFlows!F95+Retention!$C$19*CashFlows!K95+Retention!$D$19*CashFlows!P95+Retention!$E$19*CashFlows!S95</f>
        <v/>
      </c>
      <c r="AC95" s="2">
        <f>AC94+AD95-AE95</f>
        <v/>
      </c>
      <c r="AD95" s="2">
        <f>AC94*(B95+Inputs!$B$78)/12</f>
        <v/>
      </c>
      <c r="AE95" s="2">
        <f>MIN(AB95,AC94+AD95)</f>
        <v/>
      </c>
      <c r="AF95" s="2">
        <f>AB95-AE95</f>
        <v/>
      </c>
    </row>
    <row r="96">
      <c r="A96" s="7" t="n">
        <v>91</v>
      </c>
      <c r="B96" s="3">
        <f>Pool!B96</f>
        <v/>
      </c>
      <c r="C96" s="8">
        <f>C95/(1+(B96+Inputs!$B$64)/12)</f>
        <v/>
      </c>
      <c r="D96" s="8">
        <f>D95/(1+(B96+Inputs!$B$65)/12)</f>
        <v/>
      </c>
      <c r="E96" s="8">
        <f>E95/(1+(B96+Inputs!$B$66)/12)</f>
        <v/>
      </c>
      <c r="F96" s="8">
        <f>F95/(1+(B96+Inputs!$B$67)/12)</f>
        <v/>
      </c>
      <c r="G96" s="8">
        <f>G95/(1+(B96+Inputs!$B$78)/12)</f>
        <v/>
      </c>
      <c r="H96" s="2">
        <f>Retention!$B$15*CashFlows!F96+Retention!$C$15*CashFlows!K96+Retention!$D$15*CashFlows!P96+Retention!$E$15*CashFlows!S96</f>
        <v/>
      </c>
      <c r="I96" s="2">
        <f>I95+J96-K96</f>
        <v/>
      </c>
      <c r="J96" s="2">
        <f>I95*(B96+Inputs!$B$78)/12</f>
        <v/>
      </c>
      <c r="K96" s="2">
        <f>MIN(H96,I95+J96)</f>
        <v/>
      </c>
      <c r="L96" s="2">
        <f>H96-K96</f>
        <v/>
      </c>
      <c r="M96" s="2">
        <f>Retention!$B$16*CashFlows!F96+Retention!$C$16*CashFlows!K96+Retention!$D$16*CashFlows!P96+Retention!$E$16*CashFlows!S96</f>
        <v/>
      </c>
      <c r="N96" s="2">
        <f>N95+O96-P96</f>
        <v/>
      </c>
      <c r="O96" s="2">
        <f>N95*(B96+Inputs!$B$78)/12</f>
        <v/>
      </c>
      <c r="P96" s="2">
        <f>MIN(M96,N95+O96)</f>
        <v/>
      </c>
      <c r="Q96" s="2">
        <f>M96-P96</f>
        <v/>
      </c>
      <c r="R96" s="2">
        <f>Retention!$B$17*CashFlows!F96+Retention!$C$17*CashFlows!K96+Retention!$D$17*CashFlows!P96+Retention!$E$17*CashFlows!S96</f>
        <v/>
      </c>
      <c r="S96" s="2">
        <f>S95+T96-U96</f>
        <v/>
      </c>
      <c r="T96" s="2">
        <f>S95*(B96+Inputs!$B$78)/12</f>
        <v/>
      </c>
      <c r="U96" s="2">
        <f>MIN(R96,S95+T96)</f>
        <v/>
      </c>
      <c r="V96" s="2">
        <f>R96-U96</f>
        <v/>
      </c>
      <c r="W96" s="2">
        <f>Retention!$B$18*CashFlows!F96+Retention!$C$18*CashFlows!K96+Retention!$D$18*CashFlows!P96+Retention!$E$18*CashFlows!S96</f>
        <v/>
      </c>
      <c r="X96" s="2">
        <f>X95+Y96-Z96</f>
        <v/>
      </c>
      <c r="Y96" s="2">
        <f>X95*(B96+Inputs!$B$78)/12</f>
        <v/>
      </c>
      <c r="Z96" s="2">
        <f>MIN(W96,X95+Y96)</f>
        <v/>
      </c>
      <c r="AA96" s="2">
        <f>W96-Z96</f>
        <v/>
      </c>
      <c r="AB96" s="2">
        <f>Retention!$B$19*CashFlows!F96+Retention!$C$19*CashFlows!K96+Retention!$D$19*CashFlows!P96+Retention!$E$19*CashFlows!S96</f>
        <v/>
      </c>
      <c r="AC96" s="2">
        <f>AC95+AD96-AE96</f>
        <v/>
      </c>
      <c r="AD96" s="2">
        <f>AC95*(B96+Inputs!$B$78)/12</f>
        <v/>
      </c>
      <c r="AE96" s="2">
        <f>MIN(AB96,AC95+AD96)</f>
        <v/>
      </c>
      <c r="AF96" s="2">
        <f>AB96-AE96</f>
        <v/>
      </c>
    </row>
    <row r="97">
      <c r="A97" s="7" t="n">
        <v>92</v>
      </c>
      <c r="B97" s="3">
        <f>Pool!B97</f>
        <v/>
      </c>
      <c r="C97" s="8">
        <f>C96/(1+(B97+Inputs!$B$64)/12)</f>
        <v/>
      </c>
      <c r="D97" s="8">
        <f>D96/(1+(B97+Inputs!$B$65)/12)</f>
        <v/>
      </c>
      <c r="E97" s="8">
        <f>E96/(1+(B97+Inputs!$B$66)/12)</f>
        <v/>
      </c>
      <c r="F97" s="8">
        <f>F96/(1+(B97+Inputs!$B$67)/12)</f>
        <v/>
      </c>
      <c r="G97" s="8">
        <f>G96/(1+(B97+Inputs!$B$78)/12)</f>
        <v/>
      </c>
      <c r="H97" s="2">
        <f>Retention!$B$15*CashFlows!F97+Retention!$C$15*CashFlows!K97+Retention!$D$15*CashFlows!P97+Retention!$E$15*CashFlows!S97</f>
        <v/>
      </c>
      <c r="I97" s="2">
        <f>I96+J97-K97</f>
        <v/>
      </c>
      <c r="J97" s="2">
        <f>I96*(B97+Inputs!$B$78)/12</f>
        <v/>
      </c>
      <c r="K97" s="2">
        <f>MIN(H97,I96+J97)</f>
        <v/>
      </c>
      <c r="L97" s="2">
        <f>H97-K97</f>
        <v/>
      </c>
      <c r="M97" s="2">
        <f>Retention!$B$16*CashFlows!F97+Retention!$C$16*CashFlows!K97+Retention!$D$16*CashFlows!P97+Retention!$E$16*CashFlows!S97</f>
        <v/>
      </c>
      <c r="N97" s="2">
        <f>N96+O97-P97</f>
        <v/>
      </c>
      <c r="O97" s="2">
        <f>N96*(B97+Inputs!$B$78)/12</f>
        <v/>
      </c>
      <c r="P97" s="2">
        <f>MIN(M97,N96+O97)</f>
        <v/>
      </c>
      <c r="Q97" s="2">
        <f>M97-P97</f>
        <v/>
      </c>
      <c r="R97" s="2">
        <f>Retention!$B$17*CashFlows!F97+Retention!$C$17*CashFlows!K97+Retention!$D$17*CashFlows!P97+Retention!$E$17*CashFlows!S97</f>
        <v/>
      </c>
      <c r="S97" s="2">
        <f>S96+T97-U97</f>
        <v/>
      </c>
      <c r="T97" s="2">
        <f>S96*(B97+Inputs!$B$78)/12</f>
        <v/>
      </c>
      <c r="U97" s="2">
        <f>MIN(R97,S96+T97)</f>
        <v/>
      </c>
      <c r="V97" s="2">
        <f>R97-U97</f>
        <v/>
      </c>
      <c r="W97" s="2">
        <f>Retention!$B$18*CashFlows!F97+Retention!$C$18*CashFlows!K97+Retention!$D$18*CashFlows!P97+Retention!$E$18*CashFlows!S97</f>
        <v/>
      </c>
      <c r="X97" s="2">
        <f>X96+Y97-Z97</f>
        <v/>
      </c>
      <c r="Y97" s="2">
        <f>X96*(B97+Inputs!$B$78)/12</f>
        <v/>
      </c>
      <c r="Z97" s="2">
        <f>MIN(W97,X96+Y97)</f>
        <v/>
      </c>
      <c r="AA97" s="2">
        <f>W97-Z97</f>
        <v/>
      </c>
      <c r="AB97" s="2">
        <f>Retention!$B$19*CashFlows!F97+Retention!$C$19*CashFlows!K97+Retention!$D$19*CashFlows!P97+Retention!$E$19*CashFlows!S97</f>
        <v/>
      </c>
      <c r="AC97" s="2">
        <f>AC96+AD97-AE97</f>
        <v/>
      </c>
      <c r="AD97" s="2">
        <f>AC96*(B97+Inputs!$B$78)/12</f>
        <v/>
      </c>
      <c r="AE97" s="2">
        <f>MIN(AB97,AC96+AD97)</f>
        <v/>
      </c>
      <c r="AF97" s="2">
        <f>AB97-AE97</f>
        <v/>
      </c>
    </row>
    <row r="98">
      <c r="A98" s="7" t="n">
        <v>93</v>
      </c>
      <c r="B98" s="3">
        <f>Pool!B98</f>
        <v/>
      </c>
      <c r="C98" s="8">
        <f>C97/(1+(B98+Inputs!$B$64)/12)</f>
        <v/>
      </c>
      <c r="D98" s="8">
        <f>D97/(1+(B98+Inputs!$B$65)/12)</f>
        <v/>
      </c>
      <c r="E98" s="8">
        <f>E97/(1+(B98+Inputs!$B$66)/12)</f>
        <v/>
      </c>
      <c r="F98" s="8">
        <f>F97/(1+(B98+Inputs!$B$67)/12)</f>
        <v/>
      </c>
      <c r="G98" s="8">
        <f>G97/(1+(B98+Inputs!$B$78)/12)</f>
        <v/>
      </c>
      <c r="H98" s="2">
        <f>Retention!$B$15*CashFlows!F98+Retention!$C$15*CashFlows!K98+Retention!$D$15*CashFlows!P98+Retention!$E$15*CashFlows!S98</f>
        <v/>
      </c>
      <c r="I98" s="2">
        <f>I97+J98-K98</f>
        <v/>
      </c>
      <c r="J98" s="2">
        <f>I97*(B98+Inputs!$B$78)/12</f>
        <v/>
      </c>
      <c r="K98" s="2">
        <f>MIN(H98,I97+J98)</f>
        <v/>
      </c>
      <c r="L98" s="2">
        <f>H98-K98</f>
        <v/>
      </c>
      <c r="M98" s="2">
        <f>Retention!$B$16*CashFlows!F98+Retention!$C$16*CashFlows!K98+Retention!$D$16*CashFlows!P98+Retention!$E$16*CashFlows!S98</f>
        <v/>
      </c>
      <c r="N98" s="2">
        <f>N97+O98-P98</f>
        <v/>
      </c>
      <c r="O98" s="2">
        <f>N97*(B98+Inputs!$B$78)/12</f>
        <v/>
      </c>
      <c r="P98" s="2">
        <f>MIN(M98,N97+O98)</f>
        <v/>
      </c>
      <c r="Q98" s="2">
        <f>M98-P98</f>
        <v/>
      </c>
      <c r="R98" s="2">
        <f>Retention!$B$17*CashFlows!F98+Retention!$C$17*CashFlows!K98+Retention!$D$17*CashFlows!P98+Retention!$E$17*CashFlows!S98</f>
        <v/>
      </c>
      <c r="S98" s="2">
        <f>S97+T98-U98</f>
        <v/>
      </c>
      <c r="T98" s="2">
        <f>S97*(B98+Inputs!$B$78)/12</f>
        <v/>
      </c>
      <c r="U98" s="2">
        <f>MIN(R98,S97+T98)</f>
        <v/>
      </c>
      <c r="V98" s="2">
        <f>R98-U98</f>
        <v/>
      </c>
      <c r="W98" s="2">
        <f>Retention!$B$18*CashFlows!F98+Retention!$C$18*CashFlows!K98+Retention!$D$18*CashFlows!P98+Retention!$E$18*CashFlows!S98</f>
        <v/>
      </c>
      <c r="X98" s="2">
        <f>X97+Y98-Z98</f>
        <v/>
      </c>
      <c r="Y98" s="2">
        <f>X97*(B98+Inputs!$B$78)/12</f>
        <v/>
      </c>
      <c r="Z98" s="2">
        <f>MIN(W98,X97+Y98)</f>
        <v/>
      </c>
      <c r="AA98" s="2">
        <f>W98-Z98</f>
        <v/>
      </c>
      <c r="AB98" s="2">
        <f>Retention!$B$19*CashFlows!F98+Retention!$C$19*CashFlows!K98+Retention!$D$19*CashFlows!P98+Retention!$E$19*CashFlows!S98</f>
        <v/>
      </c>
      <c r="AC98" s="2">
        <f>AC97+AD98-AE98</f>
        <v/>
      </c>
      <c r="AD98" s="2">
        <f>AC97*(B98+Inputs!$B$78)/12</f>
        <v/>
      </c>
      <c r="AE98" s="2">
        <f>MIN(AB98,AC97+AD98)</f>
        <v/>
      </c>
      <c r="AF98" s="2">
        <f>AB98-AE98</f>
        <v/>
      </c>
    </row>
    <row r="99">
      <c r="A99" s="7" t="n">
        <v>94</v>
      </c>
      <c r="B99" s="3">
        <f>Pool!B99</f>
        <v/>
      </c>
      <c r="C99" s="8">
        <f>C98/(1+(B99+Inputs!$B$64)/12)</f>
        <v/>
      </c>
      <c r="D99" s="8">
        <f>D98/(1+(B99+Inputs!$B$65)/12)</f>
        <v/>
      </c>
      <c r="E99" s="8">
        <f>E98/(1+(B99+Inputs!$B$66)/12)</f>
        <v/>
      </c>
      <c r="F99" s="8">
        <f>F98/(1+(B99+Inputs!$B$67)/12)</f>
        <v/>
      </c>
      <c r="G99" s="8">
        <f>G98/(1+(B99+Inputs!$B$78)/12)</f>
        <v/>
      </c>
      <c r="H99" s="2">
        <f>Retention!$B$15*CashFlows!F99+Retention!$C$15*CashFlows!K99+Retention!$D$15*CashFlows!P99+Retention!$E$15*CashFlows!S99</f>
        <v/>
      </c>
      <c r="I99" s="2">
        <f>I98+J99-K99</f>
        <v/>
      </c>
      <c r="J99" s="2">
        <f>I98*(B99+Inputs!$B$78)/12</f>
        <v/>
      </c>
      <c r="K99" s="2">
        <f>MIN(H99,I98+J99)</f>
        <v/>
      </c>
      <c r="L99" s="2">
        <f>H99-K99</f>
        <v/>
      </c>
      <c r="M99" s="2">
        <f>Retention!$B$16*CashFlows!F99+Retention!$C$16*CashFlows!K99+Retention!$D$16*CashFlows!P99+Retention!$E$16*CashFlows!S99</f>
        <v/>
      </c>
      <c r="N99" s="2">
        <f>N98+O99-P99</f>
        <v/>
      </c>
      <c r="O99" s="2">
        <f>N98*(B99+Inputs!$B$78)/12</f>
        <v/>
      </c>
      <c r="P99" s="2">
        <f>MIN(M99,N98+O99)</f>
        <v/>
      </c>
      <c r="Q99" s="2">
        <f>M99-P99</f>
        <v/>
      </c>
      <c r="R99" s="2">
        <f>Retention!$B$17*CashFlows!F99+Retention!$C$17*CashFlows!K99+Retention!$D$17*CashFlows!P99+Retention!$E$17*CashFlows!S99</f>
        <v/>
      </c>
      <c r="S99" s="2">
        <f>S98+T99-U99</f>
        <v/>
      </c>
      <c r="T99" s="2">
        <f>S98*(B99+Inputs!$B$78)/12</f>
        <v/>
      </c>
      <c r="U99" s="2">
        <f>MIN(R99,S98+T99)</f>
        <v/>
      </c>
      <c r="V99" s="2">
        <f>R99-U99</f>
        <v/>
      </c>
      <c r="W99" s="2">
        <f>Retention!$B$18*CashFlows!F99+Retention!$C$18*CashFlows!K99+Retention!$D$18*CashFlows!P99+Retention!$E$18*CashFlows!S99</f>
        <v/>
      </c>
      <c r="X99" s="2">
        <f>X98+Y99-Z99</f>
        <v/>
      </c>
      <c r="Y99" s="2">
        <f>X98*(B99+Inputs!$B$78)/12</f>
        <v/>
      </c>
      <c r="Z99" s="2">
        <f>MIN(W99,X98+Y99)</f>
        <v/>
      </c>
      <c r="AA99" s="2">
        <f>W99-Z99</f>
        <v/>
      </c>
      <c r="AB99" s="2">
        <f>Retention!$B$19*CashFlows!F99+Retention!$C$19*CashFlows!K99+Retention!$D$19*CashFlows!P99+Retention!$E$19*CashFlows!S99</f>
        <v/>
      </c>
      <c r="AC99" s="2">
        <f>AC98+AD99-AE99</f>
        <v/>
      </c>
      <c r="AD99" s="2">
        <f>AC98*(B99+Inputs!$B$78)/12</f>
        <v/>
      </c>
      <c r="AE99" s="2">
        <f>MIN(AB99,AC98+AD99)</f>
        <v/>
      </c>
      <c r="AF99" s="2">
        <f>AB99-AE99</f>
        <v/>
      </c>
    </row>
    <row r="100">
      <c r="A100" s="7" t="n">
        <v>95</v>
      </c>
      <c r="B100" s="3">
        <f>Pool!B100</f>
        <v/>
      </c>
      <c r="C100" s="8">
        <f>C99/(1+(B100+Inputs!$B$64)/12)</f>
        <v/>
      </c>
      <c r="D100" s="8">
        <f>D99/(1+(B100+Inputs!$B$65)/12)</f>
        <v/>
      </c>
      <c r="E100" s="8">
        <f>E99/(1+(B100+Inputs!$B$66)/12)</f>
        <v/>
      </c>
      <c r="F100" s="8">
        <f>F99/(1+(B100+Inputs!$B$67)/12)</f>
        <v/>
      </c>
      <c r="G100" s="8">
        <f>G99/(1+(B100+Inputs!$B$78)/12)</f>
        <v/>
      </c>
      <c r="H100" s="2">
        <f>Retention!$B$15*CashFlows!F100+Retention!$C$15*CashFlows!K100+Retention!$D$15*CashFlows!P100+Retention!$E$15*CashFlows!S100</f>
        <v/>
      </c>
      <c r="I100" s="2">
        <f>I99+J100-K100</f>
        <v/>
      </c>
      <c r="J100" s="2">
        <f>I99*(B100+Inputs!$B$78)/12</f>
        <v/>
      </c>
      <c r="K100" s="2">
        <f>MIN(H100,I99+J100)</f>
        <v/>
      </c>
      <c r="L100" s="2">
        <f>H100-K100</f>
        <v/>
      </c>
      <c r="M100" s="2">
        <f>Retention!$B$16*CashFlows!F100+Retention!$C$16*CashFlows!K100+Retention!$D$16*CashFlows!P100+Retention!$E$16*CashFlows!S100</f>
        <v/>
      </c>
      <c r="N100" s="2">
        <f>N99+O100-P100</f>
        <v/>
      </c>
      <c r="O100" s="2">
        <f>N99*(B100+Inputs!$B$78)/12</f>
        <v/>
      </c>
      <c r="P100" s="2">
        <f>MIN(M100,N99+O100)</f>
        <v/>
      </c>
      <c r="Q100" s="2">
        <f>M100-P100</f>
        <v/>
      </c>
      <c r="R100" s="2">
        <f>Retention!$B$17*CashFlows!F100+Retention!$C$17*CashFlows!K100+Retention!$D$17*CashFlows!P100+Retention!$E$17*CashFlows!S100</f>
        <v/>
      </c>
      <c r="S100" s="2">
        <f>S99+T100-U100</f>
        <v/>
      </c>
      <c r="T100" s="2">
        <f>S99*(B100+Inputs!$B$78)/12</f>
        <v/>
      </c>
      <c r="U100" s="2">
        <f>MIN(R100,S99+T100)</f>
        <v/>
      </c>
      <c r="V100" s="2">
        <f>R100-U100</f>
        <v/>
      </c>
      <c r="W100" s="2">
        <f>Retention!$B$18*CashFlows!F100+Retention!$C$18*CashFlows!K100+Retention!$D$18*CashFlows!P100+Retention!$E$18*CashFlows!S100</f>
        <v/>
      </c>
      <c r="X100" s="2">
        <f>X99+Y100-Z100</f>
        <v/>
      </c>
      <c r="Y100" s="2">
        <f>X99*(B100+Inputs!$B$78)/12</f>
        <v/>
      </c>
      <c r="Z100" s="2">
        <f>MIN(W100,X99+Y100)</f>
        <v/>
      </c>
      <c r="AA100" s="2">
        <f>W100-Z100</f>
        <v/>
      </c>
      <c r="AB100" s="2">
        <f>Retention!$B$19*CashFlows!F100+Retention!$C$19*CashFlows!K100+Retention!$D$19*CashFlows!P100+Retention!$E$19*CashFlows!S100</f>
        <v/>
      </c>
      <c r="AC100" s="2">
        <f>AC99+AD100-AE100</f>
        <v/>
      </c>
      <c r="AD100" s="2">
        <f>AC99*(B100+Inputs!$B$78)/12</f>
        <v/>
      </c>
      <c r="AE100" s="2">
        <f>MIN(AB100,AC99+AD100)</f>
        <v/>
      </c>
      <c r="AF100" s="2">
        <f>AB100-AE100</f>
        <v/>
      </c>
    </row>
    <row r="101">
      <c r="A101" s="7" t="n">
        <v>96</v>
      </c>
      <c r="B101" s="3">
        <f>Pool!B101</f>
        <v/>
      </c>
      <c r="C101" s="8">
        <f>C100/(1+(B101+Inputs!$B$64)/12)</f>
        <v/>
      </c>
      <c r="D101" s="8">
        <f>D100/(1+(B101+Inputs!$B$65)/12)</f>
        <v/>
      </c>
      <c r="E101" s="8">
        <f>E100/(1+(B101+Inputs!$B$66)/12)</f>
        <v/>
      </c>
      <c r="F101" s="8">
        <f>F100/(1+(B101+Inputs!$B$67)/12)</f>
        <v/>
      </c>
      <c r="G101" s="8">
        <f>G100/(1+(B101+Inputs!$B$78)/12)</f>
        <v/>
      </c>
      <c r="H101" s="2">
        <f>Retention!$B$15*CashFlows!F101+Retention!$C$15*CashFlows!K101+Retention!$D$15*CashFlows!P101+Retention!$E$15*CashFlows!S101</f>
        <v/>
      </c>
      <c r="I101" s="2">
        <f>I100+J101-K101</f>
        <v/>
      </c>
      <c r="J101" s="2">
        <f>I100*(B101+Inputs!$B$78)/12</f>
        <v/>
      </c>
      <c r="K101" s="2">
        <f>MIN(H101,I100+J101)</f>
        <v/>
      </c>
      <c r="L101" s="2">
        <f>H101-K101</f>
        <v/>
      </c>
      <c r="M101" s="2">
        <f>Retention!$B$16*CashFlows!F101+Retention!$C$16*CashFlows!K101+Retention!$D$16*CashFlows!P101+Retention!$E$16*CashFlows!S101</f>
        <v/>
      </c>
      <c r="N101" s="2">
        <f>N100+O101-P101</f>
        <v/>
      </c>
      <c r="O101" s="2">
        <f>N100*(B101+Inputs!$B$78)/12</f>
        <v/>
      </c>
      <c r="P101" s="2">
        <f>MIN(M101,N100+O101)</f>
        <v/>
      </c>
      <c r="Q101" s="2">
        <f>M101-P101</f>
        <v/>
      </c>
      <c r="R101" s="2">
        <f>Retention!$B$17*CashFlows!F101+Retention!$C$17*CashFlows!K101+Retention!$D$17*CashFlows!P101+Retention!$E$17*CashFlows!S101</f>
        <v/>
      </c>
      <c r="S101" s="2">
        <f>S100+T101-U101</f>
        <v/>
      </c>
      <c r="T101" s="2">
        <f>S100*(B101+Inputs!$B$78)/12</f>
        <v/>
      </c>
      <c r="U101" s="2">
        <f>MIN(R101,S100+T101)</f>
        <v/>
      </c>
      <c r="V101" s="2">
        <f>R101-U101</f>
        <v/>
      </c>
      <c r="W101" s="2">
        <f>Retention!$B$18*CashFlows!F101+Retention!$C$18*CashFlows!K101+Retention!$D$18*CashFlows!P101+Retention!$E$18*CashFlows!S101</f>
        <v/>
      </c>
      <c r="X101" s="2">
        <f>X100+Y101-Z101</f>
        <v/>
      </c>
      <c r="Y101" s="2">
        <f>X100*(B101+Inputs!$B$78)/12</f>
        <v/>
      </c>
      <c r="Z101" s="2">
        <f>MIN(W101,X100+Y101)</f>
        <v/>
      </c>
      <c r="AA101" s="2">
        <f>W101-Z101</f>
        <v/>
      </c>
      <c r="AB101" s="2">
        <f>Retention!$B$19*CashFlows!F101+Retention!$C$19*CashFlows!K101+Retention!$D$19*CashFlows!P101+Retention!$E$19*CashFlows!S101</f>
        <v/>
      </c>
      <c r="AC101" s="2">
        <f>AC100+AD101-AE101</f>
        <v/>
      </c>
      <c r="AD101" s="2">
        <f>AC100*(B101+Inputs!$B$78)/12</f>
        <v/>
      </c>
      <c r="AE101" s="2">
        <f>MIN(AB101,AC100+AD101)</f>
        <v/>
      </c>
      <c r="AF101" s="2">
        <f>AB101-AE101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Risk retention sizing (US Regulation RR, 17 CFR Part 246; EU Regulation 2017/2402 Article 6)</t>
        </is>
      </c>
    </row>
    <row r="2">
      <c r="A2" t="inlineStr">
        <is>
          <t>Fair values are PV of the selected scenario's tranche cash flows at forward + assumed margin (illustrative). Retained cost basis for yield is par.</t>
        </is>
      </c>
    </row>
    <row r="4">
      <c r="A4" s="1" t="inlineStr">
        <is>
          <t>Fair value of each ABS interest</t>
        </is>
      </c>
    </row>
    <row r="5">
      <c r="A5" s="1" t="inlineStr">
        <is>
          <t>Tranche</t>
        </is>
      </c>
      <c r="B5" s="1" t="inlineStr">
        <is>
          <t>Par</t>
        </is>
      </c>
      <c r="C5" s="1" t="inlineStr">
        <is>
          <t>Fair value used for sizing</t>
        </is>
      </c>
      <c r="D5" s="1" t="inlineStr">
        <is>
          <t>Live PV fair value (selected scenario)</t>
        </is>
      </c>
      <c r="E5" s="1" t="inlineStr">
        <is>
          <t>FV used % of par</t>
        </is>
      </c>
    </row>
    <row r="6">
      <c r="A6" t="inlineStr">
        <is>
          <t>A</t>
        </is>
      </c>
      <c r="B6" s="2">
        <f>Inputs!$B$39</f>
        <v/>
      </c>
      <c r="C6" s="2">
        <f>IF(ISNUMBER(Inputs!$B$81),Inputs!$B$81,D6)</f>
        <v/>
      </c>
      <c r="D6" s="2">
        <f>SUMPRODUCT(CashFlows!$F$6:$F$101,Retention_CF!$C$6:$C$101)</f>
        <v/>
      </c>
      <c r="E6" s="3">
        <f>C6/B6</f>
        <v/>
      </c>
    </row>
    <row r="7">
      <c r="A7" t="inlineStr">
        <is>
          <t>B</t>
        </is>
      </c>
      <c r="B7" s="2">
        <f>Inputs!$B$40</f>
        <v/>
      </c>
      <c r="C7" s="2">
        <f>IF(ISNUMBER(Inputs!$B$82),Inputs!$B$82,D7)</f>
        <v/>
      </c>
      <c r="D7" s="2">
        <f>SUMPRODUCT(CashFlows!$K$6:$K$101,Retention_CF!$D$6:$D$101)</f>
        <v/>
      </c>
      <c r="E7" s="3">
        <f>C7/B7</f>
        <v/>
      </c>
    </row>
    <row r="8">
      <c r="A8" t="inlineStr">
        <is>
          <t>C</t>
        </is>
      </c>
      <c r="B8" s="2">
        <f>Inputs!$B$41</f>
        <v/>
      </c>
      <c r="C8" s="2">
        <f>IF(ISNUMBER(Inputs!$B$83),Inputs!$B$83,D8)</f>
        <v/>
      </c>
      <c r="D8" s="2">
        <f>SUMPRODUCT(CashFlows!$P$6:$P$101,Retention_CF!$E$6:$E$101)</f>
        <v/>
      </c>
      <c r="E8" s="3">
        <f>C8/B8</f>
        <v/>
      </c>
    </row>
    <row r="9">
      <c r="A9" t="inlineStr">
        <is>
          <t>R</t>
        </is>
      </c>
      <c r="B9" s="2">
        <f>Inputs!$B$50</f>
        <v/>
      </c>
      <c r="C9" s="2">
        <f>IF(ISNUMBER(Inputs!$B$84),Inputs!$B$84,D9)</f>
        <v/>
      </c>
      <c r="D9" s="2">
        <f>SUMPRODUCT(CashFlows!$S$6:$S$101,Retention_CF!$F$6:$F$101)</f>
        <v/>
      </c>
      <c r="E9" s="3">
        <f>C9/B9</f>
        <v/>
      </c>
    </row>
    <row r="10">
      <c r="A10" t="inlineStr">
        <is>
          <t>Total</t>
        </is>
      </c>
      <c r="B10" s="2">
        <f>SUM(B6:B9)</f>
        <v/>
      </c>
      <c r="C10" s="2">
        <f>SUM(C6:C9)</f>
        <v/>
      </c>
      <c r="D10" s="2">
        <f>SUM(D6:D9)</f>
        <v/>
      </c>
    </row>
    <row r="12">
      <c r="A12" t="inlineStr">
        <is>
          <t>US minimum horizontal fair value (5% of FV of all ABS interests), also the 246.4(b) cash reserve alternative</t>
        </is>
      </c>
      <c r="C12" s="2">
        <f>Inputs!$B$68*C10</f>
        <v/>
      </c>
    </row>
    <row r="13">
      <c r="A13" t="inlineStr">
        <is>
          <t>EU 6(3)(d) required nominal (5% of pool at origination); same amount for 6(3)(c) and 6(3)(e)</t>
        </is>
      </c>
      <c r="C13" s="2">
        <f>Inputs!$B$68*Inputs!$B$49</f>
        <v/>
      </c>
    </row>
    <row r="14">
      <c r="A14" s="1" t="inlineStr">
        <is>
          <t>Option (fraction of each class retained)</t>
        </is>
      </c>
      <c r="B14" s="1" t="inlineStr">
        <is>
          <t>A</t>
        </is>
      </c>
      <c r="C14" s="1" t="inlineStr">
        <is>
          <t>B</t>
        </is>
      </c>
      <c r="D14" s="1" t="inlineStr">
        <is>
          <t>C</t>
        </is>
      </c>
      <c r="E14" s="1" t="inlineStr">
        <is>
          <t>R</t>
        </is>
      </c>
      <c r="F14" s="1" t="inlineStr">
        <is>
          <t>Retained par (cost)</t>
        </is>
      </c>
      <c r="G14" s="1" t="inlineStr">
        <is>
          <t>Retained fair value</t>
        </is>
      </c>
      <c r="H14" s="1" t="inlineStr">
        <is>
          <t>Advance</t>
        </is>
      </c>
      <c r="I14" s="1" t="inlineStr">
        <is>
          <t>Par % of pool</t>
        </is>
      </c>
      <c r="J14" s="1" t="inlineStr">
        <is>
          <t>FV % of all FV</t>
        </is>
      </c>
    </row>
    <row r="15">
      <c r="A15" t="inlineStr">
        <is>
          <t>US RR vertical 246.4(a)(1)</t>
        </is>
      </c>
      <c r="B15" s="5">
        <f>Inputs!$B$68</f>
        <v/>
      </c>
      <c r="C15" s="5">
        <f>Inputs!$B$68</f>
        <v/>
      </c>
      <c r="D15" s="5">
        <f>Inputs!$B$68</f>
        <v/>
      </c>
      <c r="E15" s="5">
        <f>Inputs!$B$68</f>
        <v/>
      </c>
      <c r="F15" s="2">
        <f>B15*Inputs!$B$39+C15*Inputs!$B$40+D15*Inputs!$B$41+E15*Inputs!$B$50</f>
        <v/>
      </c>
      <c r="G15" s="2">
        <f>B15*$C$6+C15*$C$7+D15*$C$8+E15*$C$9</f>
        <v/>
      </c>
      <c r="H15" s="2">
        <f>B15*Inputs!$B$39*Inputs!$B$74+C15*Inputs!$B$40*Inputs!$B$75+D15*Inputs!$B$41*Inputs!$B$76+E15*Inputs!$B$50*Inputs!$B$77</f>
        <v/>
      </c>
      <c r="I15" s="3">
        <f>F15/Inputs!$B$49</f>
        <v/>
      </c>
      <c r="J15" s="3">
        <f>G15/$C$10</f>
        <v/>
      </c>
    </row>
    <row r="16">
      <c r="A16" t="inlineStr">
        <is>
          <t>US RR horizontal 246.4(a)(2)</t>
        </is>
      </c>
      <c r="B16" s="5">
        <f>IF(Retention!$C$6&lt;=0,0,MIN(1,MAX(0,Inputs!$B$68*$C$10-E16*Retention!$C$9-D16*Retention!$C$8-C16*Retention!$C$7)/Retention!$C$6))</f>
        <v/>
      </c>
      <c r="C16" s="5">
        <f>IF(Retention!$C$7&lt;=0,0,MIN(1,MAX(0,Inputs!$B$68*$C$10-E16*Retention!$C$9-D16*Retention!$C$8)/Retention!$C$7))</f>
        <v/>
      </c>
      <c r="D16" s="5">
        <f>IF(Retention!$C$8&lt;=0,0,MIN(1,MAX(0,Inputs!$B$68*$C$10-E16*Retention!$C$9)/Retention!$C$8))</f>
        <v/>
      </c>
      <c r="E16" s="5">
        <f>IF(Retention!$C$9&lt;=0,0,MIN(1,MAX(0,Inputs!$B$68*$C$10)/Retention!$C$9))</f>
        <v/>
      </c>
      <c r="F16" s="2">
        <f>B16*Inputs!$B$39+C16*Inputs!$B$40+D16*Inputs!$B$41+E16*Inputs!$B$50</f>
        <v/>
      </c>
      <c r="G16" s="2">
        <f>B16*$C$6+C16*$C$7+D16*$C$8+E16*$C$9</f>
        <v/>
      </c>
      <c r="H16" s="2">
        <f>B16*Inputs!$B$39*Inputs!$B$74+C16*Inputs!$B$40*Inputs!$B$75+D16*Inputs!$B$41*Inputs!$B$76+E16*Inputs!$B$50*Inputs!$B$77</f>
        <v/>
      </c>
      <c r="I16" s="3">
        <f>F16/Inputs!$B$49</f>
        <v/>
      </c>
      <c r="J16" s="3">
        <f>G16/$C$10</f>
        <v/>
      </c>
    </row>
    <row r="17">
      <c r="A17" t="inlineStr">
        <is>
          <t>US RR L-shaped 246.4(a)(3)</t>
        </is>
      </c>
      <c r="B17" s="5">
        <f>MIN(1,Inputs!$B$69+B23)</f>
        <v/>
      </c>
      <c r="C17" s="5">
        <f>MIN(1,Inputs!$B$69+C23)</f>
        <v/>
      </c>
      <c r="D17" s="5">
        <f>MIN(1,Inputs!$B$69+D23)</f>
        <v/>
      </c>
      <c r="E17" s="5">
        <f>MIN(1,Inputs!$B$69+E23)</f>
        <v/>
      </c>
      <c r="F17" s="2">
        <f>B17*Inputs!$B$39+C17*Inputs!$B$40+D17*Inputs!$B$41+E17*Inputs!$B$50</f>
        <v/>
      </c>
      <c r="G17" s="2">
        <f>B17*$C$6+C17*$C$7+D17*$C$8+E17*$C$9</f>
        <v/>
      </c>
      <c r="H17" s="2">
        <f>B17*Inputs!$B$39*Inputs!$B$74+C17*Inputs!$B$40*Inputs!$B$75+D17*Inputs!$B$41*Inputs!$B$76+E17*Inputs!$B$50*Inputs!$B$77</f>
        <v/>
      </c>
      <c r="I17" s="3">
        <f>F17/Inputs!$B$49</f>
        <v/>
      </c>
      <c r="J17" s="3">
        <f>G17/$C$10</f>
        <v/>
      </c>
    </row>
    <row r="18">
      <c r="A18" t="inlineStr">
        <is>
          <t>EU Art 6(3)(a) vertical</t>
        </is>
      </c>
      <c r="B18" s="5">
        <f>Inputs!$B$68*Inputs!$B$70</f>
        <v/>
      </c>
      <c r="C18" s="5">
        <f>Inputs!$B$68*Inputs!$B$71</f>
        <v/>
      </c>
      <c r="D18" s="5">
        <f>Inputs!$B$68*Inputs!$B$72</f>
        <v/>
      </c>
      <c r="E18" s="5">
        <f>Inputs!$B$68*Inputs!$B$73</f>
        <v/>
      </c>
      <c r="F18" s="2">
        <f>B18*Inputs!$B$39+C18*Inputs!$B$40+D18*Inputs!$B$41+E18*Inputs!$B$50</f>
        <v/>
      </c>
      <c r="G18" s="2">
        <f>B18*$C$6+C18*$C$7+D18*$C$8+E18*$C$9</f>
        <v/>
      </c>
      <c r="H18" s="2">
        <f>B18*Inputs!$B$39*Inputs!$B$74+C18*Inputs!$B$40*Inputs!$B$75+D18*Inputs!$B$41*Inputs!$B$76+E18*Inputs!$B$50*Inputs!$B$77</f>
        <v/>
      </c>
      <c r="I18" s="3">
        <f>F18/Inputs!$B$49</f>
        <v/>
      </c>
      <c r="J18" s="3">
        <f>G18/$C$10</f>
        <v/>
      </c>
    </row>
    <row r="19">
      <c r="A19" t="inlineStr">
        <is>
          <t>EU Art 6(3)(d) first loss</t>
        </is>
      </c>
      <c r="B19" s="5">
        <f>IF(E19*Inputs!$B$50+D19*Inputs!$B$41+C19*Inputs!$B$40&lt;Inputs!$B$68*Inputs!$B$49,1,0)</f>
        <v/>
      </c>
      <c r="C19" s="5">
        <f>IF(E19*Inputs!$B$50+D19*Inputs!$B$41&lt;Inputs!$B$68*Inputs!$B$49,1,0)</f>
        <v/>
      </c>
      <c r="D19" s="5">
        <f>IF(E19*Inputs!$B$50&lt;Inputs!$B$68*Inputs!$B$49,1,0)</f>
        <v/>
      </c>
      <c r="E19" s="5">
        <f>IF(0&lt;Inputs!$B$68*Inputs!$B$49,1,0)</f>
        <v/>
      </c>
      <c r="F19" s="2">
        <f>B19*Inputs!$B$39+C19*Inputs!$B$40+D19*Inputs!$B$41+E19*Inputs!$B$50</f>
        <v/>
      </c>
      <c r="G19" s="2">
        <f>B19*$C$6+C19*$C$7+D19*$C$8+E19*$C$9</f>
        <v/>
      </c>
      <c r="H19" s="2">
        <f>B19*Inputs!$B$39*Inputs!$B$74+C19*Inputs!$B$40*Inputs!$B$75+D19*Inputs!$B$41*Inputs!$B$76+E19*Inputs!$B$50*Inputs!$B$77</f>
        <v/>
      </c>
      <c r="I19" s="3">
        <f>F19/Inputs!$B$49</f>
        <v/>
      </c>
      <c r="J19" s="3">
        <f>G19/$C$10</f>
        <v/>
      </c>
    </row>
    <row r="22">
      <c r="A22" s="1" t="inlineStr">
        <is>
          <t>Helper: horizontal component of the L-shaped option</t>
        </is>
      </c>
    </row>
    <row r="23">
      <c r="A23" t="inlineStr">
        <is>
          <t>L-shape horizontal component</t>
        </is>
      </c>
      <c r="B23" s="5">
        <f>IF(Retention!$C$6&lt;=0,0,MIN(1,MAX(0,(Inputs!$B$68-Inputs!$B$69)*$C$10-E23*Retention!$C$9-D23*Retention!$C$8-C23*Retention!$C$7)/Retention!$C$6))</f>
        <v/>
      </c>
      <c r="C23" s="5">
        <f>IF(Retention!$C$7&lt;=0,0,MIN(1,MAX(0,(Inputs!$B$68-Inputs!$B$69)*$C$10-E23*Retention!$C$9-D23*Retention!$C$8)/Retention!$C$7))</f>
        <v/>
      </c>
      <c r="D23" s="5">
        <f>IF(Retention!$C$8&lt;=0,0,MIN(1,MAX(0,(Inputs!$B$68-Inputs!$B$69)*$C$10-E23*Retention!$C$9)/Retention!$C$8))</f>
        <v/>
      </c>
      <c r="E23" s="5">
        <f>IF(Retention!$C$9&lt;=0,0,MIN(1,MAX(0,(Inputs!$B$68-Inputs!$B$69)*$C$10)/Retention!$C$9))</f>
        <v/>
      </c>
    </row>
    <row r="26">
      <c r="A26" s="1" t="inlineStr">
        <is>
          <t>Retained position and financing view (selected scenario)</t>
        </is>
      </c>
    </row>
    <row r="27">
      <c r="A27" s="6" t="inlineStr">
        <is>
          <t>Option</t>
        </is>
      </c>
      <c r="B27" s="6" t="inlineStr">
        <is>
          <t>Total cash received</t>
        </is>
      </c>
      <c r="C27" s="6" t="inlineStr">
        <is>
          <t>Yield at cost (monthly IRR x 12)</t>
        </is>
      </c>
      <c r="D27" s="6" t="inlineStr">
        <is>
          <t>Advance</t>
        </is>
      </c>
      <c r="E27" s="6" t="inlineStr">
        <is>
          <t>Advance / cost</t>
        </is>
      </c>
      <c r="F27" s="6" t="inlineStr">
        <is>
          <t>PV coverage (retained CF PV at financing rate / advance)</t>
        </is>
      </c>
      <c r="G27" s="6" t="inlineStr">
        <is>
          <t>Loan repaid in month</t>
        </is>
      </c>
      <c r="H27" s="6" t="inlineStr">
        <is>
          <t>Unpaid loan at horizon</t>
        </is>
      </c>
      <c r="I27" s="6" t="inlineStr">
        <is>
          <t>Levered IRR</t>
        </is>
      </c>
    </row>
    <row r="28">
      <c r="A28" t="inlineStr">
        <is>
          <t>US RR vertical 246.4(a)(1)</t>
        </is>
      </c>
      <c r="B28" s="2">
        <f>SUM(Retention_CF!$H$6:$H$101)</f>
        <v/>
      </c>
      <c r="C28" s="3">
        <f>IFERROR(12*IRR(Retention_CF!$H$5:$H$101,0.005),IFERROR(12*IRR(Retention_CF!$H$5:$H$101,-0.03),IFERROR(12*IRR(Retention_CF!$H$5:$H$101,-0.1),"n/a")))</f>
        <v/>
      </c>
      <c r="D28" s="2">
        <f>Retention!$H$15</f>
        <v/>
      </c>
      <c r="E28" s="3">
        <f>D28/Retention!$F$15</f>
        <v/>
      </c>
      <c r="F28" s="5">
        <f>SUMPRODUCT(Retention_CF!$H$6:$H$101,Retention_CF!$G$6:$G$101)/D28</f>
        <v/>
      </c>
      <c r="G28">
        <f>IF(Retention_CF!I101&lt;=0.005,COUNTIF(Retention_CF!$I$6:$I$101,"&gt;0.005")+1,"not repaid")</f>
        <v/>
      </c>
      <c r="H28" s="2">
        <f>Retention_CF!I101</f>
        <v/>
      </c>
      <c r="I28" s="3">
        <f>IFERROR(12*IRR(Retention_CF!$L$5:$L$101,0.005),IFERROR(12*IRR(Retention_CF!$L$5:$L$101,-0.03),IFERROR(12*IRR(Retention_CF!$L$5:$L$101,-0.1),"n/a")))</f>
        <v/>
      </c>
    </row>
    <row r="29">
      <c r="A29" t="inlineStr">
        <is>
          <t>US RR horizontal 246.4(a)(2)</t>
        </is>
      </c>
      <c r="B29" s="2">
        <f>SUM(Retention_CF!$M$6:$M$101)</f>
        <v/>
      </c>
      <c r="C29" s="3">
        <f>IFERROR(12*IRR(Retention_CF!$M$5:$M$101,0.005),IFERROR(12*IRR(Retention_CF!$M$5:$M$101,-0.03),IFERROR(12*IRR(Retention_CF!$M$5:$M$101,-0.1),"n/a")))</f>
        <v/>
      </c>
      <c r="D29" s="2">
        <f>Retention!$H$16</f>
        <v/>
      </c>
      <c r="E29" s="3">
        <f>D29/Retention!$F$16</f>
        <v/>
      </c>
      <c r="F29" s="5">
        <f>SUMPRODUCT(Retention_CF!$M$6:$M$101,Retention_CF!$G$6:$G$101)/D29</f>
        <v/>
      </c>
      <c r="G29">
        <f>IF(Retention_CF!N101&lt;=0.005,COUNTIF(Retention_CF!$N$6:$N$101,"&gt;0.005")+1,"not repaid")</f>
        <v/>
      </c>
      <c r="H29" s="2">
        <f>Retention_CF!N101</f>
        <v/>
      </c>
      <c r="I29" s="3">
        <f>IFERROR(12*IRR(Retention_CF!$Q$5:$Q$101,0.005),IFERROR(12*IRR(Retention_CF!$Q$5:$Q$101,-0.03),IFERROR(12*IRR(Retention_CF!$Q$5:$Q$101,-0.1),"n/a")))</f>
        <v/>
      </c>
    </row>
    <row r="30">
      <c r="A30" t="inlineStr">
        <is>
          <t>US RR L-shaped 246.4(a)(3)</t>
        </is>
      </c>
      <c r="B30" s="2">
        <f>SUM(Retention_CF!$R$6:$R$101)</f>
        <v/>
      </c>
      <c r="C30" s="3">
        <f>IFERROR(12*IRR(Retention_CF!$R$5:$R$101,0.005),IFERROR(12*IRR(Retention_CF!$R$5:$R$101,-0.03),IFERROR(12*IRR(Retention_CF!$R$5:$R$101,-0.1),"n/a")))</f>
        <v/>
      </c>
      <c r="D30" s="2">
        <f>Retention!$H$17</f>
        <v/>
      </c>
      <c r="E30" s="3">
        <f>D30/Retention!$F$17</f>
        <v/>
      </c>
      <c r="F30" s="5">
        <f>SUMPRODUCT(Retention_CF!$R$6:$R$101,Retention_CF!$G$6:$G$101)/D30</f>
        <v/>
      </c>
      <c r="G30">
        <f>IF(Retention_CF!S101&lt;=0.005,COUNTIF(Retention_CF!$S$6:$S$101,"&gt;0.005")+1,"not repaid")</f>
        <v/>
      </c>
      <c r="H30" s="2">
        <f>Retention_CF!S101</f>
        <v/>
      </c>
      <c r="I30" s="3">
        <f>IFERROR(12*IRR(Retention_CF!$V$5:$V$101,0.005),IFERROR(12*IRR(Retention_CF!$V$5:$V$101,-0.03),IFERROR(12*IRR(Retention_CF!$V$5:$V$101,-0.1),"n/a")))</f>
        <v/>
      </c>
    </row>
    <row r="31">
      <c r="A31" t="inlineStr">
        <is>
          <t>EU Art 6(3)(a) vertical</t>
        </is>
      </c>
      <c r="B31" s="2">
        <f>SUM(Retention_CF!$W$6:$W$101)</f>
        <v/>
      </c>
      <c r="C31" s="3">
        <f>IFERROR(12*IRR(Retention_CF!$W$5:$W$101,0.005),IFERROR(12*IRR(Retention_CF!$W$5:$W$101,-0.03),IFERROR(12*IRR(Retention_CF!$W$5:$W$101,-0.1),"n/a")))</f>
        <v/>
      </c>
      <c r="D31" s="2">
        <f>Retention!$H$18</f>
        <v/>
      </c>
      <c r="E31" s="3">
        <f>D31/Retention!$F$18</f>
        <v/>
      </c>
      <c r="F31" s="5">
        <f>SUMPRODUCT(Retention_CF!$W$6:$W$101,Retention_CF!$G$6:$G$101)/D31</f>
        <v/>
      </c>
      <c r="G31">
        <f>IF(Retention_CF!X101&lt;=0.005,COUNTIF(Retention_CF!$X$6:$X$101,"&gt;0.005")+1,"not repaid")</f>
        <v/>
      </c>
      <c r="H31" s="2">
        <f>Retention_CF!X101</f>
        <v/>
      </c>
      <c r="I31" s="3">
        <f>IFERROR(12*IRR(Retention_CF!$AA$5:$AA$101,0.005),IFERROR(12*IRR(Retention_CF!$AA$5:$AA$101,-0.03),IFERROR(12*IRR(Retention_CF!$AA$5:$AA$101,-0.1),"n/a")))</f>
        <v/>
      </c>
    </row>
    <row r="32">
      <c r="A32" t="inlineStr">
        <is>
          <t>EU Art 6(3)(d) first loss</t>
        </is>
      </c>
      <c r="B32" s="2">
        <f>SUM(Retention_CF!$AB$6:$AB$101)</f>
        <v/>
      </c>
      <c r="C32" s="3">
        <f>IFERROR(12*IRR(Retention_CF!$AB$5:$AB$101,0.005),IFERROR(12*IRR(Retention_CF!$AB$5:$AB$101,-0.03),IFERROR(12*IRR(Retention_CF!$AB$5:$AB$101,-0.1),"n/a")))</f>
        <v/>
      </c>
      <c r="D32" s="2">
        <f>Retention!$H$19</f>
        <v/>
      </c>
      <c r="E32" s="3">
        <f>D32/Retention!$F$19</f>
        <v/>
      </c>
      <c r="F32" s="5">
        <f>SUMPRODUCT(Retention_CF!$AB$6:$AB$101,Retention_CF!$G$6:$G$101)/D32</f>
        <v/>
      </c>
      <c r="G32">
        <f>IF(Retention_CF!AC101&lt;=0.005,COUNTIF(Retention_CF!$AC$6:$AC$101,"&gt;0.005")+1,"not repaid")</f>
        <v/>
      </c>
      <c r="H32" s="2">
        <f>Retention_CF!AC101</f>
        <v/>
      </c>
      <c r="I32" s="3">
        <f>IFERROR(12*IRR(Retention_CF!$AF$5:$AF$101,0.005),IFERROR(12*IRR(Retention_CF!$AF$5:$AF$101,-0.03),IFERROR(12*IRR(Retention_CF!$AF$5:$AF$101,-0.1),"n/a")))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Scenario summary and integrity checks (live for the scenario selected on Inputs)</t>
        </is>
      </c>
    </row>
    <row r="2">
      <c r="A2" t="inlineStr">
        <is>
          <t>Active scenario</t>
        </is>
      </c>
      <c r="B2">
        <f>Inputs!$B$26</f>
        <v/>
      </c>
    </row>
    <row r="3">
      <c r="A3" s="1" t="inlineStr">
        <is>
          <t>CPR</t>
        </is>
      </c>
      <c r="B3" s="1" t="inlineStr">
        <is>
          <t>CDR</t>
        </is>
      </c>
      <c r="C3" s="1" t="inlineStr">
        <is>
          <t>Severity</t>
        </is>
      </c>
      <c r="D3" s="1" t="inlineStr">
        <is>
          <t>Lag (months)</t>
        </is>
      </c>
      <c r="E3" s="1" t="inlineStr">
        <is>
          <t>Forward shift bps</t>
        </is>
      </c>
    </row>
    <row r="4">
      <c r="A4">
        <f>Inputs!$B$27</f>
        <v/>
      </c>
      <c r="B4">
        <f>Inputs!$B$28</f>
        <v/>
      </c>
      <c r="C4">
        <f>Inputs!$B$29</f>
        <v/>
      </c>
      <c r="D4">
        <f>Inputs!$B$30</f>
        <v/>
      </c>
      <c r="E4">
        <f>Inputs!$B$31</f>
        <v/>
      </c>
    </row>
    <row r="6">
      <c r="A6" s="6" t="inlineStr">
        <is>
          <t>Tranche</t>
        </is>
      </c>
      <c r="B6" s="6" t="inlineStr">
        <is>
          <t>Original balance</t>
        </is>
      </c>
      <c r="C6" s="6" t="inlineStr">
        <is>
          <t>Interest paid</t>
        </is>
      </c>
      <c r="D6" s="6" t="inlineStr">
        <is>
          <t>Principal paid</t>
        </is>
      </c>
      <c r="E6" s="6" t="inlineStr">
        <is>
          <t>Write-down / capital shortfall</t>
        </is>
      </c>
      <c r="F6" s="6" t="inlineStr">
        <is>
          <t>Ending balance</t>
        </is>
      </c>
      <c r="G6" s="6" t="inlineStr">
        <is>
          <t>WAL (years)</t>
        </is>
      </c>
      <c r="H6" s="6" t="inlineStr">
        <is>
          <t>Yield at par (monthly IRR x 12)</t>
        </is>
      </c>
      <c r="I6" s="6" t="inlineStr">
        <is>
          <t>Principal window first</t>
        </is>
      </c>
      <c r="J6" s="6" t="inlineStr">
        <is>
          <t>Principal window last</t>
        </is>
      </c>
      <c r="K6" s="6" t="inlineStr">
        <is>
          <t>Conservation check (orig - paid - writedown - end)</t>
        </is>
      </c>
      <c r="L6" s="6" t="inlineStr">
        <is>
          <t>Takes loss (1/0)</t>
        </is>
      </c>
    </row>
    <row r="7">
      <c r="A7" t="inlineStr">
        <is>
          <t>A</t>
        </is>
      </c>
      <c r="B7" s="2">
        <f>Inputs!$B$39</f>
        <v/>
      </c>
      <c r="C7" s="2">
        <f>SUM(CashFlows!$B$6:$B$101)</f>
        <v/>
      </c>
      <c r="D7" s="2">
        <f>SUM(CashFlows!$C$6:$C$101)</f>
        <v/>
      </c>
      <c r="E7" s="2">
        <f>SUM(CashFlows!$D$6:$D$101)</f>
        <v/>
      </c>
      <c r="F7" s="2">
        <f>CashFlows!E101</f>
        <v/>
      </c>
      <c r="G7" s="5">
        <f>IF(D7&lt;=0.005,"n/a",SUMPRODUCT(CashFlows!$A$6:$A$101,CashFlows!$C$6:$C$101)/12/D7)</f>
        <v/>
      </c>
      <c r="H7" s="3">
        <f>IFERROR(12*IRR(CashFlows!$F$5:$F$101,0.005),IFERROR(12*IRR(CashFlows!$F$5:$F$101,-0.03),IFERROR(12*IRR(CashFlows!$F$5:$F$101,-0.1),"n/a")))</f>
        <v/>
      </c>
      <c r="I7">
        <f>IF(D7&lt;=0.005,"n/a",_xlfn.MINIFS(CashFlows!$A$6:$A$101,CashFlows!$C$6:$C$101,"&gt;0.005"))</f>
        <v/>
      </c>
      <c r="J7">
        <f>IF(D7&lt;=0.005,"n/a",_xlfn.MAXIFS(CashFlows!$A$6:$A$101,CashFlows!$C$6:$C$101,"&gt;0.005"))</f>
        <v/>
      </c>
      <c r="K7" s="2">
        <f>B7-D7-E7-F7</f>
        <v/>
      </c>
      <c r="L7">
        <f>IF(E7&gt;1,1,0)</f>
        <v/>
      </c>
    </row>
    <row r="8">
      <c r="A8" t="inlineStr">
        <is>
          <t>B</t>
        </is>
      </c>
      <c r="B8" s="2">
        <f>Inputs!$B$40</f>
        <v/>
      </c>
      <c r="C8" s="2">
        <f>SUM(CashFlows!$G$6:$G$101)</f>
        <v/>
      </c>
      <c r="D8" s="2">
        <f>SUM(CashFlows!$H$6:$H$101)</f>
        <v/>
      </c>
      <c r="E8" s="2">
        <f>SUM(CashFlows!$I$6:$I$101)</f>
        <v/>
      </c>
      <c r="F8" s="2">
        <f>CashFlows!J101</f>
        <v/>
      </c>
      <c r="G8" s="5">
        <f>IF(D8&lt;=0.005,"n/a",SUMPRODUCT(CashFlows!$A$6:$A$101,CashFlows!$H$6:$H$101)/12/D8)</f>
        <v/>
      </c>
      <c r="H8" s="3">
        <f>IFERROR(12*IRR(CashFlows!$K$5:$K$101,0.005),IFERROR(12*IRR(CashFlows!$K$5:$K$101,-0.03),IFERROR(12*IRR(CashFlows!$K$5:$K$101,-0.1),"n/a")))</f>
        <v/>
      </c>
      <c r="I8">
        <f>IF(D8&lt;=0.005,"n/a",_xlfn.MINIFS(CashFlows!$A$6:$A$101,CashFlows!$H$6:$H$101,"&gt;0.005"))</f>
        <v/>
      </c>
      <c r="J8">
        <f>IF(D8&lt;=0.005,"n/a",_xlfn.MAXIFS(CashFlows!$A$6:$A$101,CashFlows!$H$6:$H$101,"&gt;0.005"))</f>
        <v/>
      </c>
      <c r="K8" s="2">
        <f>B8-D8-E8-F8</f>
        <v/>
      </c>
      <c r="L8">
        <f>IF(E8&gt;1,1,0)</f>
        <v/>
      </c>
    </row>
    <row r="9">
      <c r="A9" t="inlineStr">
        <is>
          <t>C</t>
        </is>
      </c>
      <c r="B9" s="2">
        <f>Inputs!$B$41</f>
        <v/>
      </c>
      <c r="C9" s="2">
        <f>SUM(CashFlows!$L$6:$L$101)</f>
        <v/>
      </c>
      <c r="D9" s="2">
        <f>SUM(CashFlows!$M$6:$M$101)</f>
        <v/>
      </c>
      <c r="E9" s="2">
        <f>SUM(CashFlows!$N$6:$N$101)</f>
        <v/>
      </c>
      <c r="F9" s="2">
        <f>CashFlows!O101</f>
        <v/>
      </c>
      <c r="G9" s="5">
        <f>IF(D9&lt;=0.005,"n/a",SUMPRODUCT(CashFlows!$A$6:$A$101,CashFlows!$M$6:$M$101)/12/D9)</f>
        <v/>
      </c>
      <c r="H9" s="3">
        <f>IFERROR(12*IRR(CashFlows!$P$5:$P$101,0.005),IFERROR(12*IRR(CashFlows!$P$5:$P$101,-0.03),IFERROR(12*IRR(CashFlows!$P$5:$P$101,-0.1),"n/a")))</f>
        <v/>
      </c>
      <c r="I9">
        <f>IF(D9&lt;=0.005,"n/a",_xlfn.MINIFS(CashFlows!$A$6:$A$101,CashFlows!$M$6:$M$101,"&gt;0.005"))</f>
        <v/>
      </c>
      <c r="J9">
        <f>IF(D9&lt;=0.005,"n/a",_xlfn.MAXIFS(CashFlows!$A$6:$A$101,CashFlows!$M$6:$M$101,"&gt;0.005"))</f>
        <v/>
      </c>
      <c r="K9" s="2">
        <f>B9-D9-E9-F9</f>
        <v/>
      </c>
      <c r="L9">
        <f>IF(E9&gt;1,1,0)</f>
        <v/>
      </c>
    </row>
    <row r="10">
      <c r="A10" t="inlineStr">
        <is>
          <t>R</t>
        </is>
      </c>
      <c r="B10" s="2">
        <f>Inputs!$B$50</f>
        <v/>
      </c>
      <c r="C10" s="2">
        <f>SUM(CashFlows!$Q$6:$Q$101)</f>
        <v/>
      </c>
      <c r="D10" s="2">
        <f>SUM(CashFlows!$R$6:$R$101)</f>
        <v/>
      </c>
      <c r="E10" s="2">
        <f>MAX(0,B10-C10-D10)</f>
        <v/>
      </c>
      <c r="F10" s="2" t="n">
        <v>0</v>
      </c>
      <c r="G10" s="5">
        <f>IF(D10&lt;=0.005,"n/a",SUMPRODUCT(CashFlows!$A$6:$A$101,CashFlows!$R$6:$R$101)/12/D10)</f>
        <v/>
      </c>
      <c r="H10" s="3">
        <f>IFERROR(12*IRR(CashFlows!$S$5:$S$101,0.005),IFERROR(12*IRR(CashFlows!$S$5:$S$101,-0.03),IFERROR(12*IRR(CashFlows!$S$5:$S$101,-0.1),"n/a")))</f>
        <v/>
      </c>
      <c r="I10">
        <f>IF(D10&lt;=0.005,"n/a",_xlfn.MINIFS(CashFlows!$A$6:$A$101,CashFlows!$R$6:$R$101,"&gt;0.005"))</f>
        <v/>
      </c>
      <c r="J10">
        <f>IF(D10&lt;=0.005,"n/a",_xlfn.MAXIFS(CashFlows!$A$6:$A$101,CashFlows!$R$6:$R$101,"&gt;0.005"))</f>
        <v/>
      </c>
      <c r="K10" t="inlineStr">
        <is>
          <t>n/a</t>
        </is>
      </c>
      <c r="L10">
        <f>IF(E10&gt;1,1,0)</f>
        <v/>
      </c>
    </row>
    <row r="12">
      <c r="A12" t="inlineStr">
        <is>
          <t>For R: column C is residual interest distributions, D is principal distributions plus reserve release, E is the capital shortfall (par less cash received, floored at 0).</t>
        </is>
      </c>
    </row>
    <row r="14">
      <c r="A14" s="1" t="inlineStr">
        <is>
          <t>Integrity checks (sum of absolute differences, should be 0)</t>
        </is>
      </c>
    </row>
    <row r="15">
      <c r="A15" t="inlineStr">
        <is>
          <t>Pool balance reconciliation</t>
        </is>
      </c>
      <c r="B15" s="8">
        <f>SUMPRODUCT(ABS(Pool!$BX$6:$BX$101))</f>
        <v/>
      </c>
    </row>
    <row r="16">
      <c r="A16" t="inlineStr">
        <is>
          <t>Cash conservation</t>
        </is>
      </c>
      <c r="B16" s="8">
        <f>SUMPRODUCT(ABS(Waterfall!$BZ$6:$BZ$101))</f>
        <v/>
      </c>
    </row>
    <row r="17">
      <c r="A17" t="inlineStr">
        <is>
          <t>Notes P+I plus fees paid above collateral cash plus reserve draw (sum of excesses)</t>
        </is>
      </c>
      <c r="B17" s="8">
        <f>SUMPRODUCT(((Waterfall!$BU$6:$BU$101+Waterfall!$AE$6:$AE$101-Pool!$BW$6:$BW$101-Waterfall!$R$6:$R$101)&gt;0.005)*(Waterfall!$BU$6:$BU$101+Waterfall!$AE$6:$AE$101-Pool!$BW$6:$BW$101-Waterfall!$R$6:$R$101))</f>
        <v/>
      </c>
    </row>
    <row r="18">
      <c r="A18" t="inlineStr">
        <is>
          <t>Tranche conservation A</t>
        </is>
      </c>
      <c r="B18" s="8">
        <f>ABS(K7)</f>
        <v/>
      </c>
    </row>
    <row r="19">
      <c r="A19" t="inlineStr">
        <is>
          <t>Tranche conservation B</t>
        </is>
      </c>
      <c r="B19" s="8">
        <f>ABS(K8)</f>
        <v/>
      </c>
    </row>
    <row r="20">
      <c r="A20" t="inlineStr">
        <is>
          <t>Tranche conservation C</t>
        </is>
      </c>
      <c r="B20" s="8">
        <f>ABS(K9)</f>
        <v/>
      </c>
    </row>
    <row r="21">
      <c r="A21" t="inlineStr">
        <is>
          <t>Months with a trigger breach</t>
        </is>
      </c>
      <c r="B21" s="8">
        <f>SUM(Tests!$M$6:$M$101)</f>
        <v/>
      </c>
    </row>
    <row r="22">
      <c r="A22" t="inlineStr">
        <is>
          <t>Excess spread at month 12 (bps annualized)</t>
        </is>
      </c>
      <c r="B22" s="8">
        <f>Tests!O17</f>
        <v/>
      </c>
    </row>
    <row r="23">
      <c r="A23" t="inlineStr">
        <is>
          <t>Cumulative net loss % of pool at horizon</t>
        </is>
      </c>
      <c r="B23" s="8">
        <f>Tests!P101</f>
        <v/>
      </c>
    </row>
    <row r="26">
      <c r="A26" t="inlineStr">
        <is>
          <t>Break-even CDR per tranche is solved by bisection in python/ (Excel has no live solver). Set the CDR of a scenario to a Python break-even value here to confirm zero loss just below it.</t>
        </is>
      </c>
    </row>
    <row r="27">
      <c r="A27" t="inlineStr">
        <is>
          <t>Scenario table lives on Inputs; change the selected scenario number there to recalculate every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Yazad Madan</dc:creator>
  <dc:title xmlns:dc="http://purl.org/dc/elements/1.1/">Securitization waterfall and risk retention model</dc:title>
  <dcterms:created xmlns:dcterms="http://purl.org/dc/terms/" xmlns:xsi="http://www.w3.org/2001/XMLSchema-instance" xsi:type="dcterms:W3CDTF">2026-09-30T15:05:07Z</dcterms:created>
  <dcterms:modified xmlns:dcterms="http://purl.org/dc/terms/" xmlns:xsi="http://www.w3.org/2001/XMLSchema-instance" xsi:type="dcterms:W3CDTF">2026-09-30T15:05:07Z</dcterms:modified>
</cp:coreProperties>
</file>